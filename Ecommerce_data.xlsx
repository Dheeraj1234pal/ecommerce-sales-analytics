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1dc6b2d6e8a4c47/Desktop/"/>
    </mc:Choice>
  </mc:AlternateContent>
  <xr:revisionPtr revIDLastSave="216" documentId="8_{F3A99925-F55F-4549-B78C-A0393488B1D3}" xr6:coauthVersionLast="47" xr6:coauthVersionMax="47" xr10:uidLastSave="{45E34026-512D-49D1-8A8B-663CCCA89245}"/>
  <bookViews>
    <workbookView xWindow="-108" yWindow="-108" windowWidth="23256" windowHeight="12456" activeTab="2" xr2:uid="{00000000-000D-0000-FFFF-FFFF00000000}"/>
  </bookViews>
  <sheets>
    <sheet name="KPI" sheetId="2" r:id="rId1"/>
    <sheet name="Sheet1" sheetId="4" r:id="rId2"/>
    <sheet name="DashBoard" sheetId="3" r:id="rId3"/>
    <sheet name="Sheet2" sheetId="5" r:id="rId4"/>
    <sheet name="Data" sheetId="1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L4" i="5"/>
  <c r="M4" i="5"/>
  <c r="J4" i="5"/>
  <c r="I6" i="5"/>
  <c r="J6" i="5"/>
  <c r="K6" i="5"/>
  <c r="L6" i="5"/>
  <c r="M6" i="5"/>
  <c r="I7" i="5"/>
  <c r="J7" i="5"/>
  <c r="K7" i="5"/>
  <c r="L7" i="5"/>
  <c r="M7" i="5"/>
  <c r="I8" i="5"/>
  <c r="J8" i="5"/>
  <c r="K8" i="5"/>
  <c r="L8" i="5"/>
  <c r="M8" i="5"/>
  <c r="I9" i="5"/>
  <c r="J9" i="5"/>
  <c r="K9" i="5"/>
  <c r="L9" i="5"/>
  <c r="M9" i="5"/>
  <c r="J5" i="5"/>
  <c r="K5" i="5"/>
  <c r="L5" i="5"/>
  <c r="M5" i="5"/>
  <c r="I5" i="5"/>
  <c r="L4" i="2"/>
  <c r="K4" i="2"/>
  <c r="I4" i="2"/>
  <c r="J4" i="2"/>
  <c r="H4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O2" i="1" a="1"/>
  <c r="O2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/>
  <c r="O544" i="1" a="1"/>
  <c r="O544" i="1" s="1"/>
  <c r="O545" i="1" a="1"/>
  <c r="O545" i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/>
  <c r="O686" i="1" a="1"/>
  <c r="O686" i="1" s="1"/>
  <c r="O687" i="1" a="1"/>
  <c r="O687" i="1" s="1"/>
  <c r="O688" i="1" a="1"/>
  <c r="O688" i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/>
  <c r="O737" i="1" a="1"/>
  <c r="O737" i="1" s="1"/>
  <c r="O738" i="1" a="1"/>
  <c r="O738" i="1" s="1"/>
  <c r="O739" i="1" a="1"/>
  <c r="O739" i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/>
  <c r="O809" i="1" a="1"/>
  <c r="O809" i="1" s="1"/>
  <c r="O810" i="1" a="1"/>
  <c r="O810" i="1" s="1"/>
  <c r="O811" i="1" a="1"/>
  <c r="O811" i="1"/>
  <c r="O812" i="1" a="1"/>
  <c r="O812" i="1" s="1"/>
  <c r="O813" i="1" a="1"/>
  <c r="O813" i="1" s="1"/>
  <c r="O814" i="1" a="1"/>
  <c r="O814" i="1" s="1"/>
  <c r="O815" i="1" a="1"/>
  <c r="O815" i="1" s="1"/>
  <c r="O816" i="1" a="1"/>
  <c r="O816" i="1" s="1"/>
  <c r="O817" i="1" a="1"/>
  <c r="O817" i="1" s="1"/>
  <c r="O818" i="1" a="1"/>
  <c r="O818" i="1" s="1"/>
  <c r="O819" i="1" a="1"/>
  <c r="O819" i="1" s="1"/>
  <c r="O820" i="1" a="1"/>
  <c r="O820" i="1"/>
  <c r="O821" i="1" a="1"/>
  <c r="O821" i="1" s="1"/>
  <c r="O822" i="1" a="1"/>
  <c r="O822" i="1" s="1"/>
  <c r="O823" i="1" a="1"/>
  <c r="O823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829" i="1" a="1"/>
  <c r="O829" i="1" s="1"/>
  <c r="O830" i="1" a="1"/>
  <c r="O830" i="1" s="1"/>
  <c r="O831" i="1" a="1"/>
  <c r="O831" i="1" s="1"/>
  <c r="O832" i="1" a="1"/>
  <c r="O832" i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/>
  <c r="O860" i="1" a="1"/>
  <c r="O860" i="1" s="1"/>
  <c r="O861" i="1" a="1"/>
  <c r="O861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/>
  <c r="O1000" i="1" a="1"/>
  <c r="O1000" i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1007" i="1" a="1"/>
  <c r="O1007" i="1" s="1"/>
  <c r="O1008" i="1" a="1"/>
  <c r="O1008" i="1" s="1"/>
  <c r="O1009" i="1" a="1"/>
  <c r="O1009" i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1020" i="1" a="1"/>
  <c r="O1020" i="1" s="1"/>
  <c r="O1021" i="1" a="1"/>
  <c r="O1021" i="1"/>
  <c r="O1022" i="1" a="1"/>
  <c r="O1022" i="1" s="1"/>
  <c r="O1023" i="1" a="1"/>
  <c r="O1023" i="1"/>
  <c r="O1024" i="1" a="1"/>
  <c r="O1024" i="1" s="1"/>
  <c r="O1025" i="1" a="1"/>
  <c r="O1025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/>
  <c r="O1034" i="1" a="1"/>
  <c r="O1034" i="1" s="1"/>
  <c r="O1035" i="1" a="1"/>
  <c r="O1035" i="1" s="1"/>
  <c r="O1036" i="1" a="1"/>
  <c r="O1036" i="1"/>
  <c r="O1037" i="1" a="1"/>
  <c r="O1037" i="1" s="1"/>
  <c r="O1038" i="1" a="1"/>
  <c r="O1038" i="1"/>
  <c r="O1039" i="1" a="1"/>
  <c r="O1039" i="1" s="1"/>
  <c r="O1040" i="1" a="1"/>
  <c r="O1040" i="1" s="1"/>
  <c r="O1041" i="1" a="1"/>
  <c r="O1041" i="1" s="1"/>
  <c r="O1042" i="1" a="1"/>
  <c r="O1042" i="1"/>
  <c r="O1043" i="1" a="1"/>
  <c r="O1043" i="1" s="1"/>
  <c r="O1044" i="1" a="1"/>
  <c r="O1044" i="1" s="1"/>
  <c r="O1045" i="1" a="1"/>
  <c r="O1045" i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/>
  <c r="O1106" i="1" a="1"/>
  <c r="O1106" i="1" s="1"/>
  <c r="O1107" i="1" a="1"/>
  <c r="O1107" i="1"/>
  <c r="O1108" i="1" a="1"/>
  <c r="O1108" i="1" s="1"/>
  <c r="O1109" i="1" a="1"/>
  <c r="O1109" i="1" s="1"/>
  <c r="O1110" i="1" a="1"/>
  <c r="O1110" i="1"/>
  <c r="O1111" i="1" a="1"/>
  <c r="O1111" i="1" s="1"/>
  <c r="O1112" i="1" a="1"/>
  <c r="O1112" i="1" s="1"/>
  <c r="O1113" i="1" a="1"/>
  <c r="O1113" i="1" s="1"/>
  <c r="O1114" i="1" a="1"/>
  <c r="O1114" i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/>
  <c r="O1130" i="1" a="1"/>
  <c r="O1130" i="1" s="1"/>
  <c r="O1131" i="1" a="1"/>
  <c r="O1131" i="1" s="1"/>
  <c r="O1132" i="1" a="1"/>
  <c r="O1132" i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/>
  <c r="O1138" i="1" a="1"/>
  <c r="O1138" i="1"/>
  <c r="O1139" i="1" a="1"/>
  <c r="O1139" i="1" s="1"/>
  <c r="O1140" i="1" a="1"/>
  <c r="O1140" i="1"/>
  <c r="O1141" i="1" a="1"/>
  <c r="O1141" i="1" s="1"/>
  <c r="O1142" i="1" a="1"/>
  <c r="O1142" i="1" s="1"/>
  <c r="O1143" i="1" a="1"/>
  <c r="O1143" i="1" s="1"/>
  <c r="O1144" i="1" a="1"/>
  <c r="O1144" i="1"/>
  <c r="O1145" i="1" a="1"/>
  <c r="O1145" i="1" s="1"/>
  <c r="O1146" i="1" a="1"/>
  <c r="O1146" i="1"/>
  <c r="O1147" i="1" a="1"/>
  <c r="O1147" i="1" s="1"/>
  <c r="O1148" i="1" a="1"/>
  <c r="O1148" i="1" s="1"/>
  <c r="O1149" i="1" a="1"/>
  <c r="O1149" i="1" s="1"/>
  <c r="O1150" i="1" a="1"/>
  <c r="O1150" i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/>
  <c r="O1171" i="1" a="1"/>
  <c r="O1171" i="1" s="1"/>
  <c r="O1172" i="1" a="1"/>
  <c r="O1172" i="1" s="1"/>
  <c r="O1173" i="1" a="1"/>
  <c r="O1173" i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/>
  <c r="O1187" i="1" a="1"/>
  <c r="O1187" i="1" s="1"/>
  <c r="O1188" i="1" a="1"/>
  <c r="O1188" i="1" s="1"/>
  <c r="O1189" i="1" a="1"/>
  <c r="O1189" i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/>
  <c r="O1211" i="1" a="1"/>
  <c r="O1211" i="1" s="1"/>
  <c r="O1212" i="1" a="1"/>
  <c r="O1212" i="1" s="1"/>
  <c r="O1213" i="1" a="1"/>
  <c r="O1213" i="1"/>
  <c r="O1214" i="1" a="1"/>
  <c r="O1214" i="1" s="1"/>
  <c r="O1215" i="1" a="1"/>
  <c r="O1215" i="1"/>
  <c r="O1216" i="1" a="1"/>
  <c r="O1216" i="1"/>
  <c r="O1217" i="1" a="1"/>
  <c r="O1217" i="1" s="1"/>
  <c r="O1218" i="1" a="1"/>
  <c r="O1218" i="1"/>
  <c r="O1219" i="1" a="1"/>
  <c r="O1219" i="1" s="1"/>
  <c r="O1220" i="1" a="1"/>
  <c r="O1220" i="1" s="1"/>
  <c r="O1221" i="1" a="1"/>
  <c r="O1221" i="1"/>
  <c r="O1222" i="1" a="1"/>
  <c r="O1222" i="1" s="1"/>
  <c r="O1223" i="1" a="1"/>
  <c r="O1223" i="1" s="1"/>
  <c r="O1224" i="1" a="1"/>
  <c r="O1224" i="1" s="1"/>
  <c r="O1225" i="1" a="1"/>
  <c r="O1225" i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/>
  <c r="O1231" i="1" a="1"/>
  <c r="O1231" i="1" s="1"/>
  <c r="O1232" i="1" a="1"/>
  <c r="O1232" i="1" s="1"/>
  <c r="O1233" i="1" a="1"/>
  <c r="O1233" i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/>
  <c r="O1240" i="1" a="1"/>
  <c r="O1240" i="1" s="1"/>
  <c r="O1241" i="1" a="1"/>
  <c r="O1241" i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/>
  <c r="O1254" i="1" a="1"/>
  <c r="O1254" i="1"/>
  <c r="O1255" i="1" a="1"/>
  <c r="O1255" i="1" s="1"/>
  <c r="O1256" i="1" a="1"/>
  <c r="O1256" i="1" s="1"/>
  <c r="O1257" i="1" a="1"/>
  <c r="O1257" i="1" s="1"/>
  <c r="O1258" i="1" a="1"/>
  <c r="O1258" i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/>
  <c r="O1264" i="1" a="1"/>
  <c r="O1264" i="1" s="1"/>
  <c r="O1265" i="1" a="1"/>
  <c r="O1265" i="1" s="1"/>
  <c r="O1266" i="1" a="1"/>
  <c r="O1266" i="1" s="1"/>
  <c r="O1267" i="1" a="1"/>
  <c r="O1267" i="1"/>
  <c r="O1268" i="1" a="1"/>
  <c r="O1268" i="1" s="1"/>
  <c r="O1269" i="1" a="1"/>
  <c r="O1269" i="1" s="1"/>
  <c r="O1270" i="1" a="1"/>
  <c r="O1270" i="1" s="1"/>
  <c r="O1271" i="1" a="1"/>
  <c r="O1271" i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/>
  <c r="O1279" i="1" a="1"/>
  <c r="O1279" i="1"/>
  <c r="O1280" i="1" a="1"/>
  <c r="O1280" i="1" s="1"/>
  <c r="O1281" i="1" a="1"/>
  <c r="O1281" i="1"/>
  <c r="O1282" i="1" a="1"/>
  <c r="O1282" i="1" s="1"/>
  <c r="O1283" i="1" a="1"/>
  <c r="O1283" i="1" s="1"/>
  <c r="O1284" i="1" a="1"/>
  <c r="O1284" i="1" s="1"/>
  <c r="O1285" i="1" a="1"/>
  <c r="O1285" i="1"/>
  <c r="O1286" i="1" a="1"/>
  <c r="O1286" i="1" s="1"/>
  <c r="O1287" i="1" a="1"/>
  <c r="O1287" i="1"/>
  <c r="O1288" i="1" a="1"/>
  <c r="O1288" i="1" s="1"/>
  <c r="O1289" i="1" a="1"/>
  <c r="O1289" i="1" s="1"/>
  <c r="O1290" i="1" a="1"/>
  <c r="O1290" i="1" s="1"/>
  <c r="O1291" i="1" a="1"/>
  <c r="O1291" i="1"/>
  <c r="O1292" i="1" a="1"/>
  <c r="O1292" i="1" s="1"/>
  <c r="O1293" i="1" a="1"/>
  <c r="O1293" i="1" s="1"/>
  <c r="O1294" i="1" a="1"/>
  <c r="O1294" i="1" s="1"/>
  <c r="O1295" i="1" a="1"/>
  <c r="O1295" i="1" s="1"/>
  <c r="O1296" i="1" a="1"/>
  <c r="O1296" i="1" s="1"/>
  <c r="O1297" i="1" a="1"/>
  <c r="O1297" i="1"/>
  <c r="O1298" i="1" a="1"/>
  <c r="O1298" i="1" s="1"/>
  <c r="O1299" i="1" a="1"/>
  <c r="O1299" i="1"/>
  <c r="O1300" i="1" a="1"/>
  <c r="O1300" i="1"/>
  <c r="O1301" i="1" a="1"/>
  <c r="O1301" i="1" s="1"/>
  <c r="O1302" i="1" a="1"/>
  <c r="O1302" i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/>
  <c r="O1327" i="1" a="1"/>
  <c r="O1327" i="1" s="1"/>
  <c r="O1328" i="1" a="1"/>
  <c r="O1328" i="1" s="1"/>
  <c r="O1329" i="1" a="1"/>
  <c r="O1329" i="1" s="1"/>
  <c r="O1330" i="1" a="1"/>
  <c r="O1330" i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/>
  <c r="O1347" i="1" a="1"/>
  <c r="O1347" i="1" s="1"/>
  <c r="O1348" i="1" a="1"/>
  <c r="O1348" i="1"/>
  <c r="O1349" i="1" a="1"/>
  <c r="O1349" i="1" s="1"/>
  <c r="O1350" i="1" a="1"/>
  <c r="O1350" i="1" s="1"/>
  <c r="O1351" i="1" a="1"/>
  <c r="O1351" i="1" s="1"/>
  <c r="O1352" i="1" a="1"/>
  <c r="O1352" i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/>
  <c r="O1371" i="1" a="1"/>
  <c r="O1371" i="1" s="1"/>
  <c r="O1372" i="1" a="1"/>
  <c r="O1372" i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/>
  <c r="O1380" i="1" a="1"/>
  <c r="O1380" i="1" s="1"/>
  <c r="O1381" i="1" a="1"/>
  <c r="O1381" i="1" s="1"/>
  <c r="O1382" i="1" a="1"/>
  <c r="O1382" i="1"/>
  <c r="O1383" i="1" a="1"/>
  <c r="O1383" i="1" s="1"/>
  <c r="O1384" i="1" a="1"/>
  <c r="O1384" i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 s="1"/>
  <c r="O1414" i="1" a="1"/>
  <c r="O1414" i="1"/>
  <c r="O1415" i="1" a="1"/>
  <c r="O1415" i="1" s="1"/>
  <c r="O1416" i="1" a="1"/>
  <c r="O1416" i="1" s="1"/>
  <c r="O1417" i="1" a="1"/>
  <c r="O1417" i="1" s="1"/>
  <c r="O1418" i="1" a="1"/>
  <c r="O1418" i="1"/>
  <c r="O1419" i="1" a="1"/>
  <c r="O1419" i="1" s="1"/>
  <c r="O1420" i="1" a="1"/>
  <c r="O1420" i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/>
  <c r="O1441" i="1" a="1"/>
  <c r="O1441" i="1" s="1"/>
  <c r="O1442" i="1" a="1"/>
  <c r="O1442" i="1"/>
  <c r="O1443" i="1" a="1"/>
  <c r="O1443" i="1" s="1"/>
  <c r="O1444" i="1" a="1"/>
  <c r="O1444" i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 s="1"/>
  <c r="O1490" i="1" a="1"/>
  <c r="O1490" i="1" s="1"/>
  <c r="O1491" i="1" a="1"/>
  <c r="O1491" i="1" s="1"/>
  <c r="O1492" i="1" a="1"/>
  <c r="O1492" i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 s="1"/>
  <c r="O1499" i="1" a="1"/>
  <c r="O1499" i="1"/>
  <c r="O1500" i="1" a="1"/>
  <c r="O1500" i="1" s="1"/>
  <c r="O1501" i="1" a="1"/>
  <c r="O1501" i="1" s="1"/>
  <c r="O1502" i="1" a="1"/>
  <c r="O1502" i="1" s="1"/>
  <c r="O1503" i="1" a="1"/>
  <c r="O1503" i="1" s="1"/>
  <c r="O1504" i="1" a="1"/>
  <c r="O1504" i="1" s="1"/>
  <c r="O1505" i="1" a="1"/>
  <c r="O1505" i="1" s="1"/>
  <c r="O1506" i="1" a="1"/>
  <c r="O1506" i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/>
  <c r="O1515" i="1" a="1"/>
  <c r="O1515" i="1" s="1"/>
  <c r="O1516" i="1" a="1"/>
  <c r="O1516" i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/>
  <c r="O1527" i="1" a="1"/>
  <c r="O1527" i="1" s="1"/>
  <c r="O1528" i="1" a="1"/>
  <c r="O1528" i="1" s="1"/>
  <c r="O1529" i="1" a="1"/>
  <c r="O1529" i="1" s="1"/>
  <c r="O1530" i="1" a="1"/>
  <c r="O1530" i="1" s="1"/>
  <c r="O1531" i="1" a="1"/>
  <c r="O1531" i="1" s="1"/>
  <c r="O1532" i="1" a="1"/>
  <c r="O1532" i="1"/>
  <c r="O1533" i="1" a="1"/>
  <c r="O1533" i="1" s="1"/>
  <c r="O1534" i="1" a="1"/>
  <c r="O1534" i="1" s="1"/>
  <c r="O1535" i="1" a="1"/>
  <c r="O1535" i="1" s="1"/>
  <c r="O1536" i="1" a="1"/>
  <c r="O1536" i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O1543" i="1" a="1"/>
  <c r="O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1557" i="1" a="1"/>
  <c r="O1557" i="1" s="1"/>
  <c r="O1558" i="1" a="1"/>
  <c r="O1558" i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/>
  <c r="O1566" i="1" a="1"/>
  <c r="O1566" i="1" s="1"/>
  <c r="O1567" i="1" a="1"/>
  <c r="O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O1575" i="1" a="1"/>
  <c r="O1575" i="1" s="1"/>
  <c r="O1576" i="1" a="1"/>
  <c r="O1576" i="1" s="1"/>
  <c r="O1577" i="1" a="1"/>
  <c r="O1577" i="1" s="1"/>
  <c r="O1578" i="1" a="1"/>
  <c r="O1578" i="1"/>
  <c r="O1579" i="1" a="1"/>
  <c r="O1579" i="1" s="1"/>
  <c r="O1580" i="1" a="1"/>
  <c r="O1580" i="1" s="1"/>
  <c r="O1581" i="1" a="1"/>
  <c r="O1581" i="1" s="1"/>
  <c r="O1582" i="1" a="1"/>
  <c r="O1582" i="1" s="1"/>
  <c r="O1583" i="1" a="1"/>
  <c r="O1583" i="1" s="1"/>
  <c r="O1584" i="1" a="1"/>
  <c r="O1584" i="1" s="1"/>
  <c r="O1585" i="1" a="1"/>
  <c r="O1585" i="1" s="1"/>
  <c r="O1586" i="1" a="1"/>
  <c r="O1586" i="1" s="1"/>
  <c r="O1587" i="1" a="1"/>
  <c r="O1587" i="1" s="1"/>
  <c r="O1588" i="1" a="1"/>
  <c r="O1588" i="1" s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O1607" i="1" a="1"/>
  <c r="O1607" i="1" s="1"/>
  <c r="O1608" i="1" a="1"/>
  <c r="O1608" i="1" s="1"/>
  <c r="O1609" i="1" a="1"/>
  <c r="O1609" i="1" s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 s="1"/>
  <c r="O1618" i="1" a="1"/>
  <c r="O1618" i="1" s="1"/>
  <c r="O1619" i="1" a="1"/>
  <c r="O1619" i="1" s="1"/>
  <c r="O1620" i="1" a="1"/>
  <c r="O1620" i="1" s="1"/>
  <c r="O1621" i="1" a="1"/>
  <c r="O1621" i="1" s="1"/>
  <c r="O1622" i="1" a="1"/>
  <c r="O1622" i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O1631" i="1" a="1"/>
  <c r="O1631" i="1" s="1"/>
  <c r="O1632" i="1" a="1"/>
  <c r="O1632" i="1" s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/>
  <c r="O1638" i="1" a="1"/>
  <c r="O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O1647" i="1" a="1"/>
  <c r="O1647" i="1" s="1"/>
  <c r="O1648" i="1" a="1"/>
  <c r="O1648" i="1" s="1"/>
  <c r="O1649" i="1" a="1"/>
  <c r="O1649" i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/>
  <c r="O1668" i="1" a="1"/>
  <c r="O1668" i="1" s="1"/>
  <c r="O1669" i="1" a="1"/>
  <c r="O1669" i="1" s="1"/>
  <c r="O1670" i="1" a="1"/>
  <c r="O1670" i="1" s="1"/>
  <c r="O1671" i="1" a="1"/>
  <c r="O1671" i="1" s="1"/>
  <c r="O1672" i="1" a="1"/>
  <c r="O1672" i="1" s="1"/>
  <c r="O1673" i="1" a="1"/>
  <c r="O1673" i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/>
  <c r="O1681" i="1" a="1"/>
  <c r="O1681" i="1" s="1"/>
  <c r="O1682" i="1" a="1"/>
  <c r="O1682" i="1"/>
  <c r="O1683" i="1" a="1"/>
  <c r="O1683" i="1" s="1"/>
  <c r="O1684" i="1" a="1"/>
  <c r="O1684" i="1" s="1"/>
  <c r="O1685" i="1" a="1"/>
  <c r="O1685" i="1" s="1"/>
  <c r="O1686" i="1" a="1"/>
  <c r="O1686" i="1" s="1"/>
  <c r="O1687" i="1" a="1"/>
  <c r="O1687" i="1" s="1"/>
  <c r="O1688" i="1" a="1"/>
  <c r="O1688" i="1" s="1"/>
  <c r="O1689" i="1" a="1"/>
  <c r="O1689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O1695" i="1" a="1"/>
  <c r="O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O1703" i="1" a="1"/>
  <c r="O1703" i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O1711" i="1" a="1"/>
  <c r="O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O1719" i="1" a="1"/>
  <c r="O1719" i="1" s="1"/>
  <c r="O1720" i="1" a="1"/>
  <c r="O1720" i="1"/>
  <c r="O1721" i="1" a="1"/>
  <c r="O1721" i="1" s="1"/>
  <c r="O1722" i="1" a="1"/>
  <c r="O1722" i="1" s="1"/>
  <c r="O1723" i="1" a="1"/>
  <c r="O1723" i="1" s="1"/>
  <c r="O1724" i="1" a="1"/>
  <c r="O1724" i="1" s="1"/>
  <c r="O1725" i="1" a="1"/>
  <c r="O1725" i="1" s="1"/>
  <c r="O1726" i="1" a="1"/>
  <c r="O1726" i="1" s="1"/>
  <c r="O1727" i="1" a="1"/>
  <c r="O1727" i="1" s="1"/>
  <c r="O1728" i="1" a="1"/>
  <c r="O1728" i="1" s="1"/>
  <c r="O1729" i="1" a="1"/>
  <c r="O1729" i="1" s="1"/>
  <c r="O1730" i="1" a="1"/>
  <c r="O1730" i="1" s="1"/>
  <c r="O1731" i="1" a="1"/>
  <c r="O1731" i="1"/>
  <c r="O1732" i="1" a="1"/>
  <c r="O1732" i="1" s="1"/>
  <c r="O1733" i="1" a="1"/>
  <c r="O1733" i="1" s="1"/>
  <c r="O1734" i="1" a="1"/>
  <c r="O1734" i="1" s="1"/>
  <c r="O1735" i="1" a="1"/>
  <c r="O1735" i="1" s="1"/>
  <c r="O1736" i="1" a="1"/>
  <c r="O1736" i="1" s="1"/>
  <c r="O1737" i="1" a="1"/>
  <c r="O1737" i="1"/>
  <c r="O1738" i="1" a="1"/>
  <c r="O1738" i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/>
  <c r="O1746" i="1" a="1"/>
  <c r="O1746" i="1" s="1"/>
  <c r="O1747" i="1" a="1"/>
  <c r="O1747" i="1" s="1"/>
  <c r="O1748" i="1" a="1"/>
  <c r="O1748" i="1" s="1"/>
  <c r="O1749" i="1" a="1"/>
  <c r="O1749" i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/>
  <c r="O1757" i="1" a="1"/>
  <c r="O1757" i="1" s="1"/>
  <c r="O1758" i="1" a="1"/>
  <c r="O1758" i="1"/>
  <c r="O1759" i="1" a="1"/>
  <c r="O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O1765" i="1" a="1"/>
  <c r="O1765" i="1" s="1"/>
  <c r="O1766" i="1" a="1"/>
  <c r="O1766" i="1" s="1"/>
  <c r="O1767" i="1" a="1"/>
  <c r="O1767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O1773" i="1" a="1"/>
  <c r="O1773" i="1" s="1"/>
  <c r="O1774" i="1" a="1"/>
  <c r="O1774" i="1"/>
  <c r="O1775" i="1" a="1"/>
  <c r="O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O1783" i="1" a="1"/>
  <c r="O1783" i="1" s="1"/>
  <c r="O1784" i="1" a="1"/>
  <c r="O1784" i="1" s="1"/>
  <c r="O1785" i="1" a="1"/>
  <c r="O1785" i="1"/>
  <c r="O1786" i="1" a="1"/>
  <c r="O1786" i="1" s="1"/>
  <c r="O1787" i="1" a="1"/>
  <c r="O1787" i="1" s="1"/>
  <c r="O1788" i="1" a="1"/>
  <c r="O1788" i="1" s="1"/>
  <c r="O1789" i="1" a="1"/>
  <c r="O1789" i="1" s="1"/>
  <c r="O1790" i="1" a="1"/>
  <c r="O1790" i="1" s="1"/>
  <c r="O1791" i="1" a="1"/>
  <c r="O1791" i="1" s="1"/>
  <c r="O1792" i="1" a="1"/>
  <c r="O1792" i="1"/>
  <c r="O1793" i="1" a="1"/>
  <c r="O1793" i="1" s="1"/>
  <c r="O1794" i="1" a="1"/>
  <c r="O1794" i="1"/>
  <c r="O1795" i="1" a="1"/>
  <c r="O1795" i="1" s="1"/>
  <c r="O1796" i="1" a="1"/>
  <c r="O1796" i="1" s="1"/>
  <c r="O1797" i="1" a="1"/>
  <c r="O1797" i="1" s="1"/>
  <c r="O1798" i="1" a="1"/>
  <c r="O1798" i="1" s="1"/>
  <c r="O1799" i="1" a="1"/>
  <c r="O1799" i="1" s="1"/>
  <c r="O1800" i="1" a="1"/>
  <c r="O1800" i="1" s="1"/>
  <c r="O1801" i="1" a="1"/>
  <c r="O1801" i="1" s="1"/>
  <c r="O1802" i="1" a="1"/>
  <c r="O1802" i="1" s="1"/>
  <c r="O1803" i="1" a="1"/>
  <c r="O1803" i="1" s="1"/>
  <c r="O1804" i="1" a="1"/>
  <c r="O1804" i="1" s="1"/>
  <c r="O1805" i="1" a="1"/>
  <c r="O1805" i="1" s="1"/>
  <c r="O1806" i="1" a="1"/>
  <c r="O1806" i="1"/>
  <c r="O1807" i="1" a="1"/>
  <c r="O1807" i="1" s="1"/>
  <c r="O1808" i="1" a="1"/>
  <c r="O1808" i="1" s="1"/>
  <c r="O1809" i="1" a="1"/>
  <c r="O1809" i="1" s="1"/>
  <c r="O1810" i="1" a="1"/>
  <c r="O1810" i="1" s="1"/>
  <c r="O1811" i="1" a="1"/>
  <c r="O1811" i="1" s="1"/>
  <c r="O1812" i="1" a="1"/>
  <c r="O1812" i="1" s="1"/>
  <c r="O1813" i="1" a="1"/>
  <c r="O1813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 s="1"/>
  <c r="O1827" i="1" a="1"/>
  <c r="O1827" i="1" s="1"/>
  <c r="O1828" i="1" a="1"/>
  <c r="O1828" i="1"/>
  <c r="O1829" i="1" a="1"/>
  <c r="O1829" i="1" s="1"/>
  <c r="O1830" i="1" a="1"/>
  <c r="O1830" i="1" s="1"/>
  <c r="O1831" i="1" a="1"/>
  <c r="O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/>
  <c r="O1840" i="1" a="1"/>
  <c r="O1840" i="1" s="1"/>
  <c r="O1841" i="1" a="1"/>
  <c r="O1841" i="1" s="1"/>
  <c r="O1842" i="1" a="1"/>
  <c r="O1842" i="1"/>
  <c r="O1843" i="1" a="1"/>
  <c r="O1843" i="1" s="1"/>
  <c r="O1844" i="1" a="1"/>
  <c r="O1844" i="1" s="1"/>
  <c r="O1845" i="1" a="1"/>
  <c r="O1845" i="1" s="1"/>
  <c r="O1846" i="1" a="1"/>
  <c r="O1846" i="1"/>
  <c r="O1847" i="1" a="1"/>
  <c r="O1847" i="1" s="1"/>
  <c r="O1848" i="1" a="1"/>
  <c r="O1848" i="1" s="1"/>
  <c r="O1849" i="1" a="1"/>
  <c r="O1849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O1856" i="1" a="1"/>
  <c r="O1856" i="1" s="1"/>
  <c r="O1857" i="1" a="1"/>
  <c r="O1857" i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O1864" i="1" a="1"/>
  <c r="O1864" i="1" s="1"/>
  <c r="O1865" i="1" a="1"/>
  <c r="O1865" i="1" s="1"/>
  <c r="O1866" i="1" a="1"/>
  <c r="O1866" i="1"/>
  <c r="O1867" i="1" a="1"/>
  <c r="O1867" i="1" s="1"/>
  <c r="O1868" i="1" a="1"/>
  <c r="O1868" i="1" s="1"/>
  <c r="O1869" i="1" a="1"/>
  <c r="O1869" i="1" s="1"/>
  <c r="O1870" i="1" a="1"/>
  <c r="O1870" i="1" s="1"/>
  <c r="O1871" i="1" a="1"/>
  <c r="O1871" i="1" s="1"/>
  <c r="O1872" i="1" a="1"/>
  <c r="O1872" i="1" s="1"/>
  <c r="O1873" i="1" a="1"/>
  <c r="O1873" i="1" s="1"/>
  <c r="O1874" i="1" a="1"/>
  <c r="O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O1880" i="1" a="1"/>
  <c r="O1880" i="1" s="1"/>
  <c r="O1881" i="1" a="1"/>
  <c r="O1881" i="1" s="1"/>
  <c r="O1882" i="1" a="1"/>
  <c r="O1882" i="1" s="1"/>
  <c r="O1883" i="1" a="1"/>
  <c r="O1883" i="1" s="1"/>
  <c r="O1884" i="1" a="1"/>
  <c r="O1884" i="1" s="1"/>
  <c r="O1885" i="1" a="1"/>
  <c r="O1885" i="1" s="1"/>
  <c r="O1886" i="1" a="1"/>
  <c r="O1886" i="1" s="1"/>
  <c r="O1887" i="1" a="1"/>
  <c r="O1887" i="1" s="1"/>
  <c r="O1888" i="1" a="1"/>
  <c r="O1888" i="1"/>
  <c r="O1889" i="1" a="1"/>
  <c r="O1889" i="1" s="1"/>
  <c r="O1890" i="1" a="1"/>
  <c r="O1890" i="1" s="1"/>
  <c r="O1891" i="1" a="1"/>
  <c r="O1891" i="1" s="1"/>
  <c r="O1892" i="1" a="1"/>
  <c r="O1892" i="1" s="1"/>
  <c r="O1893" i="1" a="1"/>
  <c r="O1893" i="1" s="1"/>
  <c r="O1894" i="1" a="1"/>
  <c r="O1894" i="1" s="1"/>
  <c r="O1895" i="1" a="1"/>
  <c r="O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1902" i="1" a="1"/>
  <c r="O1902" i="1" s="1"/>
  <c r="O1903" i="1" a="1"/>
  <c r="O1903" i="1" s="1"/>
  <c r="O1904" i="1" a="1"/>
  <c r="O1904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O1912" i="1" a="1"/>
  <c r="O1912" i="1" s="1"/>
  <c r="O1913" i="1" a="1"/>
  <c r="O1913" i="1" s="1"/>
  <c r="O1914" i="1" a="1"/>
  <c r="O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/>
  <c r="O1925" i="1" a="1"/>
  <c r="O1925" i="1" s="1"/>
  <c r="O1926" i="1" a="1"/>
  <c r="O1926" i="1" s="1"/>
  <c r="O1927" i="1" a="1"/>
  <c r="O1927" i="1" s="1"/>
  <c r="O1928" i="1" a="1"/>
  <c r="O1928" i="1" s="1"/>
  <c r="O1929" i="1" a="1"/>
  <c r="O1929" i="1" s="1"/>
  <c r="O1930" i="1" a="1"/>
  <c r="O1930" i="1" s="1"/>
  <c r="O1931" i="1" a="1"/>
  <c r="O1931" i="1"/>
  <c r="O1932" i="1" a="1"/>
  <c r="O1932" i="1" s="1"/>
  <c r="O1933" i="1" a="1"/>
  <c r="O1933" i="1" s="1"/>
  <c r="O1934" i="1" a="1"/>
  <c r="O1934" i="1" s="1"/>
  <c r="O1935" i="1" a="1"/>
  <c r="O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O1942" i="1" a="1"/>
  <c r="O1942" i="1" s="1"/>
  <c r="O1943" i="1" a="1"/>
  <c r="O1943" i="1" s="1"/>
  <c r="O1944" i="1" a="1"/>
  <c r="O1944" i="1" s="1"/>
  <c r="O1945" i="1" a="1"/>
  <c r="O1945" i="1" s="1"/>
  <c r="O1946" i="1" a="1"/>
  <c r="O1946" i="1" s="1"/>
  <c r="O1947" i="1" a="1"/>
  <c r="O1947" i="1"/>
  <c r="O1948" i="1" a="1"/>
  <c r="O1948" i="1" s="1"/>
  <c r="O1949" i="1" a="1"/>
  <c r="O1949" i="1" s="1"/>
  <c r="O1950" i="1" a="1"/>
  <c r="O1950" i="1" s="1"/>
  <c r="O1951" i="1" a="1"/>
  <c r="O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O1957" i="1" a="1"/>
  <c r="O1957" i="1" s="1"/>
  <c r="O1958" i="1" a="1"/>
  <c r="O1958" i="1" s="1"/>
  <c r="O1959" i="1" a="1"/>
  <c r="O1959" i="1" s="1"/>
  <c r="O1960" i="1" a="1"/>
  <c r="O1960" i="1" s="1"/>
  <c r="O1961" i="1" a="1"/>
  <c r="O1961" i="1"/>
  <c r="O1962" i="1" a="1"/>
  <c r="O1962" i="1" s="1"/>
  <c r="O1963" i="1" a="1"/>
  <c r="O1963" i="1" s="1"/>
  <c r="O1964" i="1" a="1"/>
  <c r="O1964" i="1" s="1"/>
  <c r="O1965" i="1" a="1"/>
  <c r="O1965" i="1" s="1"/>
  <c r="O1966" i="1" a="1"/>
  <c r="O1966" i="1" s="1"/>
  <c r="O1967" i="1" a="1"/>
  <c r="O1967" i="1" s="1"/>
  <c r="O1968" i="1" a="1"/>
  <c r="O1968" i="1" s="1"/>
  <c r="O1969" i="1" a="1"/>
  <c r="O1969" i="1" s="1"/>
  <c r="O1970" i="1" a="1"/>
  <c r="O1970" i="1" s="1"/>
  <c r="O1971" i="1" a="1"/>
  <c r="O1971" i="1" s="1"/>
  <c r="O1972" i="1" a="1"/>
  <c r="O1972" i="1" s="1"/>
  <c r="O1973" i="1" a="1"/>
  <c r="O1973" i="1" s="1"/>
  <c r="O1974" i="1" a="1"/>
  <c r="O1974" i="1" s="1"/>
  <c r="O1975" i="1" a="1"/>
  <c r="O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O1981" i="1" a="1"/>
  <c r="O1981" i="1" s="1"/>
  <c r="O1982" i="1" a="1"/>
  <c r="O1982" i="1" s="1"/>
  <c r="O1983" i="1" a="1"/>
  <c r="O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O1991" i="1" a="1"/>
  <c r="O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/>
  <c r="O1997" i="1" a="1"/>
  <c r="O1997" i="1" s="1"/>
  <c r="O1998" i="1" a="1"/>
  <c r="O1998" i="1" s="1"/>
  <c r="O1999" i="1" a="1"/>
  <c r="O1999" i="1" s="1"/>
  <c r="O2000" i="1" a="1"/>
  <c r="O2000" i="1" s="1"/>
  <c r="O2001" i="1" a="1"/>
  <c r="O2001" i="1" s="1"/>
  <c r="O2002" i="1" a="1"/>
  <c r="O2002" i="1" s="1"/>
  <c r="O2003" i="1" a="1"/>
  <c r="O2003" i="1" s="1"/>
  <c r="O2004" i="1" a="1"/>
  <c r="O2004" i="1"/>
  <c r="O2005" i="1" a="1"/>
  <c r="O2005" i="1" s="1"/>
  <c r="O2006" i="1" a="1"/>
  <c r="O2006" i="1" s="1"/>
  <c r="O2007" i="1" a="1"/>
  <c r="O2007" i="1" s="1"/>
  <c r="O2008" i="1" a="1"/>
  <c r="O2008" i="1" s="1"/>
  <c r="O2009" i="1" a="1"/>
  <c r="O2009" i="1" s="1"/>
  <c r="O2010" i="1" a="1"/>
  <c r="O2010" i="1"/>
  <c r="O2011" i="1" a="1"/>
  <c r="O2011" i="1" s="1"/>
  <c r="O2012" i="1" a="1"/>
  <c r="O2012" i="1" s="1"/>
  <c r="O2013" i="1" a="1"/>
  <c r="O2013" i="1" s="1"/>
  <c r="O2014" i="1" a="1"/>
  <c r="O2014" i="1" s="1"/>
  <c r="O2015" i="1" a="1"/>
  <c r="O2015" i="1" s="1"/>
  <c r="O2016" i="1" a="1"/>
  <c r="O2016" i="1" s="1"/>
  <c r="O2017" i="1" a="1"/>
  <c r="O2017" i="1" s="1"/>
  <c r="O2018" i="1" a="1"/>
  <c r="O2018" i="1" s="1"/>
  <c r="O2019" i="1" a="1"/>
  <c r="O2019" i="1" s="1"/>
  <c r="O2020" i="1" a="1"/>
  <c r="O2020" i="1" s="1"/>
  <c r="O2021" i="1" a="1"/>
  <c r="O2021" i="1" s="1"/>
  <c r="O2022" i="1" a="1"/>
  <c r="O2022" i="1" s="1"/>
  <c r="O2023" i="1" a="1"/>
  <c r="O2023" i="1" s="1"/>
  <c r="O2024" i="1" a="1"/>
  <c r="O2024" i="1" s="1"/>
  <c r="O2025" i="1" a="1"/>
  <c r="O2025" i="1" s="1"/>
  <c r="O2026" i="1" a="1"/>
  <c r="O2026" i="1" s="1"/>
  <c r="O2027" i="1" a="1"/>
  <c r="O2027" i="1" s="1"/>
  <c r="O2028" i="1" a="1"/>
  <c r="O2028" i="1" s="1"/>
  <c r="O2029" i="1" a="1"/>
  <c r="O2029" i="1" s="1"/>
  <c r="O2030" i="1" a="1"/>
  <c r="O2030" i="1" s="1"/>
  <c r="O2031" i="1" a="1"/>
  <c r="O2031" i="1" s="1"/>
  <c r="O2032" i="1" a="1"/>
  <c r="O2032" i="1" s="1"/>
  <c r="O2033" i="1" a="1"/>
  <c r="O2033" i="1" s="1"/>
  <c r="O2034" i="1" a="1"/>
  <c r="O2034" i="1" s="1"/>
  <c r="O2035" i="1" a="1"/>
  <c r="O2035" i="1" s="1"/>
  <c r="O2036" i="1" a="1"/>
  <c r="O2036" i="1" s="1"/>
  <c r="O2037" i="1" a="1"/>
  <c r="O2037" i="1" s="1"/>
  <c r="O2038" i="1" a="1"/>
  <c r="O2038" i="1"/>
  <c r="O2039" i="1" a="1"/>
  <c r="O2039" i="1" s="1"/>
  <c r="O2040" i="1" a="1"/>
  <c r="O2040" i="1" s="1"/>
  <c r="O2041" i="1" a="1"/>
  <c r="O2041" i="1"/>
  <c r="O2042" i="1" a="1"/>
  <c r="O2042" i="1" s="1"/>
  <c r="O2043" i="1" a="1"/>
  <c r="O2043" i="1" s="1"/>
  <c r="O2044" i="1" a="1"/>
  <c r="O2044" i="1" s="1"/>
  <c r="O2045" i="1" a="1"/>
  <c r="O2045" i="1" s="1"/>
  <c r="O2046" i="1" a="1"/>
  <c r="O2046" i="1" s="1"/>
  <c r="O2047" i="1" a="1"/>
  <c r="O2047" i="1" s="1"/>
  <c r="O2048" i="1" a="1"/>
  <c r="O2048" i="1" s="1"/>
  <c r="O2049" i="1" a="1"/>
  <c r="O2049" i="1" s="1"/>
  <c r="O2050" i="1" a="1"/>
  <c r="O2050" i="1" s="1"/>
  <c r="O2051" i="1" a="1"/>
  <c r="O2051" i="1" s="1"/>
  <c r="O2052" i="1" a="1"/>
  <c r="O2052" i="1" s="1"/>
  <c r="O2053" i="1" a="1"/>
  <c r="O2053" i="1" s="1"/>
  <c r="O2054" i="1" a="1"/>
  <c r="O2054" i="1" s="1"/>
  <c r="O2055" i="1" a="1"/>
  <c r="O2055" i="1" s="1"/>
  <c r="O2056" i="1" a="1"/>
  <c r="O2056" i="1" s="1"/>
  <c r="O2057" i="1" a="1"/>
  <c r="O2057" i="1" s="1"/>
  <c r="O2058" i="1" a="1"/>
  <c r="O2058" i="1" s="1"/>
  <c r="O2059" i="1" a="1"/>
  <c r="O2059" i="1" s="1"/>
  <c r="O2060" i="1" a="1"/>
  <c r="O2060" i="1" s="1"/>
  <c r="O2061" i="1" a="1"/>
  <c r="O2061" i="1" s="1"/>
  <c r="O2062" i="1" a="1"/>
  <c r="O2062" i="1"/>
  <c r="O2063" i="1" a="1"/>
  <c r="O2063" i="1" s="1"/>
  <c r="O2064" i="1" a="1"/>
  <c r="O2064" i="1" s="1"/>
  <c r="O2065" i="1" a="1"/>
  <c r="O2065" i="1" s="1"/>
  <c r="O2066" i="1" a="1"/>
  <c r="O2066" i="1" s="1"/>
  <c r="O2067" i="1" a="1"/>
  <c r="O2067" i="1" s="1"/>
  <c r="O2068" i="1" a="1"/>
  <c r="O2068" i="1" s="1"/>
  <c r="O2069" i="1" a="1"/>
  <c r="O2069" i="1" s="1"/>
  <c r="O2070" i="1" a="1"/>
  <c r="O2070" i="1" s="1"/>
  <c r="O2071" i="1" a="1"/>
  <c r="O2071" i="1" s="1"/>
  <c r="O2072" i="1" a="1"/>
  <c r="O2072" i="1" s="1"/>
  <c r="O2073" i="1" a="1"/>
  <c r="O2073" i="1" s="1"/>
  <c r="O2074" i="1" a="1"/>
  <c r="O2074" i="1" s="1"/>
  <c r="O2075" i="1" a="1"/>
  <c r="O2075" i="1"/>
  <c r="O2076" i="1" a="1"/>
  <c r="O2076" i="1"/>
  <c r="O2077" i="1" a="1"/>
  <c r="O2077" i="1" s="1"/>
  <c r="O2078" i="1" a="1"/>
  <c r="O2078" i="1" s="1"/>
  <c r="O2079" i="1" a="1"/>
  <c r="O2079" i="1" s="1"/>
  <c r="O2080" i="1" a="1"/>
  <c r="O2080" i="1" s="1"/>
  <c r="O2081" i="1" a="1"/>
  <c r="O2081" i="1" s="1"/>
  <c r="O2082" i="1" a="1"/>
  <c r="O2082" i="1" s="1"/>
  <c r="O2083" i="1" a="1"/>
  <c r="O2083" i="1" s="1"/>
  <c r="O2084" i="1" a="1"/>
  <c r="O2084" i="1" s="1"/>
  <c r="O2085" i="1" a="1"/>
  <c r="O2085" i="1" s="1"/>
  <c r="O2086" i="1" a="1"/>
  <c r="O2086" i="1" s="1"/>
  <c r="O2087" i="1" a="1"/>
  <c r="O2087" i="1" s="1"/>
  <c r="O2088" i="1" a="1"/>
  <c r="O2088" i="1" s="1"/>
  <c r="O2089" i="1" a="1"/>
  <c r="O2089" i="1"/>
  <c r="O2090" i="1" a="1"/>
  <c r="O2090" i="1" s="1"/>
  <c r="O2091" i="1" a="1"/>
  <c r="O2091" i="1"/>
  <c r="O2092" i="1" a="1"/>
  <c r="O2092" i="1" s="1"/>
  <c r="O2093" i="1" a="1"/>
  <c r="O2093" i="1" s="1"/>
  <c r="O2094" i="1" a="1"/>
  <c r="O2094" i="1" s="1"/>
  <c r="O2095" i="1" a="1"/>
  <c r="O2095" i="1" s="1"/>
  <c r="O2096" i="1" a="1"/>
  <c r="O2096" i="1" s="1"/>
  <c r="O2097" i="1" a="1"/>
  <c r="O2097" i="1" s="1"/>
  <c r="O2098" i="1" a="1"/>
  <c r="O2098" i="1" s="1"/>
  <c r="O2099" i="1" a="1"/>
  <c r="O2099" i="1" s="1"/>
  <c r="O2100" i="1" a="1"/>
  <c r="O2100" i="1"/>
  <c r="O2101" i="1" a="1"/>
  <c r="O2101" i="1" s="1"/>
  <c r="O2102" i="1" a="1"/>
  <c r="O2102" i="1"/>
  <c r="O2103" i="1" a="1"/>
  <c r="O2103" i="1" s="1"/>
  <c r="O2104" i="1" a="1"/>
  <c r="O2104" i="1" s="1"/>
  <c r="O2105" i="1" a="1"/>
  <c r="O2105" i="1" s="1"/>
  <c r="O2106" i="1" a="1"/>
  <c r="O2106" i="1" s="1"/>
  <c r="O2107" i="1" a="1"/>
  <c r="O2107" i="1"/>
  <c r="O2108" i="1" a="1"/>
  <c r="O2108" i="1" s="1"/>
  <c r="O2109" i="1" a="1"/>
  <c r="O2109" i="1"/>
  <c r="O2110" i="1" a="1"/>
  <c r="O2110" i="1" s="1"/>
  <c r="O2111" i="1" a="1"/>
  <c r="O2111" i="1" s="1"/>
  <c r="O2112" i="1" a="1"/>
  <c r="O2112" i="1" s="1"/>
  <c r="O2113" i="1" a="1"/>
  <c r="O2113" i="1" s="1"/>
  <c r="O2114" i="1" a="1"/>
  <c r="O2114" i="1" s="1"/>
  <c r="O2115" i="1" a="1"/>
  <c r="O2115" i="1" s="1"/>
  <c r="O2116" i="1" a="1"/>
  <c r="O2116" i="1" s="1"/>
  <c r="O2117" i="1" a="1"/>
  <c r="O2117" i="1" s="1"/>
  <c r="O2118" i="1" a="1"/>
  <c r="O2118" i="1"/>
  <c r="O2119" i="1" a="1"/>
  <c r="O2119" i="1" s="1"/>
  <c r="O2120" i="1" a="1"/>
  <c r="O2120" i="1" s="1"/>
  <c r="O2121" i="1" a="1"/>
  <c r="O2121" i="1" s="1"/>
  <c r="O2122" i="1" a="1"/>
  <c r="O2122" i="1" s="1"/>
  <c r="O2123" i="1" a="1"/>
  <c r="O2123" i="1" s="1"/>
  <c r="O2124" i="1" a="1"/>
  <c r="O2124" i="1"/>
  <c r="O2125" i="1" a="1"/>
  <c r="O2125" i="1" s="1"/>
  <c r="O2126" i="1" a="1"/>
  <c r="O2126" i="1" s="1"/>
  <c r="O2127" i="1" a="1"/>
  <c r="O2127" i="1" s="1"/>
  <c r="O2128" i="1" a="1"/>
  <c r="O2128" i="1" s="1"/>
  <c r="O2129" i="1" a="1"/>
  <c r="O2129" i="1" s="1"/>
  <c r="O2130" i="1" a="1"/>
  <c r="O2130" i="1" s="1"/>
  <c r="O2131" i="1" a="1"/>
  <c r="O2131" i="1" s="1"/>
  <c r="O2132" i="1" a="1"/>
  <c r="O2132" i="1"/>
  <c r="O2133" i="1" a="1"/>
  <c r="O2133" i="1" s="1"/>
  <c r="O2134" i="1" a="1"/>
  <c r="O2134" i="1" s="1"/>
  <c r="O2135" i="1" a="1"/>
  <c r="O2135" i="1" s="1"/>
  <c r="O2136" i="1" a="1"/>
  <c r="O2136" i="1" s="1"/>
  <c r="O2137" i="1" a="1"/>
  <c r="O2137" i="1" s="1"/>
  <c r="O2138" i="1" a="1"/>
  <c r="O2138" i="1" s="1"/>
  <c r="O2139" i="1" a="1"/>
  <c r="O2139" i="1" s="1"/>
  <c r="O2140" i="1" a="1"/>
  <c r="O2140" i="1" s="1"/>
  <c r="O2141" i="1" a="1"/>
  <c r="O2141" i="1" s="1"/>
  <c r="O2142" i="1" a="1"/>
  <c r="O2142" i="1" s="1"/>
  <c r="O2143" i="1" a="1"/>
  <c r="O2143" i="1"/>
  <c r="O2144" i="1" a="1"/>
  <c r="O2144" i="1" s="1"/>
  <c r="O2145" i="1" a="1"/>
  <c r="O2145" i="1"/>
  <c r="O2146" i="1" a="1"/>
  <c r="O2146" i="1" s="1"/>
  <c r="O2147" i="1" a="1"/>
  <c r="O2147" i="1" s="1"/>
  <c r="O2148" i="1" a="1"/>
  <c r="O2148" i="1" s="1"/>
  <c r="O2149" i="1" a="1"/>
  <c r="O2149" i="1"/>
  <c r="O2150" i="1" a="1"/>
  <c r="O2150" i="1" s="1"/>
  <c r="O2151" i="1" a="1"/>
  <c r="O2151" i="1" s="1"/>
  <c r="O2152" i="1" a="1"/>
  <c r="O2152" i="1" s="1"/>
  <c r="O2153" i="1" a="1"/>
  <c r="O2153" i="1" s="1"/>
  <c r="O2154" i="1" a="1"/>
  <c r="O2154" i="1"/>
  <c r="O2155" i="1" a="1"/>
  <c r="O2155" i="1" s="1"/>
  <c r="O2156" i="1" a="1"/>
  <c r="O2156" i="1" s="1"/>
  <c r="O2157" i="1" a="1"/>
  <c r="O2157" i="1"/>
  <c r="O2158" i="1" a="1"/>
  <c r="O2158" i="1" s="1"/>
  <c r="O2159" i="1" a="1"/>
  <c r="O2159" i="1" s="1"/>
  <c r="O2160" i="1" a="1"/>
  <c r="O2160" i="1"/>
  <c r="O2161" i="1" a="1"/>
  <c r="O2161" i="1"/>
  <c r="O2162" i="1" a="1"/>
  <c r="O2162" i="1" s="1"/>
  <c r="O2163" i="1" a="1"/>
  <c r="O2163" i="1"/>
  <c r="O2164" i="1" a="1"/>
  <c r="O2164" i="1" s="1"/>
  <c r="O2165" i="1" a="1"/>
  <c r="O2165" i="1" s="1"/>
  <c r="O2166" i="1" a="1"/>
  <c r="O2166" i="1" s="1"/>
  <c r="O2167" i="1" a="1"/>
  <c r="O2167" i="1" s="1"/>
  <c r="O2168" i="1" a="1"/>
  <c r="O2168" i="1"/>
  <c r="O2169" i="1" a="1"/>
  <c r="O2169" i="1" s="1"/>
  <c r="O2170" i="1" a="1"/>
  <c r="O2170" i="1" s="1"/>
  <c r="O2171" i="1" a="1"/>
  <c r="O2171" i="1" s="1"/>
  <c r="O2172" i="1" a="1"/>
  <c r="O2172" i="1"/>
  <c r="O2173" i="1" a="1"/>
  <c r="O2173" i="1" s="1"/>
  <c r="O2174" i="1" a="1"/>
  <c r="O2174" i="1"/>
  <c r="O2175" i="1" a="1"/>
  <c r="O2175" i="1" s="1"/>
  <c r="O2176" i="1" a="1"/>
  <c r="O2176" i="1" s="1"/>
  <c r="O2177" i="1" a="1"/>
  <c r="O2177" i="1" s="1"/>
  <c r="O2178" i="1" a="1"/>
  <c r="O2178" i="1" s="1"/>
  <c r="O2179" i="1" a="1"/>
  <c r="O2179" i="1" s="1"/>
  <c r="O2180" i="1" a="1"/>
  <c r="O2180" i="1" s="1"/>
  <c r="O2181" i="1" a="1"/>
  <c r="O2181" i="1"/>
  <c r="O2182" i="1" a="1"/>
  <c r="O2182" i="1" s="1"/>
  <c r="O2183" i="1" a="1"/>
  <c r="O2183" i="1" s="1"/>
  <c r="O2184" i="1" a="1"/>
  <c r="O2184" i="1" s="1"/>
  <c r="O2185" i="1" a="1"/>
  <c r="O2185" i="1"/>
  <c r="O2186" i="1" a="1"/>
  <c r="O2186" i="1" s="1"/>
  <c r="O2187" i="1" a="1"/>
  <c r="O2187" i="1" s="1"/>
  <c r="O2188" i="1" a="1"/>
  <c r="O2188" i="1" s="1"/>
  <c r="O2189" i="1" a="1"/>
  <c r="O2189" i="1" s="1"/>
  <c r="O2190" i="1" a="1"/>
  <c r="O2190" i="1"/>
  <c r="O2191" i="1" a="1"/>
  <c r="O2191" i="1" s="1"/>
  <c r="O2192" i="1" a="1"/>
  <c r="O2192" i="1" s="1"/>
  <c r="O2193" i="1" a="1"/>
  <c r="O2193" i="1"/>
  <c r="O2194" i="1" a="1"/>
  <c r="O2194" i="1" s="1"/>
  <c r="O2195" i="1" a="1"/>
  <c r="O2195" i="1" s="1"/>
  <c r="O2196" i="1" a="1"/>
  <c r="O2196" i="1" s="1"/>
  <c r="O2197" i="1" a="1"/>
  <c r="O2197" i="1" s="1"/>
  <c r="O2198" i="1" a="1"/>
  <c r="O2198" i="1" s="1"/>
  <c r="O2199" i="1" a="1"/>
  <c r="O2199" i="1"/>
  <c r="O2200" i="1" a="1"/>
  <c r="O2200" i="1" s="1"/>
  <c r="O2201" i="1" a="1"/>
  <c r="O2201" i="1" s="1"/>
  <c r="O2202" i="1" a="1"/>
  <c r="O2202" i="1" s="1"/>
  <c r="O2203" i="1" a="1"/>
  <c r="O2203" i="1" s="1"/>
  <c r="O2204" i="1" a="1"/>
  <c r="O2204" i="1" s="1"/>
  <c r="O2205" i="1" a="1"/>
  <c r="O2205" i="1" s="1"/>
  <c r="O2206" i="1" a="1"/>
  <c r="O2206" i="1" s="1"/>
  <c r="O2207" i="1" a="1"/>
  <c r="O2207" i="1" s="1"/>
  <c r="O2208" i="1" a="1"/>
  <c r="O2208" i="1"/>
  <c r="O2209" i="1" a="1"/>
  <c r="O2209" i="1" s="1"/>
  <c r="O2210" i="1" a="1"/>
  <c r="O2210" i="1"/>
  <c r="O2211" i="1" a="1"/>
  <c r="O2211" i="1" s="1"/>
  <c r="O2212" i="1" a="1"/>
  <c r="O2212" i="1" s="1"/>
  <c r="O2213" i="1" a="1"/>
  <c r="O2213" i="1" s="1"/>
  <c r="O2214" i="1" a="1"/>
  <c r="O2214" i="1" s="1"/>
  <c r="O2215" i="1" a="1"/>
  <c r="O2215" i="1" s="1"/>
  <c r="O2216" i="1" a="1"/>
  <c r="O2216" i="1" s="1"/>
  <c r="O2217" i="1" a="1"/>
  <c r="O2217" i="1" s="1"/>
  <c r="O2218" i="1" a="1"/>
  <c r="O2218" i="1" s="1"/>
  <c r="O2219" i="1" a="1"/>
  <c r="O2219" i="1" s="1"/>
  <c r="O2220" i="1" a="1"/>
  <c r="O2220" i="1" s="1"/>
  <c r="O2221" i="1" a="1"/>
  <c r="O2221" i="1"/>
  <c r="O2222" i="1" a="1"/>
  <c r="O2222" i="1" s="1"/>
  <c r="O2223" i="1" a="1"/>
  <c r="O2223" i="1" s="1"/>
  <c r="O2224" i="1" a="1"/>
  <c r="O2224" i="1" s="1"/>
  <c r="O2225" i="1" a="1"/>
  <c r="O2225" i="1" s="1"/>
  <c r="O2226" i="1" a="1"/>
  <c r="O2226" i="1"/>
  <c r="O2227" i="1" a="1"/>
  <c r="O2227" i="1" s="1"/>
  <c r="O2228" i="1" a="1"/>
  <c r="O2228" i="1"/>
  <c r="O2229" i="1" a="1"/>
  <c r="O2229" i="1" s="1"/>
  <c r="O2230" i="1" a="1"/>
  <c r="O2230" i="1" s="1"/>
  <c r="O2231" i="1" a="1"/>
  <c r="O2231" i="1" s="1"/>
  <c r="O2232" i="1" a="1"/>
  <c r="O2232" i="1"/>
  <c r="O2233" i="1" a="1"/>
  <c r="O2233" i="1"/>
  <c r="O2234" i="1" a="1"/>
  <c r="O2234" i="1" s="1"/>
  <c r="O2235" i="1" a="1"/>
  <c r="O2235" i="1" s="1"/>
  <c r="O2236" i="1" a="1"/>
  <c r="O2236" i="1" s="1"/>
  <c r="O2237" i="1" a="1"/>
  <c r="O2237" i="1" s="1"/>
  <c r="O2238" i="1" a="1"/>
  <c r="O2238" i="1" s="1"/>
  <c r="O2239" i="1" a="1"/>
  <c r="O2239" i="1"/>
  <c r="O2240" i="1" a="1"/>
  <c r="O2240" i="1"/>
  <c r="O2241" i="1" a="1"/>
  <c r="O2241" i="1" s="1"/>
  <c r="O2242" i="1" a="1"/>
  <c r="O2242" i="1" s="1"/>
  <c r="O2243" i="1" a="1"/>
  <c r="O2243" i="1" s="1"/>
  <c r="O2244" i="1" a="1"/>
  <c r="O2244" i="1" s="1"/>
  <c r="O2245" i="1" a="1"/>
  <c r="O2245" i="1" s="1"/>
  <c r="O2246" i="1" a="1"/>
  <c r="O2246" i="1"/>
  <c r="O2247" i="1" a="1"/>
  <c r="O2247" i="1" s="1"/>
  <c r="O2248" i="1" a="1"/>
  <c r="O2248" i="1" s="1"/>
  <c r="O2249" i="1" a="1"/>
  <c r="O2249" i="1" s="1"/>
  <c r="O2250" i="1" a="1"/>
  <c r="O2250" i="1" s="1"/>
  <c r="O2251" i="1" a="1"/>
  <c r="O2251" i="1" s="1"/>
  <c r="O2252" i="1" a="1"/>
  <c r="O2252" i="1" s="1"/>
  <c r="O2253" i="1" a="1"/>
  <c r="O2253" i="1" s="1"/>
  <c r="O2254" i="1" a="1"/>
  <c r="O2254" i="1" s="1"/>
  <c r="O2255" i="1" a="1"/>
  <c r="O2255" i="1" s="1"/>
  <c r="O2256" i="1" a="1"/>
  <c r="O2256" i="1" s="1"/>
  <c r="O2257" i="1" a="1"/>
  <c r="O2257" i="1"/>
  <c r="O2258" i="1" a="1"/>
  <c r="O2258" i="1" s="1"/>
  <c r="O2259" i="1" a="1"/>
  <c r="O2259" i="1" s="1"/>
  <c r="O2260" i="1" a="1"/>
  <c r="O2260" i="1" s="1"/>
  <c r="O2261" i="1" a="1"/>
  <c r="O2261" i="1" s="1"/>
  <c r="O2262" i="1" a="1"/>
  <c r="O2262" i="1"/>
  <c r="O2263" i="1" a="1"/>
  <c r="O2263" i="1" s="1"/>
  <c r="O2264" i="1" a="1"/>
  <c r="O2264" i="1"/>
  <c r="O2265" i="1" a="1"/>
  <c r="O2265" i="1" s="1"/>
  <c r="O2266" i="1" a="1"/>
  <c r="O2266" i="1" s="1"/>
  <c r="O2267" i="1" a="1"/>
  <c r="O2267" i="1" s="1"/>
  <c r="O2268" i="1" a="1"/>
  <c r="O2268" i="1"/>
  <c r="O2269" i="1" a="1"/>
  <c r="O2269" i="1" s="1"/>
  <c r="O2270" i="1" a="1"/>
  <c r="O2270" i="1" s="1"/>
  <c r="O2271" i="1" a="1"/>
  <c r="O2271" i="1"/>
  <c r="O2272" i="1" a="1"/>
  <c r="O2272" i="1" s="1"/>
  <c r="O2273" i="1" a="1"/>
  <c r="O2273" i="1" s="1"/>
  <c r="O2274" i="1" a="1"/>
  <c r="O2274" i="1" s="1"/>
  <c r="O2275" i="1" a="1"/>
  <c r="O2275" i="1" s="1"/>
  <c r="O2276" i="1" a="1"/>
  <c r="O2276" i="1" s="1"/>
  <c r="O2277" i="1" a="1"/>
  <c r="O2277" i="1" s="1"/>
  <c r="O2278" i="1" a="1"/>
  <c r="O2278" i="1" s="1"/>
  <c r="O2279" i="1" a="1"/>
  <c r="O2279" i="1" s="1"/>
  <c r="O2280" i="1" a="1"/>
  <c r="O2280" i="1" s="1"/>
  <c r="O2281" i="1" a="1"/>
  <c r="O2281" i="1" s="1"/>
  <c r="O2282" i="1" a="1"/>
  <c r="O2282" i="1" s="1"/>
  <c r="O2283" i="1" a="1"/>
  <c r="O2283" i="1" s="1"/>
  <c r="O2284" i="1" a="1"/>
  <c r="O2284" i="1" s="1"/>
  <c r="O2285" i="1" a="1"/>
  <c r="O2285" i="1" s="1"/>
  <c r="O2286" i="1" a="1"/>
  <c r="O2286" i="1"/>
  <c r="O2287" i="1" a="1"/>
  <c r="O2287" i="1" s="1"/>
  <c r="O2288" i="1" a="1"/>
  <c r="O2288" i="1" s="1"/>
  <c r="O2289" i="1" a="1"/>
  <c r="O2289" i="1"/>
  <c r="O2290" i="1" a="1"/>
  <c r="O2290" i="1" s="1"/>
  <c r="O2291" i="1" a="1"/>
  <c r="O2291" i="1" s="1"/>
  <c r="O2292" i="1" a="1"/>
  <c r="O2292" i="1" s="1"/>
  <c r="O2293" i="1" a="1"/>
  <c r="O2293" i="1"/>
  <c r="O2294" i="1" a="1"/>
  <c r="O2294" i="1" s="1"/>
  <c r="O2295" i="1" a="1"/>
  <c r="O2295" i="1" s="1"/>
  <c r="O2296" i="1" a="1"/>
  <c r="O2296" i="1" s="1"/>
  <c r="O2297" i="1" a="1"/>
  <c r="O2297" i="1" s="1"/>
  <c r="O2298" i="1" a="1"/>
  <c r="O2298" i="1" s="1"/>
  <c r="O2299" i="1" a="1"/>
  <c r="O2299" i="1" s="1"/>
  <c r="O2300" i="1" a="1"/>
  <c r="O2300" i="1"/>
  <c r="O2301" i="1" a="1"/>
  <c r="O2301" i="1" s="1"/>
  <c r="O2302" i="1" a="1"/>
  <c r="O2302" i="1" s="1"/>
  <c r="O2303" i="1" a="1"/>
  <c r="O2303" i="1" s="1"/>
  <c r="O2304" i="1" a="1"/>
  <c r="O2304" i="1" s="1"/>
  <c r="O2305" i="1" a="1"/>
  <c r="O2305" i="1" s="1"/>
  <c r="O2306" i="1" a="1"/>
  <c r="O2306" i="1" s="1"/>
  <c r="O2307" i="1" a="1"/>
  <c r="O2307" i="1"/>
  <c r="O2308" i="1" a="1"/>
  <c r="O2308" i="1" s="1"/>
  <c r="O2309" i="1" a="1"/>
  <c r="O2309" i="1" s="1"/>
  <c r="O2310" i="1" a="1"/>
  <c r="O2310" i="1" s="1"/>
  <c r="O2311" i="1" a="1"/>
  <c r="O2311" i="1" s="1"/>
  <c r="O2312" i="1" a="1"/>
  <c r="O2312" i="1" s="1"/>
  <c r="O2313" i="1" a="1"/>
  <c r="O2313" i="1" s="1"/>
  <c r="O2314" i="1" a="1"/>
  <c r="O2314" i="1" s="1"/>
  <c r="O2315" i="1" a="1"/>
  <c r="O2315" i="1" s="1"/>
  <c r="O2316" i="1" a="1"/>
  <c r="O2316" i="1" s="1"/>
  <c r="O2317" i="1" a="1"/>
  <c r="O2317" i="1" s="1"/>
  <c r="O2318" i="1" a="1"/>
  <c r="O2318" i="1" s="1"/>
  <c r="O2319" i="1" a="1"/>
  <c r="O2319" i="1" s="1"/>
  <c r="O2320" i="1" a="1"/>
  <c r="O2320" i="1" s="1"/>
  <c r="O2321" i="1" a="1"/>
  <c r="O2321" i="1" s="1"/>
  <c r="O2322" i="1" a="1"/>
  <c r="O2322" i="1"/>
  <c r="O2323" i="1" a="1"/>
  <c r="O2323" i="1" s="1"/>
  <c r="O2324" i="1" a="1"/>
  <c r="O2324" i="1" s="1"/>
  <c r="O2325" i="1" a="1"/>
  <c r="O2325" i="1"/>
  <c r="O2326" i="1" a="1"/>
  <c r="O2326" i="1" s="1"/>
  <c r="O2327" i="1" a="1"/>
  <c r="O2327" i="1" s="1"/>
  <c r="O2328" i="1" a="1"/>
  <c r="O2328" i="1" s="1"/>
  <c r="O2329" i="1" a="1"/>
  <c r="O2329" i="1"/>
  <c r="O2330" i="1" a="1"/>
  <c r="O2330" i="1" s="1"/>
  <c r="O2331" i="1" a="1"/>
  <c r="O2331" i="1" s="1"/>
  <c r="O2332" i="1" a="1"/>
  <c r="O2332" i="1" s="1"/>
  <c r="O2333" i="1" a="1"/>
  <c r="O2333" i="1" s="1"/>
  <c r="O2334" i="1" a="1"/>
  <c r="O2334" i="1" s="1"/>
  <c r="O2335" i="1" a="1"/>
  <c r="O2335" i="1" s="1"/>
  <c r="O2336" i="1" a="1"/>
  <c r="O2336" i="1" s="1"/>
  <c r="O2337" i="1" a="1"/>
  <c r="O2337" i="1" s="1"/>
  <c r="O2338" i="1" a="1"/>
  <c r="O2338" i="1" s="1"/>
  <c r="O2339" i="1" a="1"/>
  <c r="O2339" i="1" s="1"/>
  <c r="O2340" i="1" a="1"/>
  <c r="O2340" i="1"/>
  <c r="O2341" i="1" a="1"/>
  <c r="O2341" i="1" s="1"/>
  <c r="O2342" i="1" a="1"/>
  <c r="O2342" i="1" s="1"/>
  <c r="O2343" i="1" a="1"/>
  <c r="O2343" i="1" s="1"/>
  <c r="O2344" i="1" a="1"/>
  <c r="O2344" i="1" s="1"/>
  <c r="O2345" i="1" a="1"/>
  <c r="O2345" i="1" s="1"/>
  <c r="O2346" i="1" a="1"/>
  <c r="O2346" i="1" s="1"/>
  <c r="O2347" i="1" a="1"/>
  <c r="O2347" i="1" s="1"/>
  <c r="O2348" i="1" a="1"/>
  <c r="O2348" i="1" s="1"/>
  <c r="O2349" i="1" a="1"/>
  <c r="O2349" i="1" s="1"/>
  <c r="O2350" i="1" a="1"/>
  <c r="O2350" i="1" s="1"/>
  <c r="O2351" i="1" a="1"/>
  <c r="O2351" i="1" s="1"/>
  <c r="O2352" i="1" a="1"/>
  <c r="O2352" i="1" s="1"/>
  <c r="O2353" i="1" a="1"/>
  <c r="O2353" i="1" s="1"/>
  <c r="O2354" i="1" a="1"/>
  <c r="O2354" i="1" s="1"/>
  <c r="O2355" i="1" a="1"/>
  <c r="O2355" i="1" s="1"/>
  <c r="O2356" i="1" a="1"/>
  <c r="O2356" i="1" s="1"/>
  <c r="O2357" i="1" a="1"/>
  <c r="O2357" i="1" s="1"/>
  <c r="O2358" i="1" a="1"/>
  <c r="O2358" i="1" s="1"/>
  <c r="O2359" i="1" a="1"/>
  <c r="O2359" i="1"/>
  <c r="O2360" i="1" a="1"/>
  <c r="O2360" i="1" s="1"/>
  <c r="O2361" i="1" a="1"/>
  <c r="O2361" i="1" s="1"/>
  <c r="O2362" i="1" a="1"/>
  <c r="O2362" i="1" s="1"/>
  <c r="O2363" i="1" a="1"/>
  <c r="O2363" i="1" s="1"/>
  <c r="O2364" i="1" a="1"/>
  <c r="O2364" i="1" s="1"/>
  <c r="O2365" i="1" a="1"/>
  <c r="O2365" i="1"/>
  <c r="O2366" i="1" a="1"/>
  <c r="O2366" i="1" s="1"/>
  <c r="O2367" i="1" a="1"/>
  <c r="O2367" i="1" s="1"/>
  <c r="O2368" i="1" a="1"/>
  <c r="O2368" i="1" s="1"/>
  <c r="O2369" i="1" a="1"/>
  <c r="O2369" i="1" s="1"/>
  <c r="O2370" i="1" a="1"/>
  <c r="O2370" i="1" s="1"/>
  <c r="O2371" i="1" a="1"/>
  <c r="O2371" i="1" s="1"/>
  <c r="O2372" i="1" a="1"/>
  <c r="O2372" i="1"/>
  <c r="O2373" i="1" a="1"/>
  <c r="O2373" i="1" s="1"/>
  <c r="O2374" i="1" a="1"/>
  <c r="O2374" i="1" s="1"/>
  <c r="O2375" i="1" a="1"/>
  <c r="O2375" i="1" s="1"/>
  <c r="O2376" i="1" a="1"/>
  <c r="O2376" i="1" s="1"/>
  <c r="O2377" i="1" a="1"/>
  <c r="O2377" i="1" s="1"/>
  <c r="O2378" i="1" a="1"/>
  <c r="O2378" i="1"/>
  <c r="O2379" i="1" a="1"/>
  <c r="O2379" i="1" s="1"/>
  <c r="O2380" i="1" a="1"/>
  <c r="O2380" i="1" s="1"/>
  <c r="O2381" i="1" a="1"/>
  <c r="O2381" i="1" s="1"/>
  <c r="O2382" i="1" a="1"/>
  <c r="O2382" i="1" s="1"/>
  <c r="O2383" i="1" a="1"/>
  <c r="O2383" i="1" s="1"/>
  <c r="O2384" i="1" a="1"/>
  <c r="O2384" i="1" s="1"/>
  <c r="O2385" i="1" a="1"/>
  <c r="O2385" i="1" s="1"/>
  <c r="O2386" i="1" a="1"/>
  <c r="O2386" i="1" s="1"/>
  <c r="O2387" i="1" a="1"/>
  <c r="O2387" i="1" s="1"/>
  <c r="O2388" i="1" a="1"/>
  <c r="O2388" i="1" s="1"/>
  <c r="O2389" i="1" a="1"/>
  <c r="O2389" i="1" s="1"/>
  <c r="O2390" i="1" a="1"/>
  <c r="O2390" i="1" s="1"/>
  <c r="O2391" i="1" a="1"/>
  <c r="O2391" i="1" s="1"/>
  <c r="O2392" i="1" a="1"/>
  <c r="O2392" i="1" s="1"/>
  <c r="O2393" i="1" a="1"/>
  <c r="O2393" i="1" s="1"/>
  <c r="O2394" i="1" a="1"/>
  <c r="O2394" i="1" s="1"/>
  <c r="O2395" i="1" a="1"/>
  <c r="O2395" i="1"/>
  <c r="O2396" i="1" a="1"/>
  <c r="O2396" i="1" s="1"/>
  <c r="O2397" i="1" a="1"/>
  <c r="O2397" i="1" s="1"/>
  <c r="O2398" i="1" a="1"/>
  <c r="O2398" i="1" s="1"/>
  <c r="O2399" i="1" a="1"/>
  <c r="O2399" i="1" s="1"/>
  <c r="O2400" i="1" a="1"/>
  <c r="O2400" i="1" s="1"/>
  <c r="O2401" i="1" a="1"/>
  <c r="O24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<sst xmlns="http://schemas.openxmlformats.org/spreadsheetml/2006/main" count="14445" uniqueCount="2520">
  <si>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</si>
  <si>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</si>
  <si>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</si>
  <si>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</si>
  <si>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</si>
  <si>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</si>
  <si>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</si>
  <si>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</si>
  <si>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</si>
  <si>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</si>
  <si>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</si>
  <si>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</si>
  <si>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</si>
  <si>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</si>
  <si>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</si>
  <si>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</si>
  <si>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</si>
  <si>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</si>
  <si>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</si>
  <si>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</si>
  <si>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</si>
  <si>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</si>
  <si>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</si>
  <si>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</si>
  <si>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</si>
  <si>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</si>
  <si>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</si>
  <si>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</si>
  <si>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</si>
  <si>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</si>
  <si>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</si>
  <si>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</si>
  <si>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</si>
  <si>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</si>
  <si>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</si>
  <si>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</si>
  <si>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</si>
  <si>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</si>
  <si>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</si>
  <si>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</si>
  <si>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</si>
  <si>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</si>
  <si>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</si>
  <si>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</si>
  <si>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</si>
  <si>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</si>
  <si>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</si>
  <si>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</si>
  <si>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</si>
  <si>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</si>
  <si>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</si>
  <si>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</si>
  <si>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</si>
  <si>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</si>
  <si>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</si>
  <si>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</si>
  <si>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</si>
  <si>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</si>
  <si>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</si>
  <si>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</si>
  <si>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</si>
  <si>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</si>
  <si>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</si>
  <si>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</si>
  <si>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</si>
  <si>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</si>
  <si>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</si>
  <si>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</si>
  <si>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</si>
  <si>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</si>
  <si>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</si>
  <si>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</si>
  <si>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</si>
  <si>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</si>
  <si>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</si>
  <si>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</si>
  <si>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</si>
  <si>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</si>
  <si>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</si>
  <si>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</si>
  <si>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</si>
  <si>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</si>
  <si>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</si>
  <si>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</si>
  <si>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</si>
  <si>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</si>
  <si>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</si>
  <si>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</si>
  <si>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</si>
  <si>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</si>
  <si>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</si>
  <si>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</si>
  <si>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</si>
  <si>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</si>
  <si>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</si>
  <si>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</si>
  <si>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</si>
  <si>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</si>
  <si>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</si>
  <si>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</si>
  <si>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</si>
  <si>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</si>
  <si>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</si>
  <si>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</si>
  <si>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</si>
  <si>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</si>
  <si>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</si>
  <si>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</si>
  <si>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</si>
  <si>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</si>
  <si>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</si>
  <si>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</si>
  <si>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</si>
  <si>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</si>
  <si>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</si>
  <si>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</si>
  <si>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</si>
  <si>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</si>
  <si>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</si>
  <si>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</si>
  <si>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</si>
  <si>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</si>
  <si>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</si>
  <si>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</si>
  <si>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</si>
  <si>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</si>
  <si>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</si>
  <si>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</si>
  <si>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</si>
  <si>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</si>
  <si>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</si>
  <si>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</si>
  <si>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</si>
  <si>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</si>
  <si>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</si>
  <si>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</si>
  <si>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</si>
  <si>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</si>
  <si>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</si>
  <si>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</si>
  <si>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</si>
  <si>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</si>
  <si>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</si>
  <si>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</si>
  <si>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</si>
  <si>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</si>
  <si>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</si>
  <si>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</si>
  <si>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</si>
  <si>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</si>
  <si>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</si>
  <si>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</si>
  <si>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</si>
  <si>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</si>
  <si>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</si>
  <si>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</si>
  <si>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</si>
  <si>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</si>
  <si>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</si>
  <si>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</si>
  <si>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</si>
  <si>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</si>
  <si>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</si>
  <si>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</si>
  <si>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</si>
  <si>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</si>
  <si>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</si>
  <si>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</si>
  <si>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</si>
  <si>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</si>
  <si>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</si>
  <si>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</si>
  <si>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</si>
  <si>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</si>
  <si>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</si>
  <si>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</si>
  <si>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</si>
  <si>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</si>
  <si>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</si>
  <si>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</si>
  <si>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</si>
  <si>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</si>
  <si>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</si>
  <si>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</si>
  <si>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</si>
  <si>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</si>
  <si>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</si>
  <si>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</si>
  <si>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</si>
  <si>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</si>
  <si>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</si>
  <si>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</si>
  <si>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</si>
  <si>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</si>
  <si>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</si>
  <si>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</si>
  <si>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</si>
  <si>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</si>
  <si>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</si>
  <si>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</si>
  <si>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</si>
  <si>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</si>
  <si>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</si>
  <si>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</si>
  <si>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</si>
  <si>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</si>
  <si>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</si>
  <si>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</si>
  <si>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</si>
  <si>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</si>
  <si>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</si>
  <si>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</si>
  <si>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</si>
  <si>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</si>
  <si>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</si>
  <si>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</si>
  <si>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</si>
  <si>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</si>
  <si>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</si>
  <si>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</si>
  <si>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</si>
  <si>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</si>
  <si>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</si>
  <si>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</si>
  <si>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</si>
  <si>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</si>
  <si>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</si>
  <si>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</si>
  <si>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</si>
  <si>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</si>
  <si>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</si>
  <si>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</si>
  <si>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</si>
  <si>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</si>
  <si>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</si>
  <si>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</si>
  <si>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</si>
  <si>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</si>
  <si>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</si>
  <si>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</si>
  <si>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</si>
  <si>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</si>
  <si>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</si>
  <si>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</si>
  <si>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</si>
  <si>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</si>
  <si>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</si>
  <si>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</si>
  <si>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</si>
  <si>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</si>
  <si>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</si>
  <si>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</si>
  <si>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</si>
  <si>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</si>
  <si>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</si>
  <si>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</si>
  <si>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</si>
  <si>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</si>
  <si>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</si>
  <si>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</si>
  <si>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</si>
  <si>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</si>
  <si>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</si>
  <si>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</si>
  <si>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</si>
  <si>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</si>
  <si>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</si>
  <si>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</si>
  <si>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</si>
  <si>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</si>
  <si>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</si>
  <si>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</si>
  <si>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</si>
  <si>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</si>
  <si>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</si>
  <si>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</si>
  <si>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</si>
  <si>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</si>
  <si>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</si>
  <si>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</si>
  <si>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</si>
  <si>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</si>
  <si>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</si>
  <si>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</si>
  <si>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</si>
  <si>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</si>
  <si>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</si>
  <si>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</si>
  <si>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</si>
  <si>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</si>
  <si>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</si>
  <si>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</si>
  <si>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</si>
  <si>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</si>
  <si>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</si>
  <si>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</si>
  <si>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</si>
  <si>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</si>
  <si>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</si>
  <si>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</si>
  <si>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</si>
  <si>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</si>
  <si>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</si>
  <si>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</si>
  <si>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</si>
  <si>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</si>
  <si>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</si>
  <si>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</si>
  <si>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</si>
  <si>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</si>
  <si>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</si>
  <si>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</si>
  <si>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</si>
  <si>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</si>
  <si>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</si>
  <si>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</si>
  <si>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</si>
  <si>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</si>
  <si>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</si>
  <si>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</si>
  <si>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</si>
  <si>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</si>
  <si>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</si>
  <si>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</si>
  <si>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</si>
  <si>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</si>
  <si>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</si>
  <si>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</si>
  <si>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</si>
  <si>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</si>
  <si>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</si>
  <si>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</si>
  <si>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</si>
  <si>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</si>
  <si>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</si>
  <si>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</si>
  <si>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</si>
  <si>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</si>
  <si>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</si>
  <si>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</si>
  <si>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</si>
  <si>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</si>
  <si>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</si>
  <si>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</si>
  <si>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</si>
  <si>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</si>
  <si>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</si>
  <si>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</si>
  <si>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</si>
  <si>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</si>
  <si>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</si>
  <si>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</si>
  <si>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</si>
  <si>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</si>
  <si>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</si>
  <si>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</si>
  <si>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</si>
  <si>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</si>
  <si>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</si>
  <si>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</si>
  <si>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</si>
  <si>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</si>
  <si>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</si>
  <si>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</si>
  <si>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</si>
  <si>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</si>
  <si>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</si>
  <si>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</si>
  <si>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</si>
  <si>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</si>
  <si>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</si>
  <si>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</si>
  <si>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</si>
  <si>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</si>
  <si>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</si>
  <si>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</si>
  <si>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</si>
  <si>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</si>
  <si>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</si>
  <si>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</si>
  <si>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</si>
  <si>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</si>
  <si>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</si>
  <si>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</si>
  <si>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</si>
  <si>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</si>
  <si>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</si>
  <si>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</si>
  <si>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</si>
  <si>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</si>
  <si>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</si>
  <si>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</si>
  <si>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</si>
  <si>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</si>
  <si>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</si>
  <si>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</si>
  <si>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</si>
  <si>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</si>
  <si>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</si>
  <si>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</si>
  <si>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</si>
  <si>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</si>
  <si>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</si>
  <si>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</si>
  <si>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</si>
  <si>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</si>
  <si>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</si>
  <si>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</si>
  <si>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</si>
  <si>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</si>
  <si>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</si>
  <si>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</si>
  <si>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</si>
  <si>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</si>
  <si>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</si>
  <si>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</si>
  <si>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</si>
  <si>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</si>
  <si>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</si>
  <si>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</si>
  <si>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</si>
  <si>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</si>
  <si>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</si>
  <si>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</si>
  <si>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</si>
  <si>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</si>
  <si>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</si>
  <si>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</si>
  <si>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</si>
  <si>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</si>
  <si>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</si>
  <si>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</si>
  <si>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</si>
  <si>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</si>
  <si>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</si>
  <si>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</si>
  <si>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</si>
  <si>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</si>
  <si>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</si>
  <si>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</si>
  <si>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</si>
  <si>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</si>
  <si>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</si>
  <si>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</si>
  <si>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</si>
  <si>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</si>
  <si>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</si>
  <si>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</si>
  <si>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</si>
  <si>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</si>
  <si>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</si>
  <si>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</si>
  <si>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</si>
  <si>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</si>
  <si>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</si>
  <si>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</si>
  <si>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</si>
  <si>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</si>
  <si>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</si>
  <si>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</si>
  <si>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</si>
  <si>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</si>
  <si>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</si>
  <si>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</si>
  <si>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</si>
  <si>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</si>
  <si>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</si>
  <si>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</si>
  <si>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</si>
  <si>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</si>
  <si>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</si>
  <si>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</si>
  <si>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</si>
  <si>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</si>
  <si>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</si>
  <si>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</si>
  <si>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</si>
  <si>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</si>
  <si>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</si>
  <si>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</si>
  <si>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</si>
  <si>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</si>
  <si>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</si>
  <si>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</si>
  <si>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</si>
  <si>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</si>
  <si>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</si>
  <si>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</si>
  <si>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</si>
  <si>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</si>
  <si>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</si>
  <si>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</si>
  <si>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</si>
  <si>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</si>
  <si>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</si>
  <si>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</si>
  <si>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</si>
  <si>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</si>
  <si>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</si>
  <si>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</si>
  <si>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</si>
  <si>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</si>
  <si>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</si>
  <si>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</si>
  <si>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</si>
  <si>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</si>
  <si>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</si>
  <si>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</si>
  <si>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</si>
  <si>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</si>
  <si>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</si>
  <si>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</si>
  <si>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</si>
  <si>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</si>
  <si>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</si>
  <si>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</si>
  <si>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</si>
  <si>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</si>
  <si>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</si>
  <si>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</si>
  <si>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</si>
  <si>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</si>
  <si>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</si>
  <si>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</si>
  <si>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</si>
  <si>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</si>
  <si>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</si>
  <si>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</si>
  <si>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</si>
  <si>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</si>
  <si>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</si>
  <si>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</si>
  <si>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</si>
  <si>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</si>
  <si>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</si>
  <si>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</si>
  <si>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</si>
  <si>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</si>
  <si>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</si>
  <si>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</si>
  <si>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</si>
  <si>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</si>
  <si>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</si>
  <si>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</si>
  <si>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</si>
  <si>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</si>
  <si>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</si>
  <si>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</si>
  <si>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</si>
  <si>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</si>
  <si>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</si>
  <si>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</si>
  <si>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</si>
  <si>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</si>
  <si>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</si>
  <si>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</si>
  <si>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</si>
  <si>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</si>
  <si>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</si>
  <si>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</si>
  <si>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</si>
  <si>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</si>
  <si>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</si>
  <si>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</si>
  <si>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</si>
  <si>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</si>
  <si>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</si>
  <si>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</si>
  <si>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</si>
  <si>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</si>
  <si>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</si>
  <si>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</si>
  <si>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</si>
  <si>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</si>
  <si>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</si>
  <si>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</si>
  <si>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</si>
  <si>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</si>
  <si>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</si>
  <si>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</si>
  <si>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</si>
  <si>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</si>
  <si>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</si>
  <si>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</si>
  <si>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</si>
  <si>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</si>
  <si>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</si>
  <si>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</si>
  <si>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</si>
  <si>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</si>
  <si>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</si>
  <si>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</si>
  <si>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</si>
  <si>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</si>
  <si>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</si>
  <si>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</si>
  <si>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</si>
  <si>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</si>
  <si>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</si>
  <si>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</si>
  <si>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</si>
  <si>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</si>
  <si>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</si>
  <si>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</si>
  <si>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</si>
  <si>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</si>
  <si>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</si>
  <si>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</si>
  <si>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</si>
  <si>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</si>
  <si>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</si>
  <si>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</si>
  <si>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</si>
  <si>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</si>
  <si>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</si>
  <si>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</si>
  <si>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</si>
  <si>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</si>
  <si>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</si>
  <si>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</si>
  <si>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</si>
  <si>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</si>
  <si>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</si>
  <si>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</si>
  <si>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</si>
  <si>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</si>
  <si>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</si>
  <si>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</si>
  <si>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</si>
  <si>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</si>
  <si>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</si>
  <si>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</si>
  <si>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</si>
  <si>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</si>
  <si>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</si>
  <si>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</si>
  <si>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</si>
  <si>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</si>
  <si>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</si>
  <si>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</si>
  <si>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</si>
  <si>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</si>
  <si>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</si>
  <si>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</si>
  <si>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</si>
  <si>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</si>
  <si>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</si>
  <si>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</si>
  <si>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</si>
  <si>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</si>
  <si>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</si>
  <si>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</si>
  <si>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</si>
  <si>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</si>
  <si>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</si>
  <si>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</si>
  <si>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</si>
  <si>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</si>
  <si>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</si>
  <si>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</si>
  <si>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</si>
  <si>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</si>
  <si>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</si>
  <si>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</si>
  <si>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</si>
  <si>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</si>
  <si>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</si>
  <si>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</si>
  <si>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</si>
  <si>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</si>
  <si>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</si>
  <si>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</si>
  <si>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</si>
  <si>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</si>
  <si>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</si>
  <si>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</si>
  <si>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</si>
  <si>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</si>
  <si>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</si>
  <si>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</si>
  <si>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</si>
  <si>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</si>
  <si>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</si>
  <si>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</si>
  <si>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</si>
  <si>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</si>
  <si>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</si>
  <si>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</si>
  <si>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</si>
  <si>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</si>
  <si>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</si>
  <si>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</si>
  <si>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</si>
  <si>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</si>
  <si>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</si>
  <si>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</si>
  <si>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</si>
  <si>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</si>
  <si>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</si>
  <si>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</si>
  <si>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</si>
  <si>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</si>
  <si>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</si>
  <si>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</si>
  <si>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</si>
  <si>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</si>
  <si>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</si>
  <si>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</si>
  <si>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</si>
  <si>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</si>
  <si>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</si>
  <si>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</si>
  <si>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</si>
  <si>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</si>
  <si>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</si>
  <si>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</si>
  <si>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</si>
  <si>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</si>
  <si>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</si>
  <si>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</si>
  <si>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</si>
  <si>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</si>
  <si>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</si>
  <si>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</si>
  <si>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</si>
  <si>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</si>
  <si>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</si>
  <si>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</si>
  <si>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</si>
  <si>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</si>
  <si>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</si>
  <si>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</si>
  <si>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</si>
  <si>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</si>
  <si>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</si>
  <si>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</si>
  <si>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</si>
  <si>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</si>
  <si>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</si>
  <si>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</si>
  <si>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</si>
  <si>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</si>
  <si>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</si>
  <si>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</si>
  <si>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</si>
  <si>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</si>
  <si>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</si>
  <si>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</si>
  <si>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</si>
  <si>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</si>
  <si>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</si>
  <si>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</si>
  <si>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</si>
  <si>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</si>
  <si>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</si>
  <si>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</si>
  <si>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</si>
  <si>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</si>
  <si>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</si>
  <si>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</si>
  <si>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</si>
  <si>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</si>
  <si>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</si>
  <si>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</si>
  <si>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</si>
  <si>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</si>
  <si>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</si>
  <si>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</si>
  <si>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</si>
  <si>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</si>
  <si>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</si>
  <si>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</si>
  <si>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</si>
  <si>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</si>
  <si>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</si>
  <si>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</si>
  <si>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</si>
  <si>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</si>
  <si>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</si>
  <si>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</si>
  <si>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</si>
  <si>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</si>
  <si>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</si>
  <si>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</si>
  <si>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</si>
  <si>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</si>
  <si>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</si>
  <si>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</si>
  <si>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</si>
  <si>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</si>
  <si>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</si>
  <si>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</si>
  <si>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</si>
  <si>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</si>
  <si>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</si>
  <si>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</si>
  <si>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</si>
  <si>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</si>
  <si>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</si>
  <si>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</si>
  <si>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</si>
  <si>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</si>
  <si>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</si>
  <si>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</si>
  <si>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</si>
  <si>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</si>
  <si>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</si>
  <si>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</si>
  <si>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</si>
  <si>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</si>
  <si>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</si>
  <si>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</si>
  <si>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</si>
  <si>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</si>
  <si>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</si>
  <si>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</si>
  <si>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</si>
  <si>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</si>
  <si>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</si>
  <si>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</si>
  <si>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</si>
  <si>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</si>
  <si>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</si>
  <si>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</si>
  <si>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</si>
  <si>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</si>
  <si>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</si>
  <si>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</si>
  <si>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</si>
  <si>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</si>
  <si>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</si>
  <si>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</si>
  <si>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</si>
  <si>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</si>
  <si>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</si>
  <si>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</si>
  <si>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</si>
  <si>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</si>
  <si>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</si>
  <si>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</si>
  <si>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</si>
  <si>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</si>
  <si>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</si>
  <si>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</si>
  <si>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</si>
  <si>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</si>
  <si>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</si>
  <si>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</si>
  <si>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</si>
  <si>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</si>
  <si>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</si>
  <si>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</si>
  <si>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</si>
  <si>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</si>
  <si>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</si>
  <si>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</si>
  <si>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</si>
  <si>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</si>
  <si>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</si>
  <si>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</si>
  <si>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</si>
  <si>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</si>
  <si>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</si>
  <si>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</si>
  <si>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</si>
  <si>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</si>
  <si>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</si>
  <si>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</si>
  <si>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</si>
  <si>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</si>
  <si>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</si>
  <si>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</si>
  <si>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</si>
  <si>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</si>
  <si>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</si>
  <si>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</si>
  <si>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</si>
  <si>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</si>
  <si>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</si>
  <si>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</si>
  <si>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</si>
  <si>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</si>
  <si>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</si>
  <si>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</si>
  <si>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</si>
  <si>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</si>
  <si>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</si>
  <si>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</si>
  <si>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</si>
  <si>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</si>
  <si>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</si>
  <si>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</si>
  <si>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</si>
  <si>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</si>
  <si>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</si>
  <si>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</si>
  <si>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</si>
  <si>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</si>
  <si>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</si>
  <si>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</si>
  <si>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</si>
  <si>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</si>
  <si>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</si>
  <si>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</si>
  <si>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</si>
  <si>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</si>
  <si>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</si>
  <si>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</si>
  <si>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</si>
  <si>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</si>
  <si>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</si>
  <si>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</si>
  <si>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</si>
  <si>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</si>
  <si>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</si>
  <si>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</si>
  <si>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</si>
  <si>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</si>
  <si>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</si>
  <si>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</si>
  <si>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</si>
  <si>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</si>
  <si>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</si>
  <si>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</si>
  <si>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</si>
  <si>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</si>
  <si>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</si>
  <si>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</si>
  <si>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</si>
  <si>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</si>
  <si>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</si>
  <si>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</si>
  <si>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</si>
  <si>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</si>
  <si>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</si>
  <si>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</si>
  <si>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</si>
  <si>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</si>
  <si>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</si>
  <si>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</si>
  <si>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</si>
  <si>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</si>
  <si>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</si>
  <si>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</si>
  <si>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</si>
  <si>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</si>
  <si>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</si>
  <si>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</si>
  <si>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</si>
  <si>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</si>
  <si>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</si>
  <si>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</si>
  <si>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</si>
  <si>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</si>
  <si>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</si>
  <si>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</si>
  <si>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</si>
  <si>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</si>
  <si>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</si>
  <si>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</si>
  <si>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</si>
  <si>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</si>
  <si>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</si>
  <si>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</si>
  <si>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</si>
  <si>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</si>
  <si>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</si>
  <si>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</si>
  <si>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</si>
  <si>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</si>
  <si>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</si>
  <si>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</si>
  <si>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</si>
  <si>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</si>
  <si>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</si>
  <si>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</si>
  <si>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</si>
  <si>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</si>
  <si>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</si>
  <si>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</si>
  <si>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</si>
  <si>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</si>
  <si>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</si>
  <si>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</si>
  <si>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</si>
  <si>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</si>
  <si>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</si>
  <si>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</si>
  <si>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</si>
  <si>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</si>
  <si>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</si>
  <si>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</si>
  <si>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</si>
  <si>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</si>
  <si>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</si>
  <si>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</si>
  <si>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</si>
  <si>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</si>
  <si>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</si>
  <si>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</si>
  <si>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</si>
  <si>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</si>
  <si>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</si>
  <si>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</si>
  <si>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</si>
  <si>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</si>
  <si>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</si>
  <si>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</si>
  <si>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</si>
  <si>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</si>
  <si>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</si>
  <si>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</si>
  <si>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</si>
  <si>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</si>
  <si>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</si>
  <si>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</si>
  <si>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</si>
  <si>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</si>
  <si>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</si>
  <si>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</si>
  <si>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</si>
  <si>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</si>
  <si>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</si>
  <si>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</si>
  <si>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</si>
  <si>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</si>
  <si>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</si>
  <si>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</si>
  <si>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</si>
  <si>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</si>
  <si>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</si>
  <si>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</si>
  <si>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</si>
  <si>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</si>
  <si>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</si>
  <si>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</si>
  <si>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</si>
  <si>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</si>
  <si>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</si>
  <si>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</si>
  <si>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</si>
  <si>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</si>
  <si>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</si>
  <si>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</si>
  <si>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</si>
  <si>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</si>
  <si>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</si>
  <si>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</si>
  <si>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</si>
  <si>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</si>
  <si>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</si>
  <si>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</si>
  <si>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</si>
  <si>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</si>
  <si>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</si>
  <si>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</si>
  <si>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</si>
  <si>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</si>
  <si>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</si>
  <si>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</si>
  <si>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</si>
  <si>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</si>
  <si>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</si>
  <si>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</si>
  <si>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</si>
  <si>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</si>
  <si>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</si>
  <si>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</si>
  <si>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</si>
  <si>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</si>
  <si>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</si>
  <si>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</si>
  <si>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</si>
  <si>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</si>
  <si>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</si>
  <si>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</si>
  <si>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</si>
  <si>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</si>
  <si>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</si>
  <si>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</si>
  <si>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</si>
  <si>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</si>
  <si>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</si>
  <si>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</si>
  <si>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</si>
  <si>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</si>
  <si>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</si>
  <si>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</si>
  <si>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</si>
  <si>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</si>
  <si>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</si>
  <si>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</si>
  <si>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</si>
  <si>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</si>
  <si>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</si>
  <si>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</si>
  <si>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</si>
  <si>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</si>
  <si>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</si>
  <si>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</si>
  <si>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</si>
  <si>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</si>
  <si>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</si>
  <si>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</si>
  <si>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</si>
  <si>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</si>
  <si>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</si>
  <si>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</si>
  <si>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</si>
  <si>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</si>
  <si>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</si>
  <si>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</si>
  <si>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</si>
  <si>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</si>
  <si>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</si>
  <si>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</si>
  <si>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</si>
  <si>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</si>
  <si>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</si>
  <si>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</si>
  <si>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</si>
  <si>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</si>
  <si>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</si>
  <si>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</si>
  <si>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</si>
  <si>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</si>
  <si>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</si>
  <si>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</si>
  <si>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</si>
  <si>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</si>
  <si>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</si>
  <si>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</si>
  <si>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</si>
  <si>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</si>
  <si>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</si>
  <si>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</si>
  <si>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</si>
  <si>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</si>
  <si>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</si>
  <si>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</si>
  <si>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</si>
  <si>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</si>
  <si>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</si>
  <si>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</si>
  <si>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</si>
  <si>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</si>
  <si>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</si>
  <si>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</si>
  <si>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</si>
  <si>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</si>
  <si>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</si>
  <si>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</si>
  <si>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</si>
  <si>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</si>
  <si>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</si>
  <si>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</si>
  <si>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</si>
  <si>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</si>
  <si>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</si>
  <si>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</si>
  <si>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</si>
  <si>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</si>
  <si>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</si>
  <si>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</si>
  <si>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</si>
  <si>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</si>
  <si>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</si>
  <si>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</si>
  <si>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</si>
  <si>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</si>
  <si>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</si>
  <si>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</si>
  <si>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</si>
  <si>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</si>
  <si>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</si>
  <si>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</si>
  <si>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</si>
  <si>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</si>
  <si>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</si>
  <si>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</si>
  <si>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</si>
  <si>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</si>
  <si>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</si>
  <si>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</si>
  <si>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</si>
  <si>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</si>
  <si>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</si>
  <si>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</si>
  <si>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</si>
  <si>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</si>
  <si>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</si>
  <si>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</si>
  <si>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</si>
  <si>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</si>
  <si>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</si>
  <si>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</si>
  <si>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</si>
  <si>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</si>
  <si>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</si>
  <si>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</si>
  <si>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</si>
  <si>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</si>
  <si>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</si>
  <si>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</si>
  <si>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</si>
  <si>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</si>
  <si>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</si>
  <si>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</si>
  <si>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</si>
  <si>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</si>
  <si>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</si>
  <si>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</si>
  <si>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</si>
  <si>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</si>
  <si>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</si>
  <si>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</si>
  <si>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</si>
  <si>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</si>
  <si>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</si>
  <si>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</si>
  <si>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</si>
  <si>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</si>
  <si>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</si>
  <si>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</si>
  <si>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</si>
  <si>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</si>
  <si>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</si>
  <si>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</si>
  <si>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</si>
  <si>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</si>
  <si>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</si>
  <si>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</si>
  <si>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</si>
  <si>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</si>
  <si>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</si>
  <si>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</si>
  <si>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</si>
  <si>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</si>
  <si>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</si>
  <si>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</si>
  <si>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</si>
  <si>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</si>
  <si>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</si>
  <si>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</si>
  <si>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</si>
  <si>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</si>
  <si>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</si>
  <si>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</si>
  <si>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</si>
  <si>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</si>
  <si>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</si>
  <si>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</si>
  <si>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</si>
  <si>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</si>
  <si>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</si>
  <si>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</si>
  <si>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</si>
  <si>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</si>
  <si>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</si>
  <si>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</si>
  <si>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</si>
  <si>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</si>
  <si>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</si>
  <si>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</si>
  <si>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</si>
  <si>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</si>
  <si>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</si>
  <si>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</si>
  <si>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</si>
  <si>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</si>
  <si>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</si>
  <si>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</si>
  <si>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</si>
  <si>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</si>
  <si>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</si>
  <si>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</si>
  <si>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</si>
  <si>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</si>
  <si>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</si>
  <si>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</si>
  <si>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</si>
  <si>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</si>
  <si>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</si>
  <si>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</si>
  <si>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</si>
  <si>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</si>
  <si>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</si>
  <si>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</si>
  <si>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</si>
  <si>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</si>
  <si>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</si>
  <si>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</si>
  <si>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</si>
  <si>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</si>
  <si>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</si>
  <si>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</si>
  <si>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</si>
  <si>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</si>
  <si>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</si>
  <si>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</si>
  <si>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</si>
  <si>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</si>
  <si>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</si>
  <si>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</si>
  <si>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</si>
  <si>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</si>
  <si>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</si>
  <si>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</si>
  <si>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</si>
  <si>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</si>
  <si>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</si>
  <si>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</si>
  <si>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</si>
  <si>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</si>
  <si>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</si>
  <si>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</si>
  <si>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</si>
  <si>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</si>
  <si>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</si>
  <si>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</si>
  <si>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</si>
  <si>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</si>
  <si>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</si>
  <si>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</si>
  <si>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</si>
  <si>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</si>
  <si>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</si>
  <si>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</si>
  <si>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</si>
  <si>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</si>
  <si>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</si>
  <si>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</si>
  <si>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</si>
  <si>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</si>
  <si>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</si>
  <si>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</si>
  <si>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</si>
  <si>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</si>
  <si>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</si>
  <si>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</si>
  <si>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</si>
  <si>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</si>
  <si>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</si>
  <si>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</si>
  <si>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</si>
  <si>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</si>
  <si>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</si>
  <si>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</si>
  <si>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</si>
  <si>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</si>
  <si>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</si>
  <si>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</si>
  <si>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</si>
  <si>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</si>
  <si>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</si>
  <si>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</si>
  <si>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</si>
  <si>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</si>
  <si>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</si>
  <si>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</si>
  <si>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</si>
  <si>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</si>
  <si>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</si>
  <si>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</si>
  <si>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</si>
  <si>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</si>
  <si>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</si>
  <si>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</si>
  <si>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</si>
  <si>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</si>
  <si>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</si>
  <si>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</si>
  <si>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</si>
  <si>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</si>
  <si>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</si>
  <si>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</si>
  <si>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</si>
  <si>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</si>
  <si>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</si>
  <si>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</si>
  <si>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</si>
  <si>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</si>
  <si>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</si>
  <si>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</si>
  <si>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</si>
  <si>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</si>
  <si>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</si>
  <si>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</si>
  <si>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</si>
  <si>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</si>
  <si>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</si>
  <si>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</si>
  <si>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</si>
  <si>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</si>
  <si>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</si>
  <si>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</si>
  <si>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</si>
  <si>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</si>
  <si>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</si>
  <si>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</si>
  <si>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</si>
  <si>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</si>
  <si>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</si>
  <si>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</si>
  <si>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</si>
  <si>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</si>
  <si>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</si>
  <si>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</si>
  <si>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</si>
  <si>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</si>
  <si>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</si>
  <si>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</si>
  <si>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</si>
  <si>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</si>
  <si>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</si>
  <si>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</si>
  <si>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</si>
  <si>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</si>
  <si>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</si>
  <si>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</si>
  <si>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</si>
  <si>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</si>
  <si>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</si>
  <si>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</si>
  <si>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</si>
  <si>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</si>
  <si>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</si>
  <si>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</si>
  <si>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</si>
  <si>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</si>
  <si>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</si>
  <si>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</si>
  <si>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</si>
  <si>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</si>
  <si>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</si>
  <si>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</si>
  <si>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</si>
  <si>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</si>
  <si>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</si>
  <si>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</si>
  <si>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</si>
  <si>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</si>
  <si>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</si>
  <si>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</si>
  <si>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</si>
  <si>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</si>
  <si>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</si>
  <si>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</si>
  <si>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</si>
  <si>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</si>
  <si>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</si>
  <si>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</si>
  <si>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</si>
  <si>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</si>
  <si>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</si>
  <si>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</si>
  <si>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</si>
  <si>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</si>
  <si>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</si>
  <si>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</si>
  <si>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</si>
  <si>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</si>
  <si>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</si>
  <si>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</si>
  <si>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</si>
  <si>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</si>
  <si>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</si>
  <si>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</si>
  <si>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</si>
  <si>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</si>
  <si>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</si>
  <si>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</si>
  <si>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</si>
  <si>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</si>
  <si>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</si>
  <si>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</si>
  <si>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</si>
  <si>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</si>
  <si>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</si>
  <si>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</si>
  <si>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</si>
  <si>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</si>
  <si>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</si>
  <si>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</si>
  <si>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</si>
  <si>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</si>
  <si>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</si>
  <si>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</si>
  <si>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</si>
  <si>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</si>
  <si>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</si>
  <si>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</si>
  <si>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</si>
  <si>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</si>
  <si>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</si>
  <si>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</si>
  <si>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</si>
  <si>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</si>
  <si>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</si>
  <si>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</si>
  <si>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</si>
  <si>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</si>
  <si>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</si>
  <si>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</si>
  <si>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</si>
  <si>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</si>
  <si>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</si>
  <si>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</si>
  <si>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</si>
  <si>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</si>
  <si>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</si>
  <si>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</si>
  <si>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</si>
  <si>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</si>
  <si>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</si>
  <si>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</si>
  <si>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</si>
  <si>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</si>
  <si>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</si>
  <si>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</si>
  <si>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</si>
  <si>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</si>
  <si>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</si>
  <si>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</si>
  <si>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</si>
  <si>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</si>
  <si>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</si>
  <si>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</si>
  <si>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</si>
  <si>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</si>
  <si>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</si>
  <si>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</si>
  <si>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</si>
  <si>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</si>
  <si>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</si>
  <si>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</si>
  <si>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</si>
  <si>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</si>
  <si>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</si>
  <si>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</si>
  <si>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</si>
  <si>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</si>
  <si>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</si>
  <si>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</si>
  <si>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</si>
  <si>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</si>
  <si>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</si>
  <si>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</si>
  <si>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</si>
  <si>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</si>
  <si>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</si>
  <si>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</si>
  <si>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</si>
  <si>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</si>
  <si>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</si>
  <si>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</si>
  <si>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</si>
  <si>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</si>
  <si>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</si>
  <si>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</si>
  <si>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</si>
  <si>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</si>
  <si>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</si>
  <si>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</si>
  <si>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</si>
  <si>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</si>
  <si>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</si>
  <si>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</si>
  <si>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</si>
  <si>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</si>
  <si>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</si>
  <si>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</si>
  <si>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</si>
  <si>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</si>
  <si>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</si>
  <si>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</si>
  <si>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</si>
  <si>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</si>
  <si>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</si>
  <si>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</si>
  <si>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</si>
  <si>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</si>
  <si>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</si>
  <si>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</si>
  <si>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</si>
  <si>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</si>
  <si>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</si>
  <si>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</si>
  <si>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</si>
  <si>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</si>
  <si>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</si>
  <si>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</si>
  <si>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</si>
  <si>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</si>
  <si>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</si>
  <si>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</si>
  <si>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</si>
  <si>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</si>
  <si>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</si>
  <si>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</si>
  <si>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</si>
  <si>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</si>
  <si>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</si>
  <si>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</si>
  <si>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</si>
  <si>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</si>
  <si>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</si>
  <si>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</si>
  <si>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</si>
  <si>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</si>
  <si>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</si>
  <si>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</si>
  <si>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</si>
  <si>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</si>
  <si>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</si>
  <si>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</si>
  <si>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</si>
  <si>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</si>
  <si>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</si>
  <si>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</si>
  <si>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</si>
  <si>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</si>
  <si>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</si>
  <si>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</si>
  <si>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</si>
  <si>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</si>
  <si>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</si>
  <si>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</si>
  <si>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</si>
  <si>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</si>
  <si>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</si>
  <si>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</si>
  <si>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</si>
  <si>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</si>
  <si>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</si>
  <si>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</si>
  <si>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</si>
  <si>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</si>
  <si>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</si>
  <si>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</si>
  <si>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</si>
  <si>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</si>
  <si>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</si>
  <si>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</si>
  <si>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</si>
  <si>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</si>
  <si>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</si>
  <si>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</si>
  <si>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</si>
  <si>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</si>
  <si>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</si>
  <si>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</si>
  <si>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</si>
  <si>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</si>
  <si>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</si>
  <si>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</si>
  <si>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</si>
  <si>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</si>
  <si>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</si>
  <si>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</si>
  <si>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</si>
  <si>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</si>
  <si>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</si>
  <si>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</si>
  <si>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</si>
  <si>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</si>
  <si>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</si>
  <si>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</si>
  <si>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</si>
  <si>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</si>
  <si>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</si>
  <si>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</si>
  <si>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</si>
  <si>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</si>
  <si>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</si>
  <si>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</si>
  <si>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</si>
  <si>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</si>
  <si>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</si>
  <si>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</si>
  <si>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</si>
  <si>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</si>
  <si>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</si>
  <si>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</si>
  <si>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</si>
  <si>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</si>
  <si>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</si>
  <si>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</si>
  <si>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</si>
  <si>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</si>
  <si>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</si>
  <si>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</si>
  <si>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</si>
  <si>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</si>
  <si>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</si>
  <si>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</si>
  <si>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</si>
  <si>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</si>
  <si>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</si>
  <si>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</si>
  <si>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</si>
  <si>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</si>
  <si>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</si>
  <si>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</si>
  <si>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</si>
  <si>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</si>
  <si>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</si>
  <si>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</si>
  <si>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</si>
  <si>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</si>
  <si>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</si>
  <si>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</si>
  <si>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</si>
  <si>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</si>
  <si>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</si>
  <si>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</si>
  <si>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</si>
  <si>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</si>
  <si>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</si>
  <si>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</si>
  <si>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</si>
  <si>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</si>
  <si>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</si>
  <si>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</si>
  <si>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</si>
  <si>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</si>
  <si>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</si>
  <si>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</si>
  <si>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</si>
  <si>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</si>
  <si>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</si>
  <si>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</si>
  <si>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</si>
  <si>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</si>
  <si>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</si>
  <si>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</si>
  <si>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</si>
  <si>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</si>
  <si>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</si>
  <si>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</si>
  <si>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</si>
  <si>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</si>
  <si>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</si>
  <si>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</si>
  <si>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</si>
  <si>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</si>
  <si>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</si>
  <si>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</si>
  <si>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</si>
  <si>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</si>
  <si>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</si>
  <si>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</si>
  <si>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</si>
  <si>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</si>
  <si>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</si>
  <si>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</si>
  <si>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</si>
  <si>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</si>
  <si>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</si>
  <si>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</si>
  <si>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</si>
  <si>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</si>
  <si>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</si>
  <si>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</si>
  <si>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</si>
  <si>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</si>
  <si>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</si>
  <si>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</si>
  <si>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</si>
  <si>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</si>
  <si>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</si>
  <si>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</si>
  <si>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</si>
  <si>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</si>
  <si>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</si>
  <si>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</si>
  <si>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</si>
  <si>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</si>
  <si>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</si>
  <si>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</si>
  <si>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</si>
  <si>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</si>
  <si>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</si>
  <si>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</si>
  <si>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</si>
  <si>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</si>
  <si>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</si>
  <si>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</si>
  <si>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</si>
  <si>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</si>
  <si>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</si>
  <si>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</si>
  <si>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</si>
  <si>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</si>
  <si>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</si>
  <si>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</si>
  <si>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</si>
  <si>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</si>
  <si>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</si>
  <si>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</si>
  <si>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</si>
  <si>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</si>
  <si>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</si>
  <si>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</si>
  <si>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</si>
  <si>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</si>
  <si>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</si>
  <si>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</si>
  <si>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</si>
  <si>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</si>
  <si>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</si>
  <si>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</si>
  <si>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</si>
  <si>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</si>
  <si>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</si>
  <si>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</si>
  <si>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</si>
  <si>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</si>
  <si>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</si>
  <si>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</si>
  <si>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</si>
  <si>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</si>
  <si>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</si>
  <si>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</si>
  <si>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</si>
  <si>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</si>
  <si>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</si>
  <si>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</si>
  <si>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</si>
  <si>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</si>
  <si>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</si>
  <si>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</si>
  <si>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</si>
  <si>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</si>
  <si>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</si>
  <si>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</si>
  <si>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</si>
  <si>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</si>
  <si>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</si>
  <si>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</si>
  <si>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</si>
  <si>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</si>
  <si>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</si>
  <si>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</si>
  <si>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</si>
  <si>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</si>
  <si>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</si>
  <si>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</si>
  <si>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</si>
  <si>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</si>
  <si>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</si>
  <si>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</si>
  <si>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</si>
  <si>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</si>
  <si>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</si>
  <si>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</si>
  <si>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</si>
  <si>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</si>
  <si>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</si>
  <si>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</si>
  <si>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</si>
  <si>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</si>
  <si>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</si>
  <si>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</si>
  <si>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</si>
  <si>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</si>
  <si>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</si>
  <si>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</si>
  <si>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</si>
  <si>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</si>
  <si>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</si>
  <si>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</si>
  <si>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</si>
  <si>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</si>
  <si>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</si>
  <si>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</si>
  <si>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</si>
  <si>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</si>
  <si>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</si>
  <si>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</si>
  <si>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</si>
  <si>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</si>
  <si>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</si>
  <si>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</si>
  <si>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</si>
  <si>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</si>
  <si>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</si>
  <si>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</si>
  <si>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</si>
  <si>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</si>
  <si>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</si>
  <si>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</si>
  <si>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</si>
  <si>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</si>
  <si>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</si>
  <si>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</si>
  <si>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</si>
  <si>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</si>
  <si>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</si>
  <si>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</si>
  <si>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</si>
  <si>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</si>
  <si>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</si>
  <si>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</si>
  <si>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</si>
  <si>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</si>
  <si>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</si>
  <si>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</si>
  <si>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</si>
  <si>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</si>
  <si>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</si>
  <si>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</si>
  <si>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</si>
  <si>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</si>
  <si>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</si>
  <si>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</si>
  <si>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</si>
  <si>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</si>
  <si>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</si>
  <si>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</si>
  <si>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</si>
  <si>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</si>
  <si>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</si>
  <si>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</si>
  <si>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</si>
  <si>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</si>
  <si>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</si>
  <si>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</si>
  <si>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</si>
  <si>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</si>
  <si>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</si>
  <si>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</si>
  <si>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</si>
  <si>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</si>
  <si>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</si>
  <si>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</si>
  <si>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</si>
  <si>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</si>
  <si>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</si>
  <si>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</si>
  <si>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</si>
  <si>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</si>
  <si>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</si>
  <si>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</si>
  <si>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</si>
  <si>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</si>
  <si>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</si>
  <si>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</si>
  <si>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</si>
  <si>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</si>
  <si>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</si>
  <si>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</si>
  <si>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</si>
  <si>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</si>
  <si>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</si>
  <si>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</si>
  <si>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</si>
  <si>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</si>
  <si>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</si>
  <si>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</si>
  <si>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</si>
  <si>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</si>
  <si>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</si>
  <si>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</si>
  <si>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</si>
  <si>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</si>
  <si>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</si>
  <si>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</si>
  <si>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</si>
  <si>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</si>
  <si>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</si>
  <si>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</si>
  <si>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</si>
  <si>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</si>
  <si>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</si>
  <si>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</si>
  <si>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</si>
  <si>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</si>
  <si>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</si>
  <si>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</si>
  <si>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</si>
  <si>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</si>
  <si>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</si>
  <si>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</si>
  <si>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</si>
  <si>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</si>
  <si>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</si>
  <si>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</si>
  <si>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</si>
  <si>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</si>
  <si>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</si>
  <si>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</si>
  <si>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</si>
  <si>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</si>
  <si>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</si>
  <si>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</si>
  <si>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</si>
  <si>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</si>
  <si>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</si>
  <si>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</si>
  <si>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</si>
  <si>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</si>
  <si>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</si>
  <si>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</si>
  <si>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</si>
  <si>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</si>
  <si>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</si>
  <si>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</si>
  <si>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</si>
  <si>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</si>
  <si>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</si>
  <si>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</si>
  <si>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</si>
  <si>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</si>
  <si>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</si>
  <si>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</si>
  <si>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</si>
  <si>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</si>
  <si>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</si>
  <si>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</si>
  <si>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</si>
  <si>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</si>
  <si>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</si>
  <si>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</si>
  <si>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</si>
  <si>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</si>
  <si>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</si>
  <si>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</si>
  <si>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</si>
  <si>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</si>
  <si>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</si>
  <si>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</si>
  <si>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</si>
  <si>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</si>
  <si>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</si>
  <si>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</si>
  <si>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</si>
  <si>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</si>
  <si>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</si>
  <si>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</si>
  <si>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</si>
  <si>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</si>
  <si>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</si>
  <si>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</si>
  <si>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</si>
  <si>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</si>
  <si>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</si>
  <si>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</si>
  <si>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</si>
  <si>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</si>
  <si>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</si>
  <si>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</si>
  <si>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</si>
  <si>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</si>
  <si>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</si>
  <si>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</si>
  <si>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</si>
  <si>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</si>
  <si>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</si>
  <si>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</si>
  <si>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</si>
  <si>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</si>
  <si>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</si>
  <si>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</si>
  <si>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</si>
  <si>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</si>
  <si>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</si>
  <si>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</si>
  <si>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</si>
  <si>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</si>
  <si>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</si>
  <si>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</si>
  <si>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</si>
  <si>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</si>
  <si>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</si>
  <si>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</si>
  <si>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</si>
  <si>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</si>
  <si>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</si>
  <si>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</si>
  <si>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</si>
  <si>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</si>
  <si>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</si>
  <si>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</si>
  <si>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</si>
  <si>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</si>
  <si>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</si>
  <si>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</si>
  <si>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</si>
  <si>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</si>
  <si>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</si>
  <si>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</si>
  <si>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</si>
  <si>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</si>
  <si>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</si>
  <si>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</si>
  <si>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</si>
  <si>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</si>
  <si>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</si>
  <si>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</si>
  <si>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</si>
  <si>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</si>
  <si>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</si>
  <si>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</si>
  <si>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</si>
  <si>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</si>
  <si>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</si>
  <si>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</si>
  <si>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</si>
  <si>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</si>
  <si>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</si>
  <si>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</si>
  <si>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</si>
  <si>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</si>
  <si>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</si>
  <si>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</si>
  <si>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</si>
  <si>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</si>
  <si>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</si>
  <si>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</si>
  <si>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</si>
  <si>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</si>
  <si>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</si>
  <si>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</si>
  <si>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</si>
  <si>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</si>
  <si>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</si>
  <si>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</si>
  <si>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</si>
  <si>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</si>
  <si>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</si>
  <si>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</si>
  <si>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</si>
  <si>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</si>
  <si>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</si>
  <si>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</si>
  <si>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</si>
  <si>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</si>
  <si>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</si>
  <si>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</si>
  <si>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</si>
  <si>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</si>
  <si>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</si>
  <si>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</si>
  <si>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</si>
  <si>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</si>
  <si>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</si>
  <si>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</si>
  <si>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</si>
  <si>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</si>
  <si>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</si>
  <si>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</si>
  <si>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</si>
  <si>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</si>
  <si>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</si>
  <si>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</si>
  <si>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</si>
  <si>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</si>
  <si>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</si>
  <si>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</si>
  <si>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</si>
  <si>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</si>
  <si>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</si>
  <si>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</si>
  <si>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</si>
  <si>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</si>
  <si>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</si>
  <si>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</si>
  <si>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</si>
  <si>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</si>
  <si>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</si>
  <si>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</si>
  <si>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</si>
  <si>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</si>
  <si>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</si>
  <si>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</si>
  <si>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</si>
  <si>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</si>
  <si>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</si>
  <si>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</si>
  <si>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</si>
  <si>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</si>
  <si>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</si>
  <si>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</si>
  <si>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</si>
  <si>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</si>
  <si>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</si>
  <si>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</si>
  <si>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</si>
  <si>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</si>
  <si>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</si>
  <si>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</si>
  <si>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</si>
  <si>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</si>
  <si>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</si>
  <si>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</si>
  <si>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</si>
  <si>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</si>
  <si>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</si>
  <si>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</si>
  <si>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</si>
  <si>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</si>
  <si>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</si>
  <si>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</si>
  <si>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</si>
  <si>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</si>
  <si>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</si>
  <si>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</si>
  <si>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</si>
  <si>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</si>
  <si>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</si>
  <si>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</si>
  <si>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</si>
  <si>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</si>
  <si>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</si>
  <si>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</si>
  <si>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</si>
  <si>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</si>
  <si>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</si>
  <si>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</si>
  <si>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</si>
  <si>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</si>
  <si>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</si>
  <si>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</si>
  <si>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</si>
  <si>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</si>
  <si>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</si>
  <si>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</si>
  <si>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</si>
  <si>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</si>
  <si>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</si>
  <si>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</si>
  <si>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</si>
  <si>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</si>
  <si>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</si>
  <si>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</si>
  <si>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</si>
  <si>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</si>
  <si>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</si>
  <si>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</si>
  <si>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</si>
  <si>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</si>
  <si>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</si>
  <si>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</si>
  <si>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</si>
  <si>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</si>
  <si>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</si>
  <si>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</si>
  <si>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</si>
  <si>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</si>
  <si>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</si>
  <si>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</si>
  <si>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</si>
  <si>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</si>
  <si>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</si>
  <si>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</si>
  <si>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</si>
  <si>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</si>
  <si>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</si>
  <si>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</si>
  <si>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</si>
  <si>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</si>
  <si>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</si>
  <si>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</si>
  <si>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</si>
  <si>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</si>
  <si>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</si>
  <si>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</si>
  <si>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</si>
  <si>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</si>
  <si>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</si>
  <si>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</si>
  <si>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</si>
  <si>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</si>
  <si>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</si>
  <si>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</si>
  <si>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</si>
  <si>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</si>
  <si>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</si>
  <si>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</si>
  <si>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</si>
  <si>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</si>
  <si>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</si>
  <si>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</si>
  <si>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</si>
  <si>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</si>
  <si>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</si>
  <si>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</si>
  <si>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</si>
  <si>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</si>
  <si>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</si>
  <si>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</si>
  <si>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</si>
  <si>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</si>
  <si>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</si>
  <si>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</si>
  <si>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</si>
  <si>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</si>
  <si>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</si>
  <si>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</si>
  <si>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</si>
  <si>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</si>
  <si>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</si>
  <si>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</si>
  <si>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</si>
  <si>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</si>
  <si>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</si>
  <si>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</si>
  <si>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</si>
  <si>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</si>
  <si>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</si>
  <si>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</si>
  <si>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</si>
  <si>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</si>
  <si>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</si>
  <si>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</si>
  <si>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</si>
  <si>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</si>
  <si>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</si>
  <si>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</si>
  <si>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</si>
  <si>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</si>
  <si>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</si>
  <si>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</si>
  <si>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</si>
  <si>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</si>
  <si>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</si>
  <si>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</si>
  <si>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</si>
  <si>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</si>
  <si>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</si>
  <si>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</si>
  <si>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</si>
  <si>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</si>
  <si>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</si>
  <si>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</si>
  <si>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</si>
  <si>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</si>
  <si>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</si>
  <si>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</si>
  <si>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</si>
  <si>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</si>
  <si>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</si>
  <si>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</si>
  <si>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</si>
  <si>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</si>
  <si>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</si>
  <si>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</si>
  <si>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</si>
  <si>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</si>
  <si>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</si>
  <si>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</si>
  <si>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</si>
  <si>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</si>
  <si>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</si>
  <si>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</si>
  <si>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</si>
  <si>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</si>
  <si>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</si>
  <si>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</si>
  <si>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</si>
  <si>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</si>
  <si>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</si>
  <si>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</si>
  <si>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</si>
  <si>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</si>
  <si>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</si>
  <si>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</si>
  <si>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</si>
  <si>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</si>
  <si>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</si>
  <si>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</si>
  <si>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</si>
  <si>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</si>
  <si>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</si>
  <si>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</si>
  <si>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</si>
  <si>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</si>
  <si>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</si>
  <si>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</si>
  <si>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</si>
  <si>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</si>
  <si>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</si>
  <si>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</si>
  <si>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</si>
  <si>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</si>
  <si>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</si>
  <si>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</si>
  <si>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</si>
  <si>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</si>
  <si>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</si>
  <si>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</si>
  <si>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</si>
  <si>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</si>
  <si>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</si>
  <si>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</si>
  <si>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</si>
  <si>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</si>
  <si>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</si>
  <si>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</si>
  <si>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</si>
  <si>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</si>
  <si>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</si>
  <si>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</si>
  <si>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</si>
  <si>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</si>
  <si>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</si>
  <si>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</si>
  <si>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</si>
  <si>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</si>
  <si>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</si>
  <si>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</si>
  <si>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</si>
  <si>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</si>
  <si>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</si>
  <si>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</si>
  <si>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</si>
  <si>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</si>
  <si>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</si>
  <si>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</si>
  <si>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</si>
  <si>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</si>
  <si>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</si>
  <si>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</si>
  <si>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</si>
  <si>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</si>
  <si>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</si>
  <si>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</si>
  <si>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</si>
  <si>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</si>
  <si>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</si>
  <si>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</si>
  <si>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</si>
  <si>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</si>
  <si>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</si>
  <si>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</si>
  <si>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</si>
  <si>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</si>
  <si>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</si>
  <si>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</si>
  <si>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</si>
  <si>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</si>
  <si>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</si>
  <si>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</si>
  <si>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</si>
  <si>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</si>
  <si>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</si>
  <si>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</si>
  <si>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</si>
  <si>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</si>
  <si>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</si>
  <si>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</si>
  <si>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</si>
  <si>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</si>
  <si>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</si>
  <si>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</si>
  <si>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</si>
  <si>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</si>
  <si>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</si>
  <si>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</si>
  <si>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</si>
  <si>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</si>
  <si>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</si>
  <si>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</si>
  <si>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</si>
  <si>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</si>
  <si>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</si>
  <si>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</si>
  <si>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</si>
  <si>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</si>
  <si>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</si>
  <si>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</si>
  <si>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</si>
  <si>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</si>
  <si>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</si>
  <si>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</si>
  <si>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</si>
  <si>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</si>
  <si>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</si>
  <si>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</si>
  <si>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</si>
  <si>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</si>
  <si>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</si>
  <si>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</si>
  <si>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</si>
  <si>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</si>
  <si>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</si>
  <si>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</si>
  <si>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</si>
  <si>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</si>
  <si>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</si>
  <si>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</si>
  <si>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</si>
  <si>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</si>
  <si>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</si>
  <si>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</si>
  <si>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</si>
  <si>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</si>
  <si>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</si>
  <si>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</si>
  <si>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DaysToDeliver</t>
  </si>
  <si>
    <t>Weeknum</t>
  </si>
  <si>
    <t>Gender</t>
  </si>
  <si>
    <t>Count of TX ID</t>
  </si>
  <si>
    <t>Sum of Quantity</t>
  </si>
  <si>
    <t>Sum of Amount</t>
  </si>
  <si>
    <t xml:space="preserve"> </t>
  </si>
  <si>
    <t>Average of Rating C</t>
  </si>
  <si>
    <t>Average of DaysToDeliver</t>
  </si>
  <si>
    <t>Orders</t>
  </si>
  <si>
    <t>AverageRating</t>
  </si>
  <si>
    <t>AverageDaysToDeliver</t>
  </si>
  <si>
    <t>👕</t>
  </si>
  <si>
    <t>Row Labels</t>
  </si>
  <si>
    <t>Grand Total</t>
  </si>
  <si>
    <t>Column Labels</t>
  </si>
  <si>
    <t>Female</t>
  </si>
  <si>
    <t>Male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</si>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</sst>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20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/>
    <xf numFmtId="0" fontId="0" fillId="0" borderId="0" xfId="0" applyAlignment="1"/>
    <xf numFmtId="165" fontId="0" fillId="0" borderId="0" xfId="0" applyNumberFormat="1" applyAlignment="1"/>
    <xf numFmtId="9" fontId="2" fillId="0" borderId="1" xfId="1" applyNumberFormat="1" applyFont="1" applyBorder="1" applyAlignment="1">
      <alignment horizontal="center"/>
    </xf>
    <xf numFmtId="0" fontId="1" fillId="0" borderId="1" xfId="1" applyBorder="1"/>
  </cellXfs>
  <cellStyles count="2">
    <cellStyle name="Normal" xfId="0" builtinId="0"/>
    <cellStyle name="Title" xfId="1" builtinId="15"/>
  </cellStyles>
  <dxfs count="21">
    <dxf>
      <numFmt numFmtId="0" formatCode="General"/>
    </dxf>
    <dxf>
      <numFmt numFmtId="165" formatCode="0.0%"/>
    </dxf>
    <dxf>
      <alignment wrapText="0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alignment wrapText="0"/>
    </dxf>
    <dxf>
      <numFmt numFmtId="0" formatCode="General"/>
    </dxf>
    <dxf>
      <numFmt numFmtId="0" formatCode="General"/>
    </dxf>
    <dxf>
      <numFmt numFmtId="165" formatCode="0.0%"/>
    </dxf>
    <dxf>
      <numFmt numFmtId="165" formatCode="0.0%"/>
    </dxf>
    <dxf>
      <alignment wrapText="0"/>
    </dxf>
    <dxf>
      <numFmt numFmtId="0" formatCode="General"/>
    </dxf>
    <dxf>
      <numFmt numFmtId="0" formatCode="General"/>
    </dxf>
    <dxf>
      <alignment wrapText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[ecommerce-5-7.xlsx]KPI!PivotTable2</c:name>
    <c:fmtId val="6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557898483028621E-2"/>
          <c:y val="9.8795322740346081E-2"/>
          <c:w val="0.80372703412073487"/>
          <c:h val="0.68003864100320788"/>
        </c:manualLayout>
      </c:layout>
      <c:lineChart>
        <c:grouping val="standard"/>
        <c:varyColors val="0"/>
        <c:ser>
          <c:idx val="0"/>
          <c:order val="0"/>
          <c:tx>
            <c:strRef>
              <c:f>KPI!$B$8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KPI!$A$9:$A$22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KPI!$B$9:$B$22</c:f>
              <c:numCache>
                <c:formatCode>General</c:formatCode>
                <c:ptCount val="13"/>
                <c:pt idx="0">
                  <c:v>675</c:v>
                </c:pt>
                <c:pt idx="1">
                  <c:v>858</c:v>
                </c:pt>
                <c:pt idx="2">
                  <c:v>918</c:v>
                </c:pt>
                <c:pt idx="3">
                  <c:v>915</c:v>
                </c:pt>
                <c:pt idx="4">
                  <c:v>793</c:v>
                </c:pt>
                <c:pt idx="5">
                  <c:v>1259</c:v>
                </c:pt>
                <c:pt idx="6">
                  <c:v>830</c:v>
                </c:pt>
                <c:pt idx="7">
                  <c:v>1241</c:v>
                </c:pt>
                <c:pt idx="8">
                  <c:v>953</c:v>
                </c:pt>
                <c:pt idx="9">
                  <c:v>1077</c:v>
                </c:pt>
                <c:pt idx="10">
                  <c:v>867</c:v>
                </c:pt>
                <c:pt idx="11">
                  <c:v>899</c:v>
                </c:pt>
                <c:pt idx="12">
                  <c:v>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D-48FF-8A62-741E326DE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207967"/>
        <c:axId val="788999631"/>
      </c:lineChart>
      <c:lineChart>
        <c:grouping val="standard"/>
        <c:varyColors val="0"/>
        <c:ser>
          <c:idx val="1"/>
          <c:order val="1"/>
          <c:tx>
            <c:strRef>
              <c:f>KPI!$C$8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KPI!$A$9:$A$22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KPI!$C$9:$C$22</c:f>
              <c:numCache>
                <c:formatCode>General</c:formatCode>
                <c:ptCount val="13"/>
                <c:pt idx="0">
                  <c:v>40141.900000000009</c:v>
                </c:pt>
                <c:pt idx="1">
                  <c:v>45628.999999999993</c:v>
                </c:pt>
                <c:pt idx="2">
                  <c:v>48148.2</c:v>
                </c:pt>
                <c:pt idx="3">
                  <c:v>46442.700000000004</c:v>
                </c:pt>
                <c:pt idx="4">
                  <c:v>42319.60000000002</c:v>
                </c:pt>
                <c:pt idx="5">
                  <c:v>67739.999999999985</c:v>
                </c:pt>
                <c:pt idx="6">
                  <c:v>40749.099999999991</c:v>
                </c:pt>
                <c:pt idx="7">
                  <c:v>63393.799999999967</c:v>
                </c:pt>
                <c:pt idx="8">
                  <c:v>51075.400000000031</c:v>
                </c:pt>
                <c:pt idx="9">
                  <c:v>63600.399999999994</c:v>
                </c:pt>
                <c:pt idx="10">
                  <c:v>46644.7</c:v>
                </c:pt>
                <c:pt idx="11">
                  <c:v>52980.200000000048</c:v>
                </c:pt>
                <c:pt idx="12">
                  <c:v>40154.799999999988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D-48FF-8A62-741E326DE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049695"/>
        <c:axId val="788989071"/>
      </c:lineChart>
      <c:catAx>
        <c:axId val="912207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99631"/>
        <c:crosses val="autoZero"/>
        <c:auto val="1"/>
        <c:lblAlgn val="ctr"/>
        <c:lblOffset val="100"/>
        <c:noMultiLvlLbl val="0"/>
      </c:catAx>
      <c:valAx>
        <c:axId val="7889996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207967"/>
        <c:crosses val="autoZero"/>
        <c:crossBetween val="between"/>
      </c:valAx>
      <c:valAx>
        <c:axId val="7889890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49695"/>
        <c:crosses val="max"/>
        <c:crossBetween val="between"/>
      </c:valAx>
      <c:catAx>
        <c:axId val="73504969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8907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0</xdr:rowOff>
    </xdr:from>
    <xdr:to>
      <xdr:col>24</xdr:col>
      <xdr:colOff>121920</xdr:colOff>
      <xdr:row>29</xdr:row>
      <xdr:rowOff>167640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D54D72D-4FCF-68A7-95AD-E644C1511E9A}"/>
            </a:ext>
          </a:extLst>
        </xdr:cNvPr>
        <xdr:cNvSpPr/>
      </xdr:nvSpPr>
      <xdr:spPr>
        <a:xfrm>
          <a:off x="1516380" y="0"/>
          <a:ext cx="12847320" cy="54711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5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68580</xdr:colOff>
      <xdr:row>29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14C715-4CE7-CECA-B80E-69445D1BE5DC}"/>
            </a:ext>
          </a:extLst>
        </xdr:cNvPr>
        <xdr:cNvSpPr/>
      </xdr:nvSpPr>
      <xdr:spPr>
        <a:xfrm>
          <a:off x="0" y="0"/>
          <a:ext cx="1508760" cy="5471160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251460</xdr:colOff>
      <xdr:row>2</xdr:row>
      <xdr:rowOff>91440</xdr:rowOff>
    </xdr:from>
    <xdr:to>
      <xdr:col>1</xdr:col>
      <xdr:colOff>1135380</xdr:colOff>
      <xdr:row>4</xdr:row>
      <xdr:rowOff>129540</xdr:rowOff>
    </xdr:to>
    <xdr:sp macro="" textlink="KPI!H4">
      <xdr:nvSpPr>
        <xdr:cNvPr id="4" name="TextBox 3">
          <a:extLst>
            <a:ext uri="{FF2B5EF4-FFF2-40B4-BE49-F238E27FC236}">
              <a16:creationId xmlns:a16="http://schemas.microsoft.com/office/drawing/2014/main" id="{E8B46691-BF6C-A8F3-A225-139F7D7A4200}"/>
            </a:ext>
          </a:extLst>
        </xdr:cNvPr>
        <xdr:cNvSpPr txBox="1"/>
      </xdr:nvSpPr>
      <xdr:spPr>
        <a:xfrm>
          <a:off x="449580" y="457200"/>
          <a:ext cx="883920" cy="40386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93A987B-1BCD-46C5-986C-6EF21805AD62}" type="TxLink">
            <a:rPr lang="en-US" sz="1800" b="0" i="0" u="none" strike="noStrike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  <a:cs typeface="Times New Roman" panose="02020603050405020304" pitchFamily="18" charset="0"/>
            </a:rPr>
            <a:pPr algn="ctr"/>
            <a:t>2,400</a:t>
          </a:fld>
          <a:endParaRPr lang="en-IN" sz="18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220980</xdr:colOff>
      <xdr:row>7</xdr:row>
      <xdr:rowOff>91440</xdr:rowOff>
    </xdr:from>
    <xdr:to>
      <xdr:col>1</xdr:col>
      <xdr:colOff>1104900</xdr:colOff>
      <xdr:row>9</xdr:row>
      <xdr:rowOff>129540</xdr:rowOff>
    </xdr:to>
    <xdr:sp macro="" textlink="KPI!I4">
      <xdr:nvSpPr>
        <xdr:cNvPr id="5" name="TextBox 4">
          <a:extLst>
            <a:ext uri="{FF2B5EF4-FFF2-40B4-BE49-F238E27FC236}">
              <a16:creationId xmlns:a16="http://schemas.microsoft.com/office/drawing/2014/main" id="{E911FF58-6FA4-46CE-8E69-9A0CCD2FC8E2}"/>
            </a:ext>
          </a:extLst>
        </xdr:cNvPr>
        <xdr:cNvSpPr txBox="1"/>
      </xdr:nvSpPr>
      <xdr:spPr>
        <a:xfrm>
          <a:off x="419100" y="1371600"/>
          <a:ext cx="883920" cy="40386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55C5652-74F3-41D4-9ABC-8E16BFB32977}" type="TxLink">
            <a:rPr lang="en-US" sz="1800" b="0" i="0" u="none" strike="noStrike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  <a:ea typeface="+mn-ea"/>
              <a:cs typeface="Times New Roman" panose="02020603050405020304" pitchFamily="18" charset="0"/>
            </a:rPr>
            <a:pPr marL="0" indent="0" algn="ctr"/>
            <a:t>11,997</a:t>
          </a:fld>
          <a:endParaRPr lang="en-IN" sz="1800" b="0" i="0" u="none" strike="noStrike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205740</xdr:colOff>
      <xdr:row>24</xdr:row>
      <xdr:rowOff>0</xdr:rowOff>
    </xdr:from>
    <xdr:to>
      <xdr:col>1</xdr:col>
      <xdr:colOff>1089660</xdr:colOff>
      <xdr:row>26</xdr:row>
      <xdr:rowOff>38100</xdr:rowOff>
    </xdr:to>
    <xdr:sp macro="" textlink="KPI!L4">
      <xdr:nvSpPr>
        <xdr:cNvPr id="6" name="TextBox 5">
          <a:extLst>
            <a:ext uri="{FF2B5EF4-FFF2-40B4-BE49-F238E27FC236}">
              <a16:creationId xmlns:a16="http://schemas.microsoft.com/office/drawing/2014/main" id="{64E717F7-A1E0-4DEF-8DCB-27D334AD6A4C}"/>
            </a:ext>
          </a:extLst>
        </xdr:cNvPr>
        <xdr:cNvSpPr txBox="1"/>
      </xdr:nvSpPr>
      <xdr:spPr>
        <a:xfrm>
          <a:off x="403860" y="4389120"/>
          <a:ext cx="883920" cy="40386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85A2488-C3E7-4F70-B7B1-1B640A0463BD}" type="TxLink">
            <a:rPr lang="en-US" sz="1800" b="0" i="0" u="none" strike="noStrike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  <a:ea typeface="+mn-ea"/>
              <a:cs typeface="Times New Roman" panose="02020603050405020304" pitchFamily="18" charset="0"/>
            </a:rPr>
            <a:pPr marL="0" indent="0" algn="ctr"/>
            <a:t>2.3</a:t>
          </a:fld>
          <a:endParaRPr lang="en-IN" sz="1800" b="0" i="0" u="none" strike="noStrike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198120</xdr:colOff>
      <xdr:row>18</xdr:row>
      <xdr:rowOff>53340</xdr:rowOff>
    </xdr:from>
    <xdr:to>
      <xdr:col>1</xdr:col>
      <xdr:colOff>1082040</xdr:colOff>
      <xdr:row>20</xdr:row>
      <xdr:rowOff>91440</xdr:rowOff>
    </xdr:to>
    <xdr:sp macro="" textlink="KPI!K4">
      <xdr:nvSpPr>
        <xdr:cNvPr id="7" name="TextBox 6">
          <a:extLst>
            <a:ext uri="{FF2B5EF4-FFF2-40B4-BE49-F238E27FC236}">
              <a16:creationId xmlns:a16="http://schemas.microsoft.com/office/drawing/2014/main" id="{8A23612B-7BB9-4C85-A57A-1F02AC64FED4}"/>
            </a:ext>
          </a:extLst>
        </xdr:cNvPr>
        <xdr:cNvSpPr txBox="1"/>
      </xdr:nvSpPr>
      <xdr:spPr>
        <a:xfrm>
          <a:off x="396240" y="3345180"/>
          <a:ext cx="883920" cy="40386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262541D-6967-4136-9DCB-B868C0C6163D}" type="TxLink">
            <a:rPr lang="en-US" sz="1800" b="0" i="0" u="none" strike="noStrike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  <a:ea typeface="+mn-ea"/>
              <a:cs typeface="Times New Roman" panose="02020603050405020304" pitchFamily="18" charset="0"/>
            </a:rPr>
            <a:pPr marL="0" indent="0" algn="ctr"/>
            <a:t>4.0</a:t>
          </a:fld>
          <a:endParaRPr lang="en-IN" sz="1800" b="0" i="0" u="none" strike="noStrike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213360</xdr:colOff>
      <xdr:row>12</xdr:row>
      <xdr:rowOff>167640</xdr:rowOff>
    </xdr:from>
    <xdr:to>
      <xdr:col>1</xdr:col>
      <xdr:colOff>1097280</xdr:colOff>
      <xdr:row>15</xdr:row>
      <xdr:rowOff>22860</xdr:rowOff>
    </xdr:to>
    <xdr:sp macro="" textlink="KPI!J4">
      <xdr:nvSpPr>
        <xdr:cNvPr id="8" name="TextBox 7">
          <a:extLst>
            <a:ext uri="{FF2B5EF4-FFF2-40B4-BE49-F238E27FC236}">
              <a16:creationId xmlns:a16="http://schemas.microsoft.com/office/drawing/2014/main" id="{3A121333-6776-46B9-861E-E42DD04A3CEF}"/>
            </a:ext>
          </a:extLst>
        </xdr:cNvPr>
        <xdr:cNvSpPr txBox="1"/>
      </xdr:nvSpPr>
      <xdr:spPr>
        <a:xfrm>
          <a:off x="411480" y="2362200"/>
          <a:ext cx="883920" cy="40386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772B4E5-7D1D-4EA1-BF67-6EB9C4CC1BCE}" type="TxLink">
            <a:rPr lang="en-US" sz="1800" b="0" i="0" u="none" strike="noStrike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  <a:ea typeface="+mn-ea"/>
              <a:cs typeface="Times New Roman" panose="02020603050405020304" pitchFamily="18" charset="0"/>
            </a:rPr>
            <a:pPr marL="0" indent="0" algn="ctr"/>
            <a:t>6,49,020</a:t>
          </a:fld>
          <a:endParaRPr lang="en-IN" sz="1800" b="0" i="0" u="none" strike="noStrike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175260</xdr:colOff>
      <xdr:row>21</xdr:row>
      <xdr:rowOff>38100</xdr:rowOff>
    </xdr:from>
    <xdr:to>
      <xdr:col>1</xdr:col>
      <xdr:colOff>1363980</xdr:colOff>
      <xdr:row>23</xdr:row>
      <xdr:rowOff>160020</xdr:rowOff>
    </xdr:to>
    <xdr:sp macro="" textlink="KPI!L3">
      <xdr:nvSpPr>
        <xdr:cNvPr id="11" name="TextBox 10">
          <a:extLst>
            <a:ext uri="{FF2B5EF4-FFF2-40B4-BE49-F238E27FC236}">
              <a16:creationId xmlns:a16="http://schemas.microsoft.com/office/drawing/2014/main" id="{CD6E4AF9-59D4-BB33-C2A5-6383E79908D6}"/>
            </a:ext>
          </a:extLst>
        </xdr:cNvPr>
        <xdr:cNvSpPr txBox="1"/>
      </xdr:nvSpPr>
      <xdr:spPr>
        <a:xfrm>
          <a:off x="175260" y="3878580"/>
          <a:ext cx="1386840" cy="48768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🚚</a:t>
          </a:r>
          <a:fld id="{123122E4-A663-410C-A738-62469DEBB12B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pPr marL="0" indent="0" algn="ctr"/>
            <a:t>AverageDaysToDeliver</a:t>
          </a:fld>
          <a:endParaRPr lang="en-IN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45720</xdr:colOff>
      <xdr:row>0</xdr:row>
      <xdr:rowOff>68580</xdr:rowOff>
    </xdr:from>
    <xdr:to>
      <xdr:col>1</xdr:col>
      <xdr:colOff>1379220</xdr:colOff>
      <xdr:row>2</xdr:row>
      <xdr:rowOff>68580</xdr:rowOff>
    </xdr:to>
    <xdr:sp macro="" textlink="KPI!H3">
      <xdr:nvSpPr>
        <xdr:cNvPr id="12" name="TextBox 11">
          <a:extLst>
            <a:ext uri="{FF2B5EF4-FFF2-40B4-BE49-F238E27FC236}">
              <a16:creationId xmlns:a16="http://schemas.microsoft.com/office/drawing/2014/main" id="{55C32BBA-184F-CBE8-7798-F03F274F4026}"/>
            </a:ext>
          </a:extLst>
        </xdr:cNvPr>
        <xdr:cNvSpPr txBox="1"/>
      </xdr:nvSpPr>
      <xdr:spPr>
        <a:xfrm>
          <a:off x="243840" y="68580"/>
          <a:ext cx="1333500" cy="3657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🛒 </a:t>
          </a:r>
          <a:fld id="{9351808E-3D54-4891-9E34-D5BAD3DE783B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pPr marL="0" indent="0" algn="ctr"/>
            <a:t>Orders</a:t>
          </a:fld>
          <a:endParaRPr lang="en-IN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22860</xdr:colOff>
      <xdr:row>5</xdr:row>
      <xdr:rowOff>45720</xdr:rowOff>
    </xdr:from>
    <xdr:to>
      <xdr:col>1</xdr:col>
      <xdr:colOff>1356360</xdr:colOff>
      <xdr:row>7</xdr:row>
      <xdr:rowOff>45720</xdr:rowOff>
    </xdr:to>
    <xdr:sp macro="" textlink="KPI!I3">
      <xdr:nvSpPr>
        <xdr:cNvPr id="13" name="TextBox 12">
          <a:extLst>
            <a:ext uri="{FF2B5EF4-FFF2-40B4-BE49-F238E27FC236}">
              <a16:creationId xmlns:a16="http://schemas.microsoft.com/office/drawing/2014/main" id="{353DCFA0-38A1-432A-9884-53A5B2588702}"/>
            </a:ext>
          </a:extLst>
        </xdr:cNvPr>
        <xdr:cNvSpPr txBox="1"/>
      </xdr:nvSpPr>
      <xdr:spPr>
        <a:xfrm>
          <a:off x="220980" y="960120"/>
          <a:ext cx="1333500" cy="3657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👕 </a:t>
          </a:r>
          <a:fld id="{B595987A-CFD8-4553-97AD-A97EF2A9B106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pPr marL="0" indent="0" algn="ctr"/>
            <a:t>Quantity</a:t>
          </a:fld>
          <a:endParaRPr lang="en-IN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10</xdr:row>
      <xdr:rowOff>121920</xdr:rowOff>
    </xdr:from>
    <xdr:to>
      <xdr:col>1</xdr:col>
      <xdr:colOff>1333500</xdr:colOff>
      <xdr:row>12</xdr:row>
      <xdr:rowOff>121920</xdr:rowOff>
    </xdr:to>
    <xdr:sp macro="" textlink="KPI!J3">
      <xdr:nvSpPr>
        <xdr:cNvPr id="14" name="TextBox 13">
          <a:extLst>
            <a:ext uri="{FF2B5EF4-FFF2-40B4-BE49-F238E27FC236}">
              <a16:creationId xmlns:a16="http://schemas.microsoft.com/office/drawing/2014/main" id="{BFAA43ED-E4C9-4021-BDEB-38B946854797}"/>
            </a:ext>
          </a:extLst>
        </xdr:cNvPr>
        <xdr:cNvSpPr txBox="1"/>
      </xdr:nvSpPr>
      <xdr:spPr>
        <a:xfrm>
          <a:off x="198120" y="1950720"/>
          <a:ext cx="1333500" cy="3657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💵 </a:t>
          </a:r>
          <a:fld id="{D83CBF1B-5DC8-4B12-8C7E-B0E092636B62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pPr marL="0" indent="0" algn="ctr"/>
            <a:t>Amount</a:t>
          </a:fld>
          <a:endParaRPr lang="en-IN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190500</xdr:colOff>
      <xdr:row>16</xdr:row>
      <xdr:rowOff>7620</xdr:rowOff>
    </xdr:from>
    <xdr:to>
      <xdr:col>1</xdr:col>
      <xdr:colOff>1325880</xdr:colOff>
      <xdr:row>18</xdr:row>
      <xdr:rowOff>7620</xdr:rowOff>
    </xdr:to>
    <xdr:sp macro="" textlink="KPI!K3">
      <xdr:nvSpPr>
        <xdr:cNvPr id="15" name="TextBox 14">
          <a:extLst>
            <a:ext uri="{FF2B5EF4-FFF2-40B4-BE49-F238E27FC236}">
              <a16:creationId xmlns:a16="http://schemas.microsoft.com/office/drawing/2014/main" id="{22AB6268-2D6C-4290-B1C6-5D93E253475D}"/>
            </a:ext>
          </a:extLst>
        </xdr:cNvPr>
        <xdr:cNvSpPr txBox="1"/>
      </xdr:nvSpPr>
      <xdr:spPr>
        <a:xfrm>
          <a:off x="190500" y="2933700"/>
          <a:ext cx="1333500" cy="3657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⭐</a:t>
          </a:r>
          <a:fld id="{D6EB7E17-D0EF-43FB-99A2-6F044DF5C95F}" type="TxLink"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pPr marL="0" indent="0" algn="ctr"/>
            <a:t>AverageRating</a:t>
          </a:fld>
          <a:endParaRPr lang="en-IN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182880</xdr:colOff>
      <xdr:row>0</xdr:row>
      <xdr:rowOff>91440</xdr:rowOff>
    </xdr:from>
    <xdr:to>
      <xdr:col>10</xdr:col>
      <xdr:colOff>114300</xdr:colOff>
      <xdr:row>13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EA7264-8CDA-47EE-A64C-4512B7058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175260</xdr:colOff>
      <xdr:row>0</xdr:row>
      <xdr:rowOff>99060</xdr:rowOff>
    </xdr:from>
    <xdr:to>
      <xdr:col>16</xdr:col>
      <xdr:colOff>449580</xdr:colOff>
      <xdr:row>13</xdr:row>
      <xdr:rowOff>53340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B82C8D9-2120-CA9A-1E25-C6D842030B7F}"/>
            </a:ext>
          </a:extLst>
        </xdr:cNvPr>
        <xdr:cNvSpPr/>
      </xdr:nvSpPr>
      <xdr:spPr>
        <a:xfrm>
          <a:off x="6233160" y="99060"/>
          <a:ext cx="3931920" cy="2331720"/>
        </a:xfrm>
        <a:prstGeom prst="rect">
          <a:avLst/>
        </a:prstGeom>
        <a:solidFill>
          <a:schemeClr val="bg1"/>
        </a:solidFill>
        <a:ln>
          <a:solidFill>
            <a:srgbClr val="00B05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177446</xdr:colOff>
          <xdr:row>0</xdr:row>
          <xdr:rowOff>114300</xdr:rowOff>
        </xdr:from>
        <xdr:to>
          <xdr:col>16</xdr:col>
          <xdr:colOff>449580</xdr:colOff>
          <xdr:row>13</xdr:row>
          <xdr:rowOff>38100</xdr:rowOff>
        </xdr:to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B17DC8AD-4C84-CB8F-C8CF-B92306C16D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I$4:$M$9" spid="_x0000_s105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235346" y="114300"/>
              <a:ext cx="3929734" cy="2301240"/>
            </a:xfrm>
            <a:prstGeom prst="rect">
              <a:avLst/>
            </a:prstGeom>
            <a:noFill/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eeraj Pal" refreshedDate="46254.773403472223" createdVersion="8" refreshedVersion="8" minRefreshableVersion="3" recordCount="2400" xr:uid="{2AA3794A-1DF9-41CD-8309-6537B9AFCC6B}">
  <cacheSource type="worksheet">
    <worksheetSource name="orders"/>
  </cacheSource>
  <cacheFields count="15">
    <cacheField name="TX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ToDeliver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" numFmtId="0">
      <sharedItems count="4">
        <s v="Unknown"/>
        <s v="Male"/>
        <s v="Female"/>
        <s v="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s v="Shorts"/>
    <n v="1"/>
    <n v="10.9"/>
    <n v="10.9"/>
    <d v="2025-01-01T00:00:00"/>
    <d v="2025-01-06T00:00:00"/>
    <s v=""/>
    <x v="0"/>
    <n v="4"/>
    <s v="California"/>
    <s v="Alpine County"/>
    <n v="5"/>
    <x v="0"/>
    <x v="0"/>
  </r>
  <r>
    <s v="TX500002"/>
    <s v="Tank Tops"/>
    <n v="2"/>
    <n v="30.6"/>
    <n v="61.2"/>
    <d v="2025-01-01T00:00:00"/>
    <d v="2025-01-03T00:00:00"/>
    <s v="M"/>
    <x v="0"/>
    <n v="4"/>
    <s v="California"/>
    <s v="Contra Costa County"/>
    <n v="2"/>
    <x v="0"/>
    <x v="1"/>
  </r>
  <r>
    <s v="TX500003"/>
    <s v="Sneakers"/>
    <n v="3"/>
    <n v="109.4"/>
    <n v="328.20000000000005"/>
    <d v="2025-01-01T00:00:00"/>
    <d v="2025-01-04T00:00:00"/>
    <s v="F"/>
    <x v="0"/>
    <n v="3"/>
    <s v="California"/>
    <s v="Fresno County"/>
    <n v="3"/>
    <x v="0"/>
    <x v="2"/>
  </r>
  <r>
    <s v="TX500004"/>
    <s v="Workout Tops"/>
    <n v="7"/>
    <n v="37.700000000000003"/>
    <n v="263.90000000000003"/>
    <d v="2025-01-01T00:00:00"/>
    <d v="2025-01-02T00:00:00"/>
    <s v="F"/>
    <x v="0"/>
    <n v="4"/>
    <s v="California"/>
    <s v="Fresno County"/>
    <n v="1"/>
    <x v="0"/>
    <x v="2"/>
  </r>
  <r>
    <s v="TX500005"/>
    <s v="Graphic Tees"/>
    <n v="3"/>
    <n v="56.7"/>
    <n v="170.10000000000002"/>
    <d v="2025-01-01T00:00:00"/>
    <d v="2025-01-04T00:00:00"/>
    <s v="F"/>
    <x v="0"/>
    <n v="5"/>
    <s v="California"/>
    <s v="Los Angeles County"/>
    <n v="3"/>
    <x v="0"/>
    <x v="2"/>
  </r>
  <r>
    <s v="TX500006"/>
    <s v="Tank Tops"/>
    <n v="12"/>
    <n v="83.5"/>
    <n v="1002"/>
    <d v="2025-01-01T00:00:00"/>
    <d v="2025-01-04T00:00:00"/>
    <s v="M"/>
    <x v="1"/>
    <n v="4"/>
    <s v="California"/>
    <s v="Los Angeles County"/>
    <n v="3"/>
    <x v="0"/>
    <x v="1"/>
  </r>
  <r>
    <s v="TX500007"/>
    <s v="Sandals"/>
    <n v="1"/>
    <n v="55.3"/>
    <n v="55.3"/>
    <d v="2025-01-01T00:00:00"/>
    <d v="2025-01-02T00:00:00"/>
    <s v="F"/>
    <x v="0"/>
    <n v="4"/>
    <s v="California"/>
    <s v="Los Angeles County"/>
    <n v="1"/>
    <x v="0"/>
    <x v="2"/>
  </r>
  <r>
    <s v="TX500008"/>
    <s v="Jeans"/>
    <n v="2"/>
    <n v="40.299999999999997"/>
    <n v="80.599999999999994"/>
    <d v="2025-01-01T00:00:00"/>
    <d v="2025-01-02T00:00:00"/>
    <s v="M"/>
    <x v="2"/>
    <n v="5"/>
    <s v="California"/>
    <s v="Los Angeles County"/>
    <n v="1"/>
    <x v="0"/>
    <x v="1"/>
  </r>
  <r>
    <s v="TX500009"/>
    <s v="Hoodies &amp; Sweatshirts"/>
    <n v="11"/>
    <n v="35.700000000000003"/>
    <n v="392.70000000000005"/>
    <d v="2025-01-01T00:00:00"/>
    <d v="2025-01-02T00:00:00"/>
    <s v="F"/>
    <x v="0"/>
    <n v="4"/>
    <s v="California"/>
    <s v="Los Angeles County"/>
    <n v="1"/>
    <x v="0"/>
    <x v="2"/>
  </r>
  <r>
    <s v="TX500010"/>
    <s v="T-Shirts"/>
    <n v="7"/>
    <n v="22.4"/>
    <n v="156.79999999999998"/>
    <d v="2025-01-01T00:00:00"/>
    <d v="2025-01-04T00:00:00"/>
    <s v="M"/>
    <x v="0"/>
    <n v="3"/>
    <s v="California"/>
    <s v="Los Angeles County"/>
    <n v="3"/>
    <x v="0"/>
    <x v="1"/>
  </r>
  <r>
    <s v="TX500011"/>
    <s v="Sundresses"/>
    <n v="2"/>
    <n v="54.4"/>
    <n v="108.8"/>
    <d v="2025-01-01T00:00:00"/>
    <d v="2025-01-07T00:00:00"/>
    <s v="F"/>
    <x v="0"/>
    <n v="4"/>
    <s v="California"/>
    <s v="Los Angeles County"/>
    <n v="6"/>
    <x v="0"/>
    <x v="2"/>
  </r>
  <r>
    <s v="TX500012"/>
    <s v="Sundresses"/>
    <n v="2"/>
    <n v="49"/>
    <n v="98"/>
    <d v="2025-01-01T00:00:00"/>
    <d v="2025-01-03T00:00:00"/>
    <s v="F"/>
    <x v="2"/>
    <n v="3"/>
    <s v="California"/>
    <s v="Los Angeles County"/>
    <n v="2"/>
    <x v="0"/>
    <x v="2"/>
  </r>
  <r>
    <s v="TX500013"/>
    <s v="Sandals"/>
    <n v="7"/>
    <n v="118.6"/>
    <n v="830.19999999999993"/>
    <d v="2025-01-01T00:00:00"/>
    <d v="2025-01-05T00:00:00"/>
    <s v="F"/>
    <x v="1"/>
    <n v="4"/>
    <s v="California"/>
    <s v="Nevada County"/>
    <n v="4"/>
    <x v="0"/>
    <x v="2"/>
  </r>
  <r>
    <s v="TX500014"/>
    <s v="Jeans"/>
    <n v="27"/>
    <n v="88.4"/>
    <n v="2386.8000000000002"/>
    <d v="2025-01-01T00:00:00"/>
    <d v="2025-01-08T00:00:00"/>
    <s v="M"/>
    <x v="3"/>
    <n v="4"/>
    <s v="California"/>
    <s v="Placer County"/>
    <n v="7"/>
    <x v="0"/>
    <x v="1"/>
  </r>
  <r>
    <s v="TX500015"/>
    <s v="Bikinis"/>
    <n v="1"/>
    <n v="66.7"/>
    <n v="66.7"/>
    <d v="2025-01-01T00:00:00"/>
    <d v="2025-01-04T00:00:00"/>
    <s v="M"/>
    <x v="0"/>
    <n v="4"/>
    <s v="California"/>
    <s v="Sacramento County"/>
    <n v="3"/>
    <x v="0"/>
    <x v="1"/>
  </r>
  <r>
    <s v="TX500016"/>
    <s v="Sundresses"/>
    <n v="10"/>
    <n v="30.9"/>
    <n v="309"/>
    <d v="2025-01-01T00:00:00"/>
    <d v="2025-01-02T00:00:00"/>
    <s v="M"/>
    <x v="1"/>
    <n v="5"/>
    <s v="California"/>
    <s v="Sacramento County"/>
    <n v="1"/>
    <x v="0"/>
    <x v="1"/>
  </r>
  <r>
    <s v="TX500017"/>
    <s v="Graphic Tees"/>
    <n v="3"/>
    <n v="31.1"/>
    <n v="93.300000000000011"/>
    <d v="2025-01-01T00:00:00"/>
    <d v="2025-01-02T00:00:00"/>
    <s v="F"/>
    <x v="0"/>
    <n v="3"/>
    <s v="California"/>
    <s v="Sacramento County"/>
    <n v="1"/>
    <x v="0"/>
    <x v="2"/>
  </r>
  <r>
    <s v="TX500018"/>
    <s v="Hoodies &amp; Sweatshirts"/>
    <n v="3"/>
    <n v="36.6"/>
    <n v="109.80000000000001"/>
    <d v="2025-01-01T00:00:00"/>
    <d v="2025-01-04T00:00:00"/>
    <s v="F"/>
    <x v="0"/>
    <n v="4"/>
    <s v="California"/>
    <s v="San Bernardino County"/>
    <n v="3"/>
    <x v="0"/>
    <x v="2"/>
  </r>
  <r>
    <s v="TX500019"/>
    <s v="Jeans"/>
    <n v="8"/>
    <n v="51.1"/>
    <n v="408.8"/>
    <d v="2025-01-01T00:00:00"/>
    <d v="2025-01-04T00:00:00"/>
    <s v="F"/>
    <x v="2"/>
    <n v="1"/>
    <s v="California"/>
    <s v="San Bernardino County"/>
    <n v="3"/>
    <x v="0"/>
    <x v="2"/>
  </r>
  <r>
    <s v="TX500020"/>
    <s v="Sundresses"/>
    <n v="1"/>
    <n v="25.2"/>
    <n v="25.2"/>
    <d v="2025-01-01T00:00:00"/>
    <d v="2025-01-02T00:00:00"/>
    <s v="F"/>
    <x v="1"/>
    <n v="5"/>
    <s v="California"/>
    <s v="San Diego County"/>
    <n v="1"/>
    <x v="0"/>
    <x v="2"/>
  </r>
  <r>
    <s v="TX500021"/>
    <s v="Sundresses"/>
    <n v="5"/>
    <n v="43.8"/>
    <n v="219"/>
    <d v="2025-01-01T00:00:00"/>
    <d v="2025-01-04T00:00:00"/>
    <s v="F"/>
    <x v="2"/>
    <n v="4"/>
    <s v="California"/>
    <s v="San Diego County"/>
    <n v="3"/>
    <x v="0"/>
    <x v="2"/>
  </r>
  <r>
    <s v="TX500022"/>
    <s v="T-Shirts"/>
    <n v="12"/>
    <n v="46.7"/>
    <n v="560.40000000000009"/>
    <d v="2025-01-01T00:00:00"/>
    <d v="2025-01-02T00:00:00"/>
    <s v="F"/>
    <x v="1"/>
    <n v="3"/>
    <s v="California"/>
    <s v="San Diego County"/>
    <n v="1"/>
    <x v="0"/>
    <x v="2"/>
  </r>
  <r>
    <s v="TX500023"/>
    <s v="Workout Tops"/>
    <n v="19"/>
    <n v="79.900000000000006"/>
    <n v="1518.1000000000001"/>
    <d v="2025-01-01T00:00:00"/>
    <d v="2025-01-02T00:00:00"/>
    <s v="M"/>
    <x v="0"/>
    <n v="5"/>
    <s v="California"/>
    <s v="San Diego County"/>
    <n v="1"/>
    <x v="0"/>
    <x v="1"/>
  </r>
  <r>
    <s v="TX500024"/>
    <s v="Maxi Dresses"/>
    <n v="8"/>
    <n v="26.4"/>
    <n v="211.2"/>
    <d v="2025-01-01T00:00:00"/>
    <d v="2025-01-02T00:00:00"/>
    <s v="F"/>
    <x v="3"/>
    <n v="4"/>
    <s v="California"/>
    <s v="San Diego County"/>
    <n v="1"/>
    <x v="0"/>
    <x v="2"/>
  </r>
  <r>
    <s v="TX500025"/>
    <s v="Casual Dresses"/>
    <n v="8"/>
    <n v="88.8"/>
    <n v="710.4"/>
    <d v="2025-01-01T00:00:00"/>
    <d v="2025-01-02T00:00:00"/>
    <s v="F"/>
    <x v="4"/>
    <n v="4"/>
    <s v="California"/>
    <s v="San Diego County"/>
    <n v="1"/>
    <x v="0"/>
    <x v="2"/>
  </r>
  <r>
    <s v="TX500026"/>
    <s v="Shorts"/>
    <n v="10"/>
    <n v="17.5"/>
    <n v="175"/>
    <d v="2025-01-01T00:00:00"/>
    <d v="2025-01-02T00:00:00"/>
    <s v="F"/>
    <x v="2"/>
    <n v="4"/>
    <s v="California"/>
    <s v="San Mateo County"/>
    <n v="1"/>
    <x v="0"/>
    <x v="2"/>
  </r>
  <r>
    <s v="TX500027"/>
    <s v="Tank Tops"/>
    <n v="9"/>
    <n v="38.700000000000003"/>
    <n v="348.3"/>
    <d v="2025-01-01T00:00:00"/>
    <d v="2025-01-04T00:00:00"/>
    <s v="M"/>
    <x v="1"/>
    <n v="4"/>
    <s v="California"/>
    <s v="Santa Barbara County"/>
    <n v="3"/>
    <x v="0"/>
    <x v="1"/>
  </r>
  <r>
    <s v="TX500028"/>
    <s v="Tote Bags"/>
    <n v="4"/>
    <n v="57.2"/>
    <n v="228.8"/>
    <d v="2025-01-01T00:00:00"/>
    <d v="2025-01-03T00:00:00"/>
    <s v=""/>
    <x v="1"/>
    <n v="5"/>
    <s v="California"/>
    <s v="Santa Clara County"/>
    <n v="2"/>
    <x v="0"/>
    <x v="0"/>
  </r>
  <r>
    <s v="TX500029"/>
    <s v="Jeans"/>
    <n v="5"/>
    <n v="50.9"/>
    <n v="254.5"/>
    <d v="2025-01-01T00:00:00"/>
    <d v="2025-01-07T00:00:00"/>
    <s v=""/>
    <x v="1"/>
    <n v="5"/>
    <s v="California"/>
    <s v="Tehama County"/>
    <n v="6"/>
    <x v="0"/>
    <x v="0"/>
  </r>
  <r>
    <s v="TX500030"/>
    <s v="Baseball Caps"/>
    <n v="7"/>
    <n v="41"/>
    <n v="287"/>
    <d v="2025-01-01T00:00:00"/>
    <d v="2025-01-05T00:00:00"/>
    <s v="F"/>
    <x v="1"/>
    <n v="4"/>
    <s v="California"/>
    <s v="Ventura County"/>
    <n v="4"/>
    <x v="0"/>
    <x v="2"/>
  </r>
  <r>
    <s v="TX500031"/>
    <s v="T-Shirts"/>
    <n v="7"/>
    <n v="19.100000000000001"/>
    <n v="133.70000000000002"/>
    <d v="2025-01-01T00:00:00"/>
    <d v="2025-01-05T00:00:00"/>
    <s v="M"/>
    <x v="0"/>
    <n v="5"/>
    <s v="California"/>
    <s v="Calaveras County"/>
    <n v="4"/>
    <x v="0"/>
    <x v="1"/>
  </r>
  <r>
    <s v="TX500032"/>
    <s v="Sneakers"/>
    <n v="5"/>
    <n v="166.1"/>
    <n v="830.5"/>
    <d v="2025-01-01T00:00:00"/>
    <d v="2025-01-04T00:00:00"/>
    <s v="M"/>
    <x v="0"/>
    <n v="4"/>
    <s v="California"/>
    <s v="Inyo County"/>
    <n v="3"/>
    <x v="0"/>
    <x v="1"/>
  </r>
  <r>
    <s v="TX500033"/>
    <s v="Graphic Tees"/>
    <n v="3"/>
    <n v="29.9"/>
    <n v="89.699999999999989"/>
    <d v="2025-01-01T00:00:00"/>
    <d v="2025-01-02T00:00:00"/>
    <s v="M"/>
    <x v="3"/>
    <n v="4"/>
    <s v="California"/>
    <s v="Los Angeles County"/>
    <n v="1"/>
    <x v="0"/>
    <x v="1"/>
  </r>
  <r>
    <s v="TX500034"/>
    <s v="Bikinis"/>
    <n v="6"/>
    <n v="21.7"/>
    <n v="130.19999999999999"/>
    <d v="2025-01-01T00:00:00"/>
    <d v="2025-01-03T00:00:00"/>
    <s v="O"/>
    <x v="2"/>
    <n v="5"/>
    <s v="California"/>
    <s v="Los Angeles County"/>
    <n v="2"/>
    <x v="0"/>
    <x v="3"/>
  </r>
  <r>
    <s v="TX500035"/>
    <s v="Maxi Dresses"/>
    <n v="2"/>
    <n v="32"/>
    <n v="64"/>
    <d v="2025-01-01T00:00:00"/>
    <d v="2025-01-04T00:00:00"/>
    <s v="M"/>
    <x v="0"/>
    <n v="5"/>
    <s v="California"/>
    <s v="Los Angeles County"/>
    <n v="3"/>
    <x v="0"/>
    <x v="1"/>
  </r>
  <r>
    <s v="TX500036"/>
    <s v="T-Shirts"/>
    <n v="2"/>
    <n v="15.8"/>
    <n v="31.6"/>
    <d v="2025-01-01T00:00:00"/>
    <d v="2025-01-02T00:00:00"/>
    <s v="M"/>
    <x v="4"/>
    <n v="5"/>
    <s v="California"/>
    <s v="Los Angeles County"/>
    <n v="1"/>
    <x v="0"/>
    <x v="1"/>
  </r>
  <r>
    <s v="TX500037"/>
    <s v="Sneakers"/>
    <n v="17"/>
    <n v="203.1"/>
    <n v="3452.7"/>
    <d v="2025-01-01T00:00:00"/>
    <d v="2025-01-05T00:00:00"/>
    <s v="M"/>
    <x v="3"/>
    <n v="3"/>
    <s v="California"/>
    <s v="Los Angeles County"/>
    <n v="4"/>
    <x v="0"/>
    <x v="1"/>
  </r>
  <r>
    <s v="TX500038"/>
    <s v="Hoodies &amp; Sweatshirts"/>
    <n v="13"/>
    <n v="39"/>
    <n v="507"/>
    <d v="2025-01-01T00:00:00"/>
    <d v="2025-01-07T00:00:00"/>
    <s v="M"/>
    <x v="0"/>
    <n v="5"/>
    <s v="California"/>
    <s v="Los Angeles County"/>
    <n v="6"/>
    <x v="0"/>
    <x v="1"/>
  </r>
  <r>
    <s v="TX500039"/>
    <s v="Bikinis"/>
    <n v="1"/>
    <n v="26.5"/>
    <n v="26.5"/>
    <d v="2025-01-02T00:00:00"/>
    <d v="2025-01-03T00:00:00"/>
    <s v="M"/>
    <x v="2"/>
    <n v="4"/>
    <s v="California"/>
    <s v="Los Angeles County"/>
    <n v="1"/>
    <x v="0"/>
    <x v="1"/>
  </r>
  <r>
    <s v="TX500040"/>
    <s v="Sandals"/>
    <n v="1"/>
    <n v="43.1"/>
    <n v="43.1"/>
    <d v="2025-01-02T00:00:00"/>
    <d v="2025-01-03T00:00:00"/>
    <s v="F"/>
    <x v="2"/>
    <n v="3"/>
    <s v="California"/>
    <s v="Los Angeles County"/>
    <n v="1"/>
    <x v="0"/>
    <x v="2"/>
  </r>
  <r>
    <s v="TX500041"/>
    <s v="Tank Tops"/>
    <n v="3"/>
    <n v="139"/>
    <n v="417"/>
    <d v="2025-01-02T00:00:00"/>
    <d v="2025-01-03T00:00:00"/>
    <s v="F"/>
    <x v="4"/>
    <n v="5"/>
    <s v="California"/>
    <s v="Los Angeles County"/>
    <n v="1"/>
    <x v="0"/>
    <x v="2"/>
  </r>
  <r>
    <s v="TX500042"/>
    <s v="Casual Dresses"/>
    <n v="1"/>
    <n v="80.7"/>
    <n v="80.7"/>
    <d v="2025-01-02T00:00:00"/>
    <d v="2025-01-03T00:00:00"/>
    <s v="M"/>
    <x v="0"/>
    <n v="5"/>
    <s v="California"/>
    <s v="Napa County"/>
    <n v="1"/>
    <x v="0"/>
    <x v="1"/>
  </r>
  <r>
    <s v="TX500043"/>
    <s v="Graphic Tees"/>
    <n v="2"/>
    <n v="54.5"/>
    <n v="109"/>
    <d v="2025-01-02T00:00:00"/>
    <d v="2025-01-04T00:00:00"/>
    <s v="M"/>
    <x v="1"/>
    <n v="3"/>
    <s v="California"/>
    <s v="Sacramento County"/>
    <n v="2"/>
    <x v="0"/>
    <x v="1"/>
  </r>
  <r>
    <s v="TX500044"/>
    <s v="Jeans"/>
    <n v="3"/>
    <n v="68.599999999999994"/>
    <n v="205.79999999999998"/>
    <d v="2025-01-02T00:00:00"/>
    <d v="2025-01-02T00:00:00"/>
    <s v="F"/>
    <x v="0"/>
    <n v="3"/>
    <s v="California"/>
    <s v="San Diego County"/>
    <n v="0"/>
    <x v="0"/>
    <x v="2"/>
  </r>
  <r>
    <s v="TX500045"/>
    <s v="Sneakers"/>
    <n v="4"/>
    <n v="135.9"/>
    <n v="543.6"/>
    <d v="2025-01-02T00:00:00"/>
    <d v="2025-01-03T00:00:00"/>
    <s v="F"/>
    <x v="2"/>
    <n v="5"/>
    <s v="California"/>
    <s v="San Diego County"/>
    <n v="1"/>
    <x v="0"/>
    <x v="2"/>
  </r>
  <r>
    <s v="TX500046"/>
    <s v="Sneakers"/>
    <n v="4"/>
    <n v="70.900000000000006"/>
    <n v="283.60000000000002"/>
    <d v="2025-01-02T00:00:00"/>
    <d v="2025-01-03T00:00:00"/>
    <s v="F"/>
    <x v="0"/>
    <n v="4"/>
    <s v="California"/>
    <s v="San Francisco"/>
    <n v="1"/>
    <x v="0"/>
    <x v="2"/>
  </r>
  <r>
    <s v="TX500047"/>
    <s v="Tank Tops"/>
    <n v="5"/>
    <n v="63.7"/>
    <n v="318.5"/>
    <d v="2025-01-02T00:00:00"/>
    <d v="2025-01-03T00:00:00"/>
    <s v="M"/>
    <x v="1"/>
    <n v="3"/>
    <s v="California"/>
    <s v="San Mateo County"/>
    <n v="1"/>
    <x v="0"/>
    <x v="1"/>
  </r>
  <r>
    <s v="TX500048"/>
    <s v="Tote Bags"/>
    <n v="1"/>
    <n v="29.7"/>
    <n v="29.7"/>
    <d v="2025-01-02T00:00:00"/>
    <d v="2025-01-04T00:00:00"/>
    <s v="F"/>
    <x v="1"/>
    <n v="4"/>
    <s v="California"/>
    <s v="Santa Clara County"/>
    <n v="2"/>
    <x v="0"/>
    <x v="2"/>
  </r>
  <r>
    <s v="TX500049"/>
    <s v="Graphic Tees"/>
    <n v="3"/>
    <n v="26.8"/>
    <n v="80.400000000000006"/>
    <d v="2025-01-02T00:00:00"/>
    <d v="2025-01-11T00:00:00"/>
    <s v="F"/>
    <x v="1"/>
    <n v="5"/>
    <s v="California"/>
    <s v="Santa Clara County"/>
    <n v="9"/>
    <x v="0"/>
    <x v="2"/>
  </r>
  <r>
    <s v="TX500050"/>
    <s v="Baseball Caps"/>
    <n v="1"/>
    <n v="27"/>
    <n v="27"/>
    <d v="2025-01-02T00:00:00"/>
    <d v="2025-01-04T00:00:00"/>
    <s v="F"/>
    <x v="0"/>
    <n v="4"/>
    <s v="California"/>
    <s v="Sonoma County"/>
    <n v="2"/>
    <x v="0"/>
    <x v="2"/>
  </r>
  <r>
    <s v="TX500051"/>
    <s v="T-Shirts"/>
    <n v="1"/>
    <n v="41.4"/>
    <n v="41.4"/>
    <d v="2025-01-02T00:00:00"/>
    <d v="2025-01-03T00:00:00"/>
    <s v="M"/>
    <x v="1"/>
    <n v="5"/>
    <s v="California"/>
    <s v="Stanislaus County"/>
    <n v="1"/>
    <x v="0"/>
    <x v="1"/>
  </r>
  <r>
    <s v="TX500052"/>
    <s v="T-Shirts"/>
    <n v="2"/>
    <n v="24.3"/>
    <n v="48.6"/>
    <d v="2025-01-02T00:00:00"/>
    <d v="2025-01-05T00:00:00"/>
    <s v="F"/>
    <x v="1"/>
    <n v="4"/>
    <s v="California"/>
    <s v="Stanislaus County"/>
    <n v="3"/>
    <x v="0"/>
    <x v="2"/>
  </r>
  <r>
    <s v="TX500053"/>
    <s v="T-Shirts"/>
    <n v="3"/>
    <n v="41.7"/>
    <n v="125.10000000000001"/>
    <d v="2025-01-02T00:00:00"/>
    <d v="2025-01-04T00:00:00"/>
    <s v="M"/>
    <x v="0"/>
    <n v="5"/>
    <s v="California"/>
    <s v="Tulare County"/>
    <n v="2"/>
    <x v="0"/>
    <x v="1"/>
  </r>
  <r>
    <s v="TX500054"/>
    <s v="Shorts"/>
    <n v="2"/>
    <n v="18"/>
    <n v="36"/>
    <d v="2025-01-02T00:00:00"/>
    <d v="2025-01-03T00:00:00"/>
    <s v="F"/>
    <x v="0"/>
    <n v="5"/>
    <s v="California"/>
    <s v="Alameda County"/>
    <n v="1"/>
    <x v="0"/>
    <x v="2"/>
  </r>
  <r>
    <s v="TX500055"/>
    <s v="Hoodies &amp; Sweatshirts"/>
    <n v="3"/>
    <n v="91.3"/>
    <n v="273.89999999999998"/>
    <d v="2025-01-02T00:00:00"/>
    <d v="2025-01-05T00:00:00"/>
    <s v="M"/>
    <x v="2"/>
    <n v="5"/>
    <s v="California"/>
    <s v="Los Angeles County"/>
    <n v="3"/>
    <x v="0"/>
    <x v="1"/>
  </r>
  <r>
    <s v="TX500056"/>
    <s v="T-Shirts"/>
    <n v="8"/>
    <n v="19.3"/>
    <n v="154.4"/>
    <d v="2025-01-02T00:00:00"/>
    <d v="2025-01-03T00:00:00"/>
    <s v="M"/>
    <x v="0"/>
    <n v="4"/>
    <s v="California"/>
    <s v="Los Angeles County"/>
    <n v="1"/>
    <x v="0"/>
    <x v="1"/>
  </r>
  <r>
    <s v="TX500057"/>
    <s v="Casual Dresses"/>
    <n v="13"/>
    <n v="63.2"/>
    <n v="821.6"/>
    <d v="2025-01-02T00:00:00"/>
    <d v="2025-01-03T00:00:00"/>
    <s v="F"/>
    <x v="0"/>
    <n v="4"/>
    <s v="California"/>
    <s v="Los Angeles County"/>
    <n v="1"/>
    <x v="0"/>
    <x v="2"/>
  </r>
  <r>
    <s v="TX500058"/>
    <s v="Bikinis"/>
    <n v="9"/>
    <n v="33.299999999999997"/>
    <n v="299.7"/>
    <d v="2025-01-03T00:00:00"/>
    <d v="2025-01-11T00:00:00"/>
    <s v="F"/>
    <x v="0"/>
    <n v="5"/>
    <s v="California"/>
    <s v="Los Angeles County"/>
    <n v="8"/>
    <x v="0"/>
    <x v="2"/>
  </r>
  <r>
    <s v="TX500059"/>
    <s v="Hoodies &amp; Sweatshirts"/>
    <n v="2"/>
    <n v="64.2"/>
    <n v="128.4"/>
    <d v="2025-01-03T00:00:00"/>
    <d v="2025-01-04T00:00:00"/>
    <s v="M"/>
    <x v="0"/>
    <n v="5"/>
    <s v="California"/>
    <s v="Los Angeles County"/>
    <n v="1"/>
    <x v="0"/>
    <x v="1"/>
  </r>
  <r>
    <s v="TX500060"/>
    <s v="Sundresses"/>
    <n v="3"/>
    <n v="23.1"/>
    <n v="69.300000000000011"/>
    <d v="2025-01-03T00:00:00"/>
    <d v="2025-01-06T00:00:00"/>
    <s v="F"/>
    <x v="1"/>
    <n v="5"/>
    <s v="California"/>
    <s v="Los Angeles County"/>
    <n v="3"/>
    <x v="0"/>
    <x v="2"/>
  </r>
  <r>
    <s v="TX500061"/>
    <s v="Crop Tops"/>
    <n v="2"/>
    <n v="71.099999999999994"/>
    <n v="142.19999999999999"/>
    <d v="2025-01-03T00:00:00"/>
    <d v="2025-01-05T00:00:00"/>
    <s v="F"/>
    <x v="3"/>
    <n v="3"/>
    <s v="California"/>
    <s v="Los Angeles County"/>
    <n v="2"/>
    <x v="0"/>
    <x v="2"/>
  </r>
  <r>
    <s v="TX500062"/>
    <s v="Shorts"/>
    <n v="2"/>
    <n v="11.5"/>
    <n v="23"/>
    <d v="2025-01-03T00:00:00"/>
    <d v="2025-01-04T00:00:00"/>
    <s v="F"/>
    <x v="0"/>
    <n v="4"/>
    <s v="California"/>
    <s v="Los Angeles County"/>
    <n v="1"/>
    <x v="0"/>
    <x v="2"/>
  </r>
  <r>
    <s v="TX500063"/>
    <s v="Crop Tops"/>
    <n v="19"/>
    <n v="69.2"/>
    <n v="1314.8"/>
    <d v="2025-01-03T00:00:00"/>
    <d v="2025-01-08T00:00:00"/>
    <s v="F"/>
    <x v="0"/>
    <n v="4"/>
    <s v="California"/>
    <s v="Los Angeles County"/>
    <n v="5"/>
    <x v="0"/>
    <x v="2"/>
  </r>
  <r>
    <s v="TX500064"/>
    <s v="Shorts"/>
    <n v="1"/>
    <n v="26.8"/>
    <n v="26.8"/>
    <d v="2025-01-03T00:00:00"/>
    <d v="2025-01-04T00:00:00"/>
    <s v="M"/>
    <x v="2"/>
    <n v="2"/>
    <s v="California"/>
    <s v="Los Angeles County"/>
    <n v="1"/>
    <x v="0"/>
    <x v="1"/>
  </r>
  <r>
    <s v="TX500065"/>
    <s v="Sunglasses"/>
    <n v="3"/>
    <n v="31.2"/>
    <n v="93.6"/>
    <d v="2025-01-03T00:00:00"/>
    <d v="2025-01-06T00:00:00"/>
    <s v="F"/>
    <x v="0"/>
    <n v="4"/>
    <s v="California"/>
    <s v="Los Angeles County"/>
    <n v="3"/>
    <x v="0"/>
    <x v="2"/>
  </r>
  <r>
    <s v="TX500066"/>
    <s v="Casual Dresses"/>
    <n v="2"/>
    <n v="113.2"/>
    <n v="226.4"/>
    <d v="2025-01-03T00:00:00"/>
    <d v="2025-01-04T00:00:00"/>
    <s v="F"/>
    <x v="4"/>
    <n v="4"/>
    <s v="California"/>
    <s v="Los Angeles County"/>
    <n v="1"/>
    <x v="0"/>
    <x v="2"/>
  </r>
  <r>
    <s v="TX500067"/>
    <s v="Bikinis"/>
    <n v="8"/>
    <n v="21"/>
    <n v="168"/>
    <d v="2025-01-03T00:00:00"/>
    <d v="2025-01-04T00:00:00"/>
    <s v="M"/>
    <x v="0"/>
    <n v="4"/>
    <s v="California"/>
    <s v="Sacramento County"/>
    <n v="1"/>
    <x v="0"/>
    <x v="1"/>
  </r>
  <r>
    <s v="TX500068"/>
    <s v="Tank Tops"/>
    <n v="2"/>
    <n v="89.1"/>
    <n v="178.2"/>
    <d v="2025-01-03T00:00:00"/>
    <d v="2025-01-04T00:00:00"/>
    <s v="F"/>
    <x v="2"/>
    <n v="5"/>
    <s v="California"/>
    <s v="Sacramento County"/>
    <n v="1"/>
    <x v="0"/>
    <x v="2"/>
  </r>
  <r>
    <s v="TX500069"/>
    <s v="Tank Tops"/>
    <n v="1"/>
    <n v="97.7"/>
    <n v="97.7"/>
    <d v="2025-01-03T00:00:00"/>
    <d v="2025-01-05T00:00:00"/>
    <s v="F"/>
    <x v="0"/>
    <n v="3"/>
    <s v="California"/>
    <s v="Sacramento County"/>
    <n v="2"/>
    <x v="0"/>
    <x v="2"/>
  </r>
  <r>
    <s v="TX500070"/>
    <s v="Crop Tops"/>
    <n v="4"/>
    <n v="97.7"/>
    <n v="390.8"/>
    <d v="2025-01-03T00:00:00"/>
    <d v="2025-01-05T00:00:00"/>
    <s v="M"/>
    <x v="3"/>
    <n v="4"/>
    <s v="California"/>
    <s v="Sacramento County"/>
    <n v="2"/>
    <x v="0"/>
    <x v="1"/>
  </r>
  <r>
    <s v="TX500071"/>
    <s v="Pajama Sets"/>
    <n v="3"/>
    <n v="47.4"/>
    <n v="142.19999999999999"/>
    <d v="2025-01-03T00:00:00"/>
    <d v="2025-01-06T00:00:00"/>
    <s v="M"/>
    <x v="3"/>
    <n v="5"/>
    <s v="California"/>
    <s v="San Diego County"/>
    <n v="3"/>
    <x v="0"/>
    <x v="1"/>
  </r>
  <r>
    <s v="TX500072"/>
    <s v="Hoodies &amp; Sweatshirts"/>
    <n v="1"/>
    <n v="89.6"/>
    <n v="89.6"/>
    <d v="2025-01-03T00:00:00"/>
    <d v="2025-01-06T00:00:00"/>
    <s v="F"/>
    <x v="0"/>
    <n v="5"/>
    <s v="California"/>
    <s v="San Diego County"/>
    <n v="3"/>
    <x v="0"/>
    <x v="2"/>
  </r>
  <r>
    <s v="TX500073"/>
    <s v="Bikinis"/>
    <n v="18"/>
    <n v="28.4"/>
    <n v="511.2"/>
    <d v="2025-01-03T00:00:00"/>
    <d v="2025-01-06T00:00:00"/>
    <s v="F"/>
    <x v="3"/>
    <n v="5"/>
    <s v="California"/>
    <s v="San Francisco"/>
    <n v="3"/>
    <x v="0"/>
    <x v="2"/>
  </r>
  <r>
    <s v="TX500074"/>
    <s v="Shorts"/>
    <n v="2"/>
    <n v="17.899999999999999"/>
    <n v="35.799999999999997"/>
    <d v="2025-01-03T00:00:00"/>
    <d v="2025-01-04T00:00:00"/>
    <s v="F"/>
    <x v="0"/>
    <n v="5"/>
    <s v="California"/>
    <s v="San Mateo County"/>
    <n v="1"/>
    <x v="0"/>
    <x v="2"/>
  </r>
  <r>
    <s v="TX500075"/>
    <s v="Sundresses"/>
    <n v="2"/>
    <n v="48.4"/>
    <n v="96.8"/>
    <d v="2025-01-03T00:00:00"/>
    <d v="2025-01-06T00:00:00"/>
    <s v="M"/>
    <x v="1"/>
    <n v="4"/>
    <s v="California"/>
    <s v="San Mateo County"/>
    <n v="3"/>
    <x v="0"/>
    <x v="1"/>
  </r>
  <r>
    <s v="TX500076"/>
    <s v="Casual Dresses"/>
    <n v="4"/>
    <n v="44.4"/>
    <n v="177.6"/>
    <d v="2025-01-03T00:00:00"/>
    <d v="2025-01-04T00:00:00"/>
    <s v="O"/>
    <x v="1"/>
    <n v="3"/>
    <s v="California"/>
    <s v="Santa Clara County"/>
    <n v="1"/>
    <x v="0"/>
    <x v="3"/>
  </r>
  <r>
    <s v="TX500077"/>
    <s v="Sneakers"/>
    <n v="8"/>
    <n v="103.7"/>
    <n v="829.6"/>
    <d v="2025-01-03T00:00:00"/>
    <d v="2025-01-04T00:00:00"/>
    <s v="F"/>
    <x v="0"/>
    <n v="3"/>
    <s v="California"/>
    <s v="Stanislaus County"/>
    <n v="1"/>
    <x v="0"/>
    <x v="2"/>
  </r>
  <r>
    <s v="TX500078"/>
    <s v="Sandals"/>
    <n v="4"/>
    <n v="58.6"/>
    <n v="234.4"/>
    <d v="2025-01-03T00:00:00"/>
    <d v="2025-01-05T00:00:00"/>
    <s v="M"/>
    <x v="3"/>
    <n v="4"/>
    <s v="California"/>
    <s v="Stanislaus County"/>
    <n v="2"/>
    <x v="0"/>
    <x v="1"/>
  </r>
  <r>
    <s v="TX500079"/>
    <s v="Sundresses"/>
    <n v="4"/>
    <n v="54.8"/>
    <n v="219.2"/>
    <d v="2025-01-03T00:00:00"/>
    <d v="2025-01-07T00:00:00"/>
    <s v="F"/>
    <x v="2"/>
    <n v="3"/>
    <s v="California"/>
    <s v="Ventura County"/>
    <n v="4"/>
    <x v="0"/>
    <x v="2"/>
  </r>
  <r>
    <s v="TX500080"/>
    <s v="Casual Dresses"/>
    <n v="3"/>
    <n v="78.8"/>
    <n v="236.39999999999998"/>
    <d v="2025-01-03T00:00:00"/>
    <d v="2025-01-09T00:00:00"/>
    <s v="F"/>
    <x v="4"/>
    <n v="3"/>
    <s v="California"/>
    <s v="Alameda County"/>
    <n v="6"/>
    <x v="0"/>
    <x v="2"/>
  </r>
  <r>
    <s v="TX500081"/>
    <s v="Leggings"/>
    <n v="5"/>
    <n v="36.799999999999997"/>
    <n v="184"/>
    <d v="2025-01-03T00:00:00"/>
    <d v="2025-01-06T00:00:00"/>
    <s v="M"/>
    <x v="4"/>
    <n v="3"/>
    <s v="California"/>
    <s v="Kern County"/>
    <n v="3"/>
    <x v="0"/>
    <x v="1"/>
  </r>
  <r>
    <s v="TX500082"/>
    <s v="Jeans"/>
    <n v="6"/>
    <n v="50.6"/>
    <n v="303.60000000000002"/>
    <d v="2025-01-03T00:00:00"/>
    <d v="2025-01-05T00:00:00"/>
    <s v="F"/>
    <x v="3"/>
    <n v="4"/>
    <s v="California"/>
    <s v="Los Angeles County"/>
    <n v="2"/>
    <x v="0"/>
    <x v="2"/>
  </r>
  <r>
    <s v="TX500083"/>
    <s v="Crop Tops"/>
    <n v="3"/>
    <n v="36.799999999999997"/>
    <n v="110.39999999999999"/>
    <d v="2025-01-03T00:00:00"/>
    <d v="2025-01-03T00:00:00"/>
    <s v="M"/>
    <x v="2"/>
    <n v="3"/>
    <s v="California"/>
    <s v="Los Angeles County"/>
    <n v="0"/>
    <x v="0"/>
    <x v="1"/>
  </r>
  <r>
    <s v="TX500084"/>
    <s v="T-Shirts"/>
    <n v="9"/>
    <n v="41.8"/>
    <n v="376.2"/>
    <d v="2025-01-04T00:00:00"/>
    <d v="2025-01-10T00:00:00"/>
    <s v="F"/>
    <x v="3"/>
    <n v="4"/>
    <s v="California"/>
    <s v="Los Angeles County"/>
    <n v="6"/>
    <x v="0"/>
    <x v="2"/>
  </r>
  <r>
    <s v="TX500085"/>
    <s v="Leggings"/>
    <n v="1"/>
    <n v="77.3"/>
    <n v="77.3"/>
    <d v="2025-01-04T00:00:00"/>
    <d v="2025-01-05T00:00:00"/>
    <s v="M"/>
    <x v="4"/>
    <n v="2"/>
    <s v="California"/>
    <s v="Los Angeles County"/>
    <n v="1"/>
    <x v="0"/>
    <x v="1"/>
  </r>
  <r>
    <s v="TX500086"/>
    <s v="T-Shirts"/>
    <n v="4"/>
    <n v="19.8"/>
    <n v="79.2"/>
    <d v="2025-01-04T00:00:00"/>
    <d v="2025-01-10T00:00:00"/>
    <s v="M"/>
    <x v="1"/>
    <n v="5"/>
    <s v="California"/>
    <s v="Los Angeles County"/>
    <n v="6"/>
    <x v="0"/>
    <x v="1"/>
  </r>
  <r>
    <s v="TX500087"/>
    <s v="Tote Bags"/>
    <n v="4"/>
    <n v="15.5"/>
    <n v="62"/>
    <d v="2025-01-04T00:00:00"/>
    <d v="2025-01-05T00:00:00"/>
    <s v="F"/>
    <x v="1"/>
    <n v="5"/>
    <s v="California"/>
    <s v="Los Angeles County"/>
    <n v="1"/>
    <x v="0"/>
    <x v="2"/>
  </r>
  <r>
    <s v="TX500088"/>
    <s v="Casual Dresses"/>
    <n v="1"/>
    <n v="46.8"/>
    <n v="46.8"/>
    <d v="2025-01-04T00:00:00"/>
    <d v="2025-01-08T00:00:00"/>
    <s v="M"/>
    <x v="0"/>
    <n v="5"/>
    <s v="California"/>
    <s v="Los Angeles County"/>
    <n v="4"/>
    <x v="0"/>
    <x v="1"/>
  </r>
  <r>
    <s v="TX500089"/>
    <s v="Sundresses"/>
    <n v="9"/>
    <n v="28.6"/>
    <n v="257.40000000000003"/>
    <d v="2025-01-04T00:00:00"/>
    <d v="2025-01-08T00:00:00"/>
    <s v="M"/>
    <x v="0"/>
    <n v="5"/>
    <s v="California"/>
    <s v="Los Angeles County"/>
    <n v="4"/>
    <x v="0"/>
    <x v="1"/>
  </r>
  <r>
    <s v="TX500090"/>
    <s v="Sneakers"/>
    <n v="1"/>
    <n v="97.7"/>
    <n v="97.7"/>
    <d v="2025-01-04T00:00:00"/>
    <d v="2025-01-07T00:00:00"/>
    <s v="F"/>
    <x v="1"/>
    <n v="4"/>
    <s v="California"/>
    <s v="Los Angeles County"/>
    <n v="3"/>
    <x v="0"/>
    <x v="2"/>
  </r>
  <r>
    <s v="TX500091"/>
    <s v="Sundresses"/>
    <n v="5"/>
    <n v="54.7"/>
    <n v="273.5"/>
    <d v="2025-01-04T00:00:00"/>
    <d v="2025-01-07T00:00:00"/>
    <s v=""/>
    <x v="0"/>
    <n v="5"/>
    <s v="California"/>
    <s v="Riverside County"/>
    <n v="3"/>
    <x v="0"/>
    <x v="0"/>
  </r>
  <r>
    <s v="TX500092"/>
    <s v="Sneakers"/>
    <n v="6"/>
    <n v="130.5"/>
    <n v="783"/>
    <d v="2025-01-04T00:00:00"/>
    <d v="2025-01-06T00:00:00"/>
    <s v="F"/>
    <x v="0"/>
    <n v="3"/>
    <s v="California"/>
    <s v="Riverside County"/>
    <n v="2"/>
    <x v="0"/>
    <x v="2"/>
  </r>
  <r>
    <s v="TX500093"/>
    <s v="Maxi Dresses"/>
    <n v="2"/>
    <n v="50.4"/>
    <n v="100.8"/>
    <d v="2025-01-04T00:00:00"/>
    <d v="2025-01-06T00:00:00"/>
    <s v="M"/>
    <x v="2"/>
    <n v="5"/>
    <s v="California"/>
    <s v="Sacramento County"/>
    <n v="2"/>
    <x v="0"/>
    <x v="1"/>
  </r>
  <r>
    <s v="TX500094"/>
    <s v="Jeans"/>
    <n v="13"/>
    <n v="61.5"/>
    <n v="799.5"/>
    <d v="2025-01-04T00:00:00"/>
    <d v="2025-01-05T00:00:00"/>
    <s v=""/>
    <x v="3"/>
    <n v="3"/>
    <s v="California"/>
    <s v="Santa Clara County"/>
    <n v="1"/>
    <x v="0"/>
    <x v="0"/>
  </r>
  <r>
    <s v="TX500095"/>
    <s v="Sundresses"/>
    <n v="4"/>
    <n v="30.1"/>
    <n v="120.4"/>
    <d v="2025-01-04T00:00:00"/>
    <d v="2025-01-05T00:00:00"/>
    <s v="F"/>
    <x v="0"/>
    <n v="5"/>
    <s v="California"/>
    <s v="Alameda County"/>
    <n v="1"/>
    <x v="0"/>
    <x v="2"/>
  </r>
  <r>
    <s v="TX500096"/>
    <s v="Sneakers"/>
    <n v="5"/>
    <n v="74.8"/>
    <n v="374"/>
    <d v="2025-01-04T00:00:00"/>
    <d v="2025-01-05T00:00:00"/>
    <s v="F"/>
    <x v="1"/>
    <n v="4"/>
    <s v="California"/>
    <s v="Contra Costa County"/>
    <n v="1"/>
    <x v="0"/>
    <x v="2"/>
  </r>
  <r>
    <s v="TX500097"/>
    <s v="Sunglasses"/>
    <n v="3"/>
    <n v="64.900000000000006"/>
    <n v="194.70000000000002"/>
    <d v="2025-01-04T00:00:00"/>
    <d v="2025-01-11T00:00:00"/>
    <s v="M"/>
    <x v="0"/>
    <n v="4"/>
    <s v="California"/>
    <s v="Fresno County"/>
    <n v="7"/>
    <x v="0"/>
    <x v="1"/>
  </r>
  <r>
    <s v="TX500098"/>
    <s v="Sundresses"/>
    <n v="2"/>
    <n v="50.5"/>
    <n v="101"/>
    <d v="2025-01-04T00:00:00"/>
    <d v="2025-01-06T00:00:00"/>
    <s v="M"/>
    <x v="1"/>
    <n v="4"/>
    <s v="California"/>
    <s v="Kern County"/>
    <n v="2"/>
    <x v="0"/>
    <x v="1"/>
  </r>
  <r>
    <s v="TX500099"/>
    <s v="Maxi Dresses"/>
    <n v="7"/>
    <n v="63"/>
    <n v="441"/>
    <d v="2025-01-04T00:00:00"/>
    <d v="2025-01-07T00:00:00"/>
    <s v="M"/>
    <x v="3"/>
    <n v="5"/>
    <s v="California"/>
    <s v="Los Angeles County"/>
    <n v="3"/>
    <x v="0"/>
    <x v="1"/>
  </r>
  <r>
    <s v="TX500100"/>
    <s v="Sneakers"/>
    <n v="3"/>
    <n v="93.6"/>
    <n v="280.79999999999995"/>
    <d v="2025-01-04T00:00:00"/>
    <d v="2025-01-17T00:00:00"/>
    <s v="F"/>
    <x v="0"/>
    <n v="5"/>
    <s v="California"/>
    <s v="Los Angeles County"/>
    <n v="13"/>
    <x v="0"/>
    <x v="2"/>
  </r>
  <r>
    <s v="TX500101"/>
    <s v="Sandals"/>
    <n v="30"/>
    <n v="41.4"/>
    <n v="1242"/>
    <d v="2025-01-04T00:00:00"/>
    <d v="2025-01-08T00:00:00"/>
    <s v="M"/>
    <x v="2"/>
    <n v="5"/>
    <s v="California"/>
    <s v="Los Angeles County"/>
    <n v="4"/>
    <x v="0"/>
    <x v="1"/>
  </r>
  <r>
    <s v="TX500102"/>
    <s v="Sneakers"/>
    <n v="2"/>
    <n v="160"/>
    <n v="320"/>
    <d v="2025-01-05T00:00:00"/>
    <d v="2025-01-06T00:00:00"/>
    <s v="M"/>
    <x v="2"/>
    <n v="5"/>
    <s v="California"/>
    <s v="Placer County"/>
    <n v="1"/>
    <x v="0"/>
    <x v="1"/>
  </r>
  <r>
    <s v="TX500103"/>
    <s v="Jewelry"/>
    <n v="11"/>
    <n v="10.5"/>
    <n v="115.5"/>
    <d v="2025-01-05T00:00:00"/>
    <d v="2025-01-08T00:00:00"/>
    <s v="F"/>
    <x v="4"/>
    <n v="4"/>
    <s v="California"/>
    <s v="San Diego County"/>
    <n v="3"/>
    <x v="0"/>
    <x v="2"/>
  </r>
  <r>
    <s v="TX500104"/>
    <s v="Bikinis"/>
    <n v="2"/>
    <n v="53"/>
    <n v="106"/>
    <d v="2025-01-05T00:00:00"/>
    <d v="2025-01-05T00:00:00"/>
    <s v="M"/>
    <x v="2"/>
    <n v="2"/>
    <s v="California"/>
    <s v="San Francisco"/>
    <n v="0"/>
    <x v="0"/>
    <x v="1"/>
  </r>
  <r>
    <s v="TX500105"/>
    <s v="T-Shirts"/>
    <n v="3"/>
    <n v="18.5"/>
    <n v="55.5"/>
    <d v="2025-01-05T00:00:00"/>
    <d v="2025-01-10T00:00:00"/>
    <s v="F"/>
    <x v="1"/>
    <n v="5"/>
    <s v="California"/>
    <s v="Santa Clara County"/>
    <n v="5"/>
    <x v="0"/>
    <x v="2"/>
  </r>
  <r>
    <s v="TX500106"/>
    <s v="Sunglasses"/>
    <n v="3"/>
    <n v="84.5"/>
    <n v="253.5"/>
    <d v="2025-01-05T00:00:00"/>
    <d v="2025-01-07T00:00:00"/>
    <s v="F"/>
    <x v="4"/>
    <n v="3"/>
    <s v="California"/>
    <s v="Ventura County"/>
    <n v="2"/>
    <x v="0"/>
    <x v="2"/>
  </r>
  <r>
    <s v="TX500107"/>
    <s v="Crop Tops"/>
    <n v="7"/>
    <n v="31.2"/>
    <n v="218.4"/>
    <d v="2025-01-05T00:00:00"/>
    <d v="2025-01-05T00:00:00"/>
    <s v="F"/>
    <x v="2"/>
    <n v="5"/>
    <s v="California"/>
    <s v="Los Angeles County"/>
    <n v="0"/>
    <x v="0"/>
    <x v="2"/>
  </r>
  <r>
    <s v="TX500108"/>
    <s v="T-Shirts"/>
    <n v="18"/>
    <n v="32.6"/>
    <n v="586.80000000000007"/>
    <d v="2025-01-05T00:00:00"/>
    <d v="2025-01-06T00:00:00"/>
    <s v="M"/>
    <x v="1"/>
    <n v="3"/>
    <s v="California"/>
    <s v="Los Angeles County"/>
    <n v="1"/>
    <x v="0"/>
    <x v="1"/>
  </r>
  <r>
    <s v="TX500109"/>
    <s v="Bikinis"/>
    <n v="4"/>
    <n v="45.4"/>
    <n v="181.6"/>
    <d v="2025-01-05T00:00:00"/>
    <d v="2025-01-07T00:00:00"/>
    <s v="M"/>
    <x v="1"/>
    <n v="4"/>
    <s v="California"/>
    <s v="Los Angeles County"/>
    <n v="2"/>
    <x v="0"/>
    <x v="1"/>
  </r>
  <r>
    <s v="TX500110"/>
    <s v="Sneakers"/>
    <n v="12"/>
    <n v="120"/>
    <n v="1440"/>
    <d v="2025-01-05T00:00:00"/>
    <d v="2025-01-06T00:00:00"/>
    <s v="F"/>
    <x v="2"/>
    <n v="2"/>
    <s v="California"/>
    <s v="Los Angeles County"/>
    <n v="1"/>
    <x v="0"/>
    <x v="2"/>
  </r>
  <r>
    <s v="TX500111"/>
    <s v="Shorts"/>
    <n v="4"/>
    <n v="18.899999999999999"/>
    <n v="75.599999999999994"/>
    <d v="2025-01-05T00:00:00"/>
    <d v="2025-01-07T00:00:00"/>
    <s v="M"/>
    <x v="0"/>
    <n v="5"/>
    <s v="California"/>
    <s v="Los Angeles County"/>
    <n v="2"/>
    <x v="0"/>
    <x v="1"/>
  </r>
  <r>
    <s v="TX500112"/>
    <s v="Graphic Tees"/>
    <n v="1"/>
    <n v="32"/>
    <n v="32"/>
    <d v="2025-01-05T00:00:00"/>
    <d v="2025-01-07T00:00:00"/>
    <s v="F"/>
    <x v="4"/>
    <n v="4"/>
    <s v="California"/>
    <s v="Los Angeles County"/>
    <n v="2"/>
    <x v="0"/>
    <x v="2"/>
  </r>
  <r>
    <s v="TX500113"/>
    <s v="Hoodies &amp; Sweatshirts"/>
    <n v="2"/>
    <n v="37.299999999999997"/>
    <n v="74.599999999999994"/>
    <d v="2025-01-05T00:00:00"/>
    <d v="2025-01-06T00:00:00"/>
    <s v="M"/>
    <x v="2"/>
    <n v="4"/>
    <s v="California"/>
    <s v="Los Angeles County"/>
    <n v="1"/>
    <x v="0"/>
    <x v="1"/>
  </r>
  <r>
    <s v="TX500114"/>
    <s v="Leggings"/>
    <n v="1"/>
    <n v="119.8"/>
    <n v="119.8"/>
    <d v="2025-01-05T00:00:00"/>
    <d v="2025-01-06T00:00:00"/>
    <s v="M"/>
    <x v="1"/>
    <n v="3"/>
    <s v="California"/>
    <s v="Los Angeles County"/>
    <n v="1"/>
    <x v="0"/>
    <x v="1"/>
  </r>
  <r>
    <s v="TX500115"/>
    <s v="Bikinis"/>
    <n v="2"/>
    <n v="26.4"/>
    <n v="52.8"/>
    <d v="2025-01-05T00:00:00"/>
    <d v="2025-01-08T00:00:00"/>
    <s v="M"/>
    <x v="2"/>
    <n v="4"/>
    <s v="California"/>
    <s v="Los Angeles County"/>
    <n v="3"/>
    <x v="0"/>
    <x v="1"/>
  </r>
  <r>
    <s v="TX500116"/>
    <s v="Jeans"/>
    <n v="6"/>
    <n v="76.5"/>
    <n v="459"/>
    <d v="2025-01-05T00:00:00"/>
    <d v="2025-01-06T00:00:00"/>
    <s v="F"/>
    <x v="1"/>
    <n v="3"/>
    <s v="California"/>
    <s v="Los Angeles County"/>
    <n v="1"/>
    <x v="0"/>
    <x v="2"/>
  </r>
  <r>
    <s v="TX500117"/>
    <s v="Graphic Tees"/>
    <n v="10"/>
    <n v="45.7"/>
    <n v="457"/>
    <d v="2025-01-05T00:00:00"/>
    <d v="2025-01-06T00:00:00"/>
    <s v="F"/>
    <x v="2"/>
    <n v="4"/>
    <s v="California"/>
    <s v="Merced County"/>
    <n v="1"/>
    <x v="0"/>
    <x v="2"/>
  </r>
  <r>
    <s v="TX500118"/>
    <s v="Tank Tops"/>
    <n v="12"/>
    <n v="92.6"/>
    <n v="1111.1999999999998"/>
    <d v="2025-01-05T00:00:00"/>
    <d v="2025-01-07T00:00:00"/>
    <s v="F"/>
    <x v="2"/>
    <n v="4"/>
    <s v="California"/>
    <s v="Orange County"/>
    <n v="2"/>
    <x v="0"/>
    <x v="2"/>
  </r>
  <r>
    <s v="TX500119"/>
    <s v="Jeans"/>
    <n v="6"/>
    <n v="60.1"/>
    <n v="360.6"/>
    <d v="2025-01-05T00:00:00"/>
    <d v="2025-01-06T00:00:00"/>
    <s v="M"/>
    <x v="1"/>
    <n v="4"/>
    <s v="California"/>
    <s v="Riverside County"/>
    <n v="1"/>
    <x v="0"/>
    <x v="1"/>
  </r>
  <r>
    <s v="TX500120"/>
    <s v="Tank Tops"/>
    <n v="3"/>
    <n v="73"/>
    <n v="219"/>
    <d v="2025-01-05T00:00:00"/>
    <d v="2025-01-06T00:00:00"/>
    <s v="F"/>
    <x v="3"/>
    <n v="3"/>
    <s v="California"/>
    <s v="Sacramento County"/>
    <n v="1"/>
    <x v="0"/>
    <x v="2"/>
  </r>
  <r>
    <s v="TX500121"/>
    <s v="Jeans"/>
    <n v="3"/>
    <n v="44.3"/>
    <n v="132.89999999999998"/>
    <d v="2025-01-05T00:00:00"/>
    <d v="2025-01-09T00:00:00"/>
    <s v=""/>
    <x v="2"/>
    <n v="5"/>
    <s v="California"/>
    <s v="Sacramento County"/>
    <n v="4"/>
    <x v="0"/>
    <x v="0"/>
  </r>
  <r>
    <s v="TX500122"/>
    <s v="Jeans"/>
    <n v="3"/>
    <n v="63.3"/>
    <n v="189.89999999999998"/>
    <d v="2025-01-05T00:00:00"/>
    <d v="2025-01-06T00:00:00"/>
    <s v="M"/>
    <x v="2"/>
    <n v="4"/>
    <s v="California"/>
    <s v="Sacramento County"/>
    <n v="1"/>
    <x v="0"/>
    <x v="1"/>
  </r>
  <r>
    <s v="TX500123"/>
    <s v="Casual Dresses"/>
    <n v="1"/>
    <n v="66.8"/>
    <n v="66.8"/>
    <d v="2025-01-05T00:00:00"/>
    <d v="2025-01-06T00:00:00"/>
    <s v="F"/>
    <x v="1"/>
    <n v="4"/>
    <s v="California"/>
    <s v="Sacramento County"/>
    <n v="1"/>
    <x v="0"/>
    <x v="2"/>
  </r>
  <r>
    <s v="TX500124"/>
    <s v="Sneakers"/>
    <n v="2"/>
    <n v="59.7"/>
    <n v="119.4"/>
    <d v="2025-01-05T00:00:00"/>
    <d v="2025-01-06T00:00:00"/>
    <s v="F"/>
    <x v="0"/>
    <n v="4"/>
    <s v="California"/>
    <s v="San Bernardino County"/>
    <n v="1"/>
    <x v="0"/>
    <x v="2"/>
  </r>
  <r>
    <s v="TX500125"/>
    <s v="Tank Tops"/>
    <n v="6"/>
    <n v="92"/>
    <n v="552"/>
    <d v="2025-01-05T00:00:00"/>
    <d v="2025-01-07T00:00:00"/>
    <s v="M"/>
    <x v="0"/>
    <n v="2"/>
    <s v="California"/>
    <s v="San Bernardino County"/>
    <n v="2"/>
    <x v="0"/>
    <x v="1"/>
  </r>
  <r>
    <s v="TX500126"/>
    <s v="Hoodies &amp; Sweatshirts"/>
    <n v="2"/>
    <n v="87.6"/>
    <n v="175.2"/>
    <d v="2025-01-05T00:00:00"/>
    <d v="2025-01-07T00:00:00"/>
    <s v="M"/>
    <x v="1"/>
    <n v="3"/>
    <s v="California"/>
    <s v="San Diego County"/>
    <n v="2"/>
    <x v="0"/>
    <x v="1"/>
  </r>
  <r>
    <s v="TX500127"/>
    <s v="Jeans"/>
    <n v="3"/>
    <n v="84.5"/>
    <n v="253.5"/>
    <d v="2025-01-05T00:00:00"/>
    <d v="2025-01-06T00:00:00"/>
    <s v="F"/>
    <x v="1"/>
    <n v="3"/>
    <s v="California"/>
    <s v="San Diego County"/>
    <n v="1"/>
    <x v="0"/>
    <x v="2"/>
  </r>
  <r>
    <s v="TX500128"/>
    <s v="Tank Tops"/>
    <n v="2"/>
    <n v="116.3"/>
    <n v="232.6"/>
    <d v="2025-01-06T00:00:00"/>
    <d v="2025-01-08T00:00:00"/>
    <s v="M"/>
    <x v="2"/>
    <n v="5"/>
    <s v="California"/>
    <s v="San Diego County"/>
    <n v="2"/>
    <x v="1"/>
    <x v="1"/>
  </r>
  <r>
    <s v="TX500129"/>
    <s v="Jeans"/>
    <n v="5"/>
    <n v="52.7"/>
    <n v="263.5"/>
    <d v="2025-01-06T00:00:00"/>
    <d v="2025-01-10T00:00:00"/>
    <s v="M"/>
    <x v="0"/>
    <n v="4"/>
    <s v="California"/>
    <s v="San Diego County"/>
    <n v="4"/>
    <x v="1"/>
    <x v="1"/>
  </r>
  <r>
    <s v="TX500130"/>
    <s v="Sunglasses"/>
    <n v="3"/>
    <n v="34.200000000000003"/>
    <n v="102.60000000000001"/>
    <d v="2025-01-06T00:00:00"/>
    <d v="2025-01-07T00:00:00"/>
    <s v="M"/>
    <x v="0"/>
    <n v="5"/>
    <s v="California"/>
    <s v="San Joaquin County"/>
    <n v="1"/>
    <x v="1"/>
    <x v="1"/>
  </r>
  <r>
    <s v="TX500131"/>
    <s v="Sundresses"/>
    <n v="1"/>
    <n v="23.3"/>
    <n v="23.3"/>
    <d v="2025-01-06T00:00:00"/>
    <d v="2025-01-15T00:00:00"/>
    <s v="O"/>
    <x v="2"/>
    <n v="5"/>
    <s v="California"/>
    <s v="San Mateo County"/>
    <n v="9"/>
    <x v="1"/>
    <x v="3"/>
  </r>
  <r>
    <s v="TX500132"/>
    <s v="Shorts"/>
    <n v="26"/>
    <n v="25.9"/>
    <n v="673.4"/>
    <d v="2025-01-06T00:00:00"/>
    <d v="2025-01-09T00:00:00"/>
    <s v="F"/>
    <x v="4"/>
    <n v="3"/>
    <s v="California"/>
    <s v="San Mateo County"/>
    <n v="3"/>
    <x v="1"/>
    <x v="2"/>
  </r>
  <r>
    <s v="TX500133"/>
    <s v="Jeans"/>
    <n v="29"/>
    <n v="54.9"/>
    <n v="1592.1"/>
    <d v="2025-01-06T00:00:00"/>
    <d v="2025-01-07T00:00:00"/>
    <s v="M"/>
    <x v="1"/>
    <n v="5"/>
    <s v="California"/>
    <s v="San Mateo County"/>
    <n v="1"/>
    <x v="1"/>
    <x v="1"/>
  </r>
  <r>
    <s v="TX500134"/>
    <s v="Sandals"/>
    <n v="3"/>
    <n v="75.8"/>
    <n v="227.39999999999998"/>
    <d v="2025-01-06T00:00:00"/>
    <d v="2025-01-11T00:00:00"/>
    <s v="O"/>
    <x v="1"/>
    <n v="4"/>
    <s v="California"/>
    <s v="Sonoma County"/>
    <n v="5"/>
    <x v="1"/>
    <x v="3"/>
  </r>
  <r>
    <s v="TX500135"/>
    <s v="Tank Tops"/>
    <n v="9"/>
    <n v="44.9"/>
    <n v="404.09999999999997"/>
    <d v="2025-01-06T00:00:00"/>
    <d v="2025-01-09T00:00:00"/>
    <s v="F"/>
    <x v="2"/>
    <n v="5"/>
    <s v="California"/>
    <s v="Fresno County"/>
    <n v="3"/>
    <x v="1"/>
    <x v="2"/>
  </r>
  <r>
    <s v="TX500136"/>
    <s v="Maxi Dresses"/>
    <n v="2"/>
    <n v="48.8"/>
    <n v="97.6"/>
    <d v="2025-01-06T00:00:00"/>
    <d v="2025-01-08T00:00:00"/>
    <s v="F"/>
    <x v="3"/>
    <n v="4"/>
    <s v="California"/>
    <s v="Glenn County"/>
    <n v="2"/>
    <x v="1"/>
    <x v="2"/>
  </r>
  <r>
    <s v="TX500137"/>
    <s v="Crop Tops"/>
    <n v="1"/>
    <n v="20.3"/>
    <n v="20.3"/>
    <d v="2025-01-06T00:00:00"/>
    <d v="2025-01-07T00:00:00"/>
    <s v="F"/>
    <x v="0"/>
    <n v="5"/>
    <s v="California"/>
    <s v="Kern County"/>
    <n v="1"/>
    <x v="1"/>
    <x v="2"/>
  </r>
  <r>
    <s v="TX500138"/>
    <s v="Sandals"/>
    <n v="7"/>
    <n v="36.4"/>
    <n v="254.79999999999998"/>
    <d v="2025-01-06T00:00:00"/>
    <d v="2025-01-09T00:00:00"/>
    <s v="F"/>
    <x v="0"/>
    <n v="3"/>
    <s v="California"/>
    <s v="Los Angeles County"/>
    <n v="3"/>
    <x v="1"/>
    <x v="2"/>
  </r>
  <r>
    <s v="TX500139"/>
    <s v="Shorts"/>
    <n v="1"/>
    <n v="19"/>
    <n v="19"/>
    <d v="2025-01-06T00:00:00"/>
    <d v="2025-01-11T00:00:00"/>
    <s v="F"/>
    <x v="1"/>
    <n v="5"/>
    <s v="California"/>
    <s v="Los Angeles County"/>
    <n v="5"/>
    <x v="1"/>
    <x v="2"/>
  </r>
  <r>
    <s v="TX500140"/>
    <s v="T-Shirts"/>
    <n v="1"/>
    <n v="17.8"/>
    <n v="17.8"/>
    <d v="2025-01-06T00:00:00"/>
    <d v="2025-01-06T00:00:00"/>
    <s v="M"/>
    <x v="0"/>
    <n v="4"/>
    <s v="California"/>
    <s v="Los Angeles County"/>
    <n v="0"/>
    <x v="1"/>
    <x v="1"/>
  </r>
  <r>
    <s v="TX500141"/>
    <s v="Sneakers"/>
    <n v="6"/>
    <n v="139.6"/>
    <n v="837.59999999999991"/>
    <d v="2025-01-06T00:00:00"/>
    <d v="2025-01-09T00:00:00"/>
    <s v="M"/>
    <x v="0"/>
    <n v="4"/>
    <s v="California"/>
    <s v="Los Angeles County"/>
    <n v="3"/>
    <x v="1"/>
    <x v="1"/>
  </r>
  <r>
    <s v="TX500142"/>
    <s v="Sundresses"/>
    <n v="1"/>
    <n v="31.7"/>
    <n v="31.7"/>
    <d v="2025-01-06T00:00:00"/>
    <d v="2025-01-06T00:00:00"/>
    <s v=""/>
    <x v="0"/>
    <n v="4"/>
    <s v="California"/>
    <s v="Los Angeles County"/>
    <n v="0"/>
    <x v="1"/>
    <x v="0"/>
  </r>
  <r>
    <s v="TX500143"/>
    <s v="T-Shirts"/>
    <n v="8"/>
    <n v="26.3"/>
    <n v="210.4"/>
    <d v="2025-01-06T00:00:00"/>
    <d v="2025-01-09T00:00:00"/>
    <s v="F"/>
    <x v="4"/>
    <n v="2"/>
    <s v="California"/>
    <s v="Los Angeles County"/>
    <n v="3"/>
    <x v="1"/>
    <x v="2"/>
  </r>
  <r>
    <s v="TX500144"/>
    <s v="Graphic Tees"/>
    <n v="2"/>
    <n v="47.8"/>
    <n v="95.6"/>
    <d v="2025-01-06T00:00:00"/>
    <d v="2025-01-07T00:00:00"/>
    <s v=""/>
    <x v="0"/>
    <n v="4"/>
    <s v="California"/>
    <s v="Los Angeles County"/>
    <n v="1"/>
    <x v="1"/>
    <x v="0"/>
  </r>
  <r>
    <s v="TX500145"/>
    <s v="Sundresses"/>
    <n v="3"/>
    <n v="69.400000000000006"/>
    <n v="208.20000000000002"/>
    <d v="2025-01-06T00:00:00"/>
    <d v="2025-01-10T00:00:00"/>
    <s v="F"/>
    <x v="0"/>
    <n v="4"/>
    <s v="California"/>
    <s v="Los Angeles County"/>
    <n v="4"/>
    <x v="1"/>
    <x v="2"/>
  </r>
  <r>
    <s v="TX500146"/>
    <s v="Leggings"/>
    <n v="12"/>
    <n v="25.8"/>
    <n v="309.60000000000002"/>
    <d v="2025-01-06T00:00:00"/>
    <d v="2025-01-07T00:00:00"/>
    <s v="M"/>
    <x v="4"/>
    <n v="2"/>
    <s v="California"/>
    <s v="Los Angeles County"/>
    <n v="1"/>
    <x v="1"/>
    <x v="1"/>
  </r>
  <r>
    <s v="TX500147"/>
    <s v="Shorts"/>
    <n v="4"/>
    <n v="26.4"/>
    <n v="105.6"/>
    <d v="2025-01-06T00:00:00"/>
    <d v="2025-01-07T00:00:00"/>
    <s v="M"/>
    <x v="1"/>
    <n v="5"/>
    <s v="California"/>
    <s v="Los Angeles County"/>
    <n v="1"/>
    <x v="1"/>
    <x v="1"/>
  </r>
  <r>
    <s v="TX500148"/>
    <s v="T-Shirts"/>
    <n v="4"/>
    <n v="15.7"/>
    <n v="62.8"/>
    <d v="2025-01-06T00:00:00"/>
    <d v="2025-01-07T00:00:00"/>
    <s v="M"/>
    <x v="2"/>
    <n v="4"/>
    <s v="California"/>
    <s v="Los Angeles County"/>
    <n v="1"/>
    <x v="1"/>
    <x v="1"/>
  </r>
  <r>
    <s v="TX500149"/>
    <s v="T-Shirts"/>
    <n v="1"/>
    <n v="39.700000000000003"/>
    <n v="39.700000000000003"/>
    <d v="2025-01-06T00:00:00"/>
    <d v="2025-01-10T00:00:00"/>
    <s v="M"/>
    <x v="0"/>
    <n v="4"/>
    <s v="California"/>
    <s v="Los Angeles County"/>
    <n v="4"/>
    <x v="1"/>
    <x v="1"/>
  </r>
  <r>
    <s v="TX500150"/>
    <s v="Bikinis"/>
    <n v="4"/>
    <n v="31.1"/>
    <n v="124.4"/>
    <d v="2025-01-06T00:00:00"/>
    <d v="2025-01-08T00:00:00"/>
    <s v="F"/>
    <x v="2"/>
    <n v="3"/>
    <s v="California"/>
    <s v="Los Angeles County"/>
    <n v="2"/>
    <x v="1"/>
    <x v="2"/>
  </r>
  <r>
    <s v="TX500151"/>
    <s v="Tote Bags"/>
    <n v="15"/>
    <n v="23.4"/>
    <n v="351"/>
    <d v="2025-01-06T00:00:00"/>
    <d v="2025-01-15T00:00:00"/>
    <s v="M"/>
    <x v="0"/>
    <n v="4"/>
    <s v="California"/>
    <s v="Los Angeles County"/>
    <n v="9"/>
    <x v="1"/>
    <x v="1"/>
  </r>
  <r>
    <s v="TX500152"/>
    <s v="Tank Tops"/>
    <n v="4"/>
    <n v="57.1"/>
    <n v="228.4"/>
    <d v="2025-01-07T00:00:00"/>
    <d v="2025-01-08T00:00:00"/>
    <s v="M"/>
    <x v="2"/>
    <n v="4"/>
    <s v="California"/>
    <s v="Orange County"/>
    <n v="1"/>
    <x v="1"/>
    <x v="1"/>
  </r>
  <r>
    <s v="TX500153"/>
    <s v="Sneakers"/>
    <n v="5"/>
    <n v="89.9"/>
    <n v="449.5"/>
    <d v="2025-01-07T00:00:00"/>
    <d v="2025-01-07T00:00:00"/>
    <s v="F"/>
    <x v="0"/>
    <n v="1"/>
    <s v="California"/>
    <s v="Riverside County"/>
    <n v="0"/>
    <x v="1"/>
    <x v="2"/>
  </r>
  <r>
    <s v="TX500154"/>
    <s v="Bikinis"/>
    <n v="7"/>
    <n v="48.1"/>
    <n v="336.7"/>
    <d v="2025-01-07T00:00:00"/>
    <d v="2025-01-09T00:00:00"/>
    <s v="F"/>
    <x v="1"/>
    <n v="5"/>
    <s v="California"/>
    <s v="Sacramento County"/>
    <n v="2"/>
    <x v="1"/>
    <x v="2"/>
  </r>
  <r>
    <s v="TX500155"/>
    <s v="T-Shirts"/>
    <n v="2"/>
    <n v="29.3"/>
    <n v="58.6"/>
    <d v="2025-01-07T00:00:00"/>
    <d v="2025-01-07T00:00:00"/>
    <s v="F"/>
    <x v="1"/>
    <n v="3"/>
    <s v="California"/>
    <s v="Sacramento County"/>
    <n v="0"/>
    <x v="1"/>
    <x v="2"/>
  </r>
  <r>
    <s v="TX500156"/>
    <s v="T-Shirts"/>
    <n v="4"/>
    <n v="28.8"/>
    <n v="115.2"/>
    <d v="2025-01-07T00:00:00"/>
    <d v="2025-01-08T00:00:00"/>
    <s v="F"/>
    <x v="0"/>
    <n v="2"/>
    <s v="California"/>
    <s v="Sacramento County"/>
    <n v="1"/>
    <x v="1"/>
    <x v="2"/>
  </r>
  <r>
    <s v="TX500157"/>
    <s v="Bikinis"/>
    <n v="5"/>
    <n v="40.5"/>
    <n v="202.5"/>
    <d v="2025-01-07T00:00:00"/>
    <d v="2025-01-11T00:00:00"/>
    <s v="F"/>
    <x v="3"/>
    <n v="4"/>
    <s v="California"/>
    <s v="Sacramento County"/>
    <n v="4"/>
    <x v="1"/>
    <x v="2"/>
  </r>
  <r>
    <s v="TX500158"/>
    <s v="Leggings"/>
    <n v="14"/>
    <n v="65.099999999999994"/>
    <n v="911.39999999999986"/>
    <d v="2025-01-07T00:00:00"/>
    <d v="2025-01-08T00:00:00"/>
    <s v="F"/>
    <x v="4"/>
    <n v="4"/>
    <s v="California"/>
    <s v="San Bernardino County"/>
    <n v="1"/>
    <x v="1"/>
    <x v="2"/>
  </r>
  <r>
    <s v="TX500159"/>
    <s v="T-Shirts"/>
    <n v="4"/>
    <n v="40.299999999999997"/>
    <n v="161.19999999999999"/>
    <d v="2025-01-07T00:00:00"/>
    <d v="2025-01-12T00:00:00"/>
    <s v="F"/>
    <x v="2"/>
    <n v="4"/>
    <s v="California"/>
    <s v="San Bernardino County"/>
    <n v="5"/>
    <x v="1"/>
    <x v="2"/>
  </r>
  <r>
    <s v="TX500160"/>
    <s v="Jeans"/>
    <n v="5"/>
    <n v="51.8"/>
    <n v="259"/>
    <d v="2025-01-07T00:00:00"/>
    <d v="2025-01-08T00:00:00"/>
    <s v="M"/>
    <x v="2"/>
    <n v="5"/>
    <s v="California"/>
    <s v="San Diego County"/>
    <n v="1"/>
    <x v="1"/>
    <x v="1"/>
  </r>
  <r>
    <s v="TX500161"/>
    <s v="Jeans"/>
    <n v="3"/>
    <n v="61.3"/>
    <n v="183.89999999999998"/>
    <d v="2025-01-07T00:00:00"/>
    <d v="2025-01-08T00:00:00"/>
    <s v="F"/>
    <x v="3"/>
    <n v="4"/>
    <s v="California"/>
    <s v="San Diego County"/>
    <n v="1"/>
    <x v="1"/>
    <x v="2"/>
  </r>
  <r>
    <s v="TX500162"/>
    <s v="Sneakers"/>
    <n v="4"/>
    <n v="122.5"/>
    <n v="490"/>
    <d v="2025-01-07T00:00:00"/>
    <d v="2025-01-08T00:00:00"/>
    <s v="M"/>
    <x v="0"/>
    <n v="4"/>
    <s v="California"/>
    <s v="San Diego County"/>
    <n v="1"/>
    <x v="1"/>
    <x v="1"/>
  </r>
  <r>
    <s v="TX500163"/>
    <s v="Shorts"/>
    <n v="9"/>
    <n v="12.5"/>
    <n v="112.5"/>
    <d v="2025-01-07T00:00:00"/>
    <d v="2025-01-08T00:00:00"/>
    <s v=""/>
    <x v="1"/>
    <n v="5"/>
    <s v="California"/>
    <s v="San Diego County"/>
    <n v="1"/>
    <x v="1"/>
    <x v="0"/>
  </r>
  <r>
    <s v="TX500164"/>
    <s v="Crop Tops"/>
    <n v="8"/>
    <n v="37.5"/>
    <n v="300"/>
    <d v="2025-01-07T00:00:00"/>
    <d v="2025-01-08T00:00:00"/>
    <s v="F"/>
    <x v="0"/>
    <n v="4"/>
    <s v="California"/>
    <s v="San Mateo County"/>
    <n v="1"/>
    <x v="1"/>
    <x v="2"/>
  </r>
  <r>
    <s v="TX500165"/>
    <s v="Jeans"/>
    <n v="3"/>
    <n v="40"/>
    <n v="120"/>
    <d v="2025-01-07T00:00:00"/>
    <d v="2025-01-10T00:00:00"/>
    <s v="M"/>
    <x v="0"/>
    <n v="2"/>
    <s v="California"/>
    <s v="Santa Clara County"/>
    <n v="3"/>
    <x v="1"/>
    <x v="1"/>
  </r>
  <r>
    <s v="TX500166"/>
    <s v="Pajama Sets"/>
    <n v="8"/>
    <n v="38.5"/>
    <n v="308"/>
    <d v="2025-01-07T00:00:00"/>
    <d v="2025-01-12T00:00:00"/>
    <s v="F"/>
    <x v="2"/>
    <n v="3"/>
    <s v="California"/>
    <s v="Santa Clara County"/>
    <n v="5"/>
    <x v="1"/>
    <x v="2"/>
  </r>
  <r>
    <s v="TX500167"/>
    <s v="Sneakers"/>
    <n v="2"/>
    <n v="86.4"/>
    <n v="172.8"/>
    <d v="2025-01-07T00:00:00"/>
    <d v="2025-01-09T00:00:00"/>
    <s v="F"/>
    <x v="0"/>
    <n v="4"/>
    <s v="California"/>
    <s v="Sonoma County"/>
    <n v="2"/>
    <x v="1"/>
    <x v="2"/>
  </r>
  <r>
    <s v="TX500168"/>
    <s v="Bikinis"/>
    <n v="1"/>
    <n v="50.7"/>
    <n v="50.7"/>
    <d v="2025-01-07T00:00:00"/>
    <d v="2025-01-11T00:00:00"/>
    <s v="F"/>
    <x v="1"/>
    <n v="4"/>
    <s v="California"/>
    <s v="Sonoma County"/>
    <n v="4"/>
    <x v="1"/>
    <x v="2"/>
  </r>
  <r>
    <s v="TX500169"/>
    <s v="Bikinis"/>
    <n v="2"/>
    <n v="61"/>
    <n v="122"/>
    <d v="2025-01-07T00:00:00"/>
    <d v="2025-01-18T00:00:00"/>
    <s v="F"/>
    <x v="4"/>
    <n v="3"/>
    <s v="California"/>
    <s v="Sonoma County"/>
    <n v="11"/>
    <x v="1"/>
    <x v="2"/>
  </r>
  <r>
    <s v="TX500170"/>
    <s v="Graphic Tees"/>
    <n v="2"/>
    <n v="19.899999999999999"/>
    <n v="39.799999999999997"/>
    <d v="2025-01-07T00:00:00"/>
    <d v="2025-01-10T00:00:00"/>
    <s v="F"/>
    <x v="1"/>
    <n v="4"/>
    <s v="California"/>
    <s v="Yolo County"/>
    <n v="3"/>
    <x v="1"/>
    <x v="2"/>
  </r>
  <r>
    <s v="TX500171"/>
    <s v="Sandals"/>
    <n v="1"/>
    <n v="78.3"/>
    <n v="78.3"/>
    <d v="2025-01-07T00:00:00"/>
    <d v="2025-01-07T00:00:00"/>
    <s v="F"/>
    <x v="0"/>
    <n v="5"/>
    <s v="California"/>
    <s v="Contra Costa County"/>
    <n v="0"/>
    <x v="1"/>
    <x v="2"/>
  </r>
  <r>
    <s v="TX500172"/>
    <s v="Shorts"/>
    <n v="19"/>
    <n v="10.4"/>
    <n v="197.6"/>
    <d v="2025-01-07T00:00:00"/>
    <d v="2025-01-09T00:00:00"/>
    <s v="M"/>
    <x v="0"/>
    <n v="5"/>
    <s v="California"/>
    <s v="Fresno County"/>
    <n v="2"/>
    <x v="1"/>
    <x v="1"/>
  </r>
  <r>
    <s v="TX500173"/>
    <s v="Bikinis"/>
    <n v="1"/>
    <n v="36.1"/>
    <n v="36.1"/>
    <d v="2025-01-07T00:00:00"/>
    <d v="2025-01-10T00:00:00"/>
    <s v="M"/>
    <x v="3"/>
    <n v="5"/>
    <s v="California"/>
    <s v="Los Angeles County"/>
    <n v="3"/>
    <x v="1"/>
    <x v="1"/>
  </r>
  <r>
    <s v="TX500174"/>
    <s v="Baseball Caps"/>
    <n v="2"/>
    <n v="17.3"/>
    <n v="34.6"/>
    <d v="2025-01-07T00:00:00"/>
    <d v="2025-01-09T00:00:00"/>
    <s v="F"/>
    <x v="1"/>
    <n v="5"/>
    <s v="California"/>
    <s v="Los Angeles County"/>
    <n v="2"/>
    <x v="1"/>
    <x v="2"/>
  </r>
  <r>
    <s v="TX500175"/>
    <s v="Bikinis"/>
    <n v="2"/>
    <n v="30.5"/>
    <n v="61"/>
    <d v="2025-01-07T00:00:00"/>
    <d v="2025-01-08T00:00:00"/>
    <s v="F"/>
    <x v="1"/>
    <n v="5"/>
    <s v="California"/>
    <s v="Los Angeles County"/>
    <n v="1"/>
    <x v="1"/>
    <x v="2"/>
  </r>
  <r>
    <s v="TX500176"/>
    <s v="Leggings"/>
    <n v="62"/>
    <n v="70.099999999999994"/>
    <n v="4346.2"/>
    <d v="2025-01-07T00:00:00"/>
    <d v="2025-01-07T00:00:00"/>
    <s v="F"/>
    <x v="2"/>
    <n v="4"/>
    <s v="California"/>
    <s v="Los Angeles County"/>
    <n v="0"/>
    <x v="1"/>
    <x v="2"/>
  </r>
  <r>
    <s v="TX500177"/>
    <s v="Workout Tops"/>
    <n v="1"/>
    <n v="76.099999999999994"/>
    <n v="76.099999999999994"/>
    <d v="2025-01-07T00:00:00"/>
    <d v="2025-01-07T00:00:00"/>
    <s v="F"/>
    <x v="2"/>
    <n v="3"/>
    <s v="California"/>
    <s v="Los Angeles County"/>
    <n v="0"/>
    <x v="1"/>
    <x v="2"/>
  </r>
  <r>
    <s v="TX500178"/>
    <s v="Crop Tops"/>
    <n v="13"/>
    <n v="34.200000000000003"/>
    <n v="444.6"/>
    <d v="2025-01-07T00:00:00"/>
    <d v="2025-01-08T00:00:00"/>
    <s v="M"/>
    <x v="0"/>
    <n v="4"/>
    <s v="California"/>
    <s v="Los Angeles County"/>
    <n v="1"/>
    <x v="1"/>
    <x v="1"/>
  </r>
  <r>
    <s v="TX500179"/>
    <s v="T-Shirts"/>
    <n v="5"/>
    <n v="30.3"/>
    <n v="151.5"/>
    <d v="2025-01-07T00:00:00"/>
    <d v="2025-01-12T00:00:00"/>
    <s v="F"/>
    <x v="4"/>
    <n v="4"/>
    <s v="California"/>
    <s v="Los Angeles County"/>
    <n v="5"/>
    <x v="1"/>
    <x v="2"/>
  </r>
  <r>
    <s v="TX500180"/>
    <s v="Jeans"/>
    <n v="5"/>
    <n v="52.5"/>
    <n v="262.5"/>
    <d v="2025-01-07T00:00:00"/>
    <d v="2025-01-11T00:00:00"/>
    <s v=""/>
    <x v="3"/>
    <n v="4"/>
    <s v="California"/>
    <s v="Los Angeles County"/>
    <n v="4"/>
    <x v="1"/>
    <x v="0"/>
  </r>
  <r>
    <s v="TX500181"/>
    <s v="Sundresses"/>
    <n v="11"/>
    <n v="28.7"/>
    <n v="315.7"/>
    <d v="2025-01-07T00:00:00"/>
    <d v="2025-01-08T00:00:00"/>
    <s v="F"/>
    <x v="2"/>
    <n v="4"/>
    <s v="California"/>
    <s v="Los Angeles County"/>
    <n v="1"/>
    <x v="1"/>
    <x v="2"/>
  </r>
  <r>
    <s v="TX500182"/>
    <s v="Hoodies &amp; Sweatshirts"/>
    <n v="7"/>
    <n v="52"/>
    <n v="364"/>
    <d v="2025-01-07T00:00:00"/>
    <d v="2025-01-08T00:00:00"/>
    <s v="M"/>
    <x v="1"/>
    <n v="2"/>
    <s v="California"/>
    <s v="Los Angeles County"/>
    <n v="1"/>
    <x v="1"/>
    <x v="1"/>
  </r>
  <r>
    <s v="TX500183"/>
    <s v="Shorts"/>
    <n v="1"/>
    <n v="13.3"/>
    <n v="13.3"/>
    <d v="2025-01-08T00:00:00"/>
    <d v="2025-01-12T00:00:00"/>
    <s v="F"/>
    <x v="2"/>
    <n v="3"/>
    <s v="California"/>
    <s v="Los Angeles County"/>
    <n v="4"/>
    <x v="1"/>
    <x v="2"/>
  </r>
  <r>
    <s v="TX500184"/>
    <s v="Shorts"/>
    <n v="3"/>
    <n v="15.7"/>
    <n v="47.099999999999994"/>
    <d v="2025-01-08T00:00:00"/>
    <d v="2025-01-09T00:00:00"/>
    <s v="F"/>
    <x v="1"/>
    <n v="4"/>
    <s v="California"/>
    <s v="Mendocino County"/>
    <n v="1"/>
    <x v="1"/>
    <x v="2"/>
  </r>
  <r>
    <s v="TX500185"/>
    <s v="T-Shirts"/>
    <n v="2"/>
    <n v="25.6"/>
    <n v="51.2"/>
    <d v="2025-01-08T00:00:00"/>
    <d v="2025-01-09T00:00:00"/>
    <s v="M"/>
    <x v="0"/>
    <n v="5"/>
    <s v="California"/>
    <s v="Riverside County"/>
    <n v="1"/>
    <x v="1"/>
    <x v="1"/>
  </r>
  <r>
    <s v="TX500186"/>
    <s v="T-Shirts"/>
    <n v="1"/>
    <n v="43.4"/>
    <n v="43.4"/>
    <d v="2025-01-08T00:00:00"/>
    <d v="2025-01-13T00:00:00"/>
    <s v="M"/>
    <x v="0"/>
    <n v="4"/>
    <s v="California"/>
    <s v="Sacramento County"/>
    <n v="5"/>
    <x v="1"/>
    <x v="1"/>
  </r>
  <r>
    <s v="TX500187"/>
    <s v="Maxi Dresses"/>
    <n v="9"/>
    <n v="33.4"/>
    <n v="300.59999999999997"/>
    <d v="2025-01-08T00:00:00"/>
    <d v="2025-01-08T00:00:00"/>
    <s v="F"/>
    <x v="0"/>
    <n v="4"/>
    <s v="California"/>
    <s v="San Diego County"/>
    <n v="0"/>
    <x v="1"/>
    <x v="2"/>
  </r>
  <r>
    <s v="TX500188"/>
    <s v="T-Shirts"/>
    <n v="19"/>
    <n v="55"/>
    <n v="1045"/>
    <d v="2025-01-08T00:00:00"/>
    <d v="2025-01-09T00:00:00"/>
    <s v="F"/>
    <x v="1"/>
    <n v="5"/>
    <s v="California"/>
    <s v="San Diego County"/>
    <n v="1"/>
    <x v="1"/>
    <x v="2"/>
  </r>
  <r>
    <s v="TX500189"/>
    <s v="T-Shirts"/>
    <n v="3"/>
    <n v="23.6"/>
    <n v="70.800000000000011"/>
    <d v="2025-01-08T00:00:00"/>
    <d v="2025-01-09T00:00:00"/>
    <s v="M"/>
    <x v="0"/>
    <n v="5"/>
    <s v="California"/>
    <s v="San Diego County"/>
    <n v="1"/>
    <x v="1"/>
    <x v="1"/>
  </r>
  <r>
    <s v="TX500190"/>
    <s v="Casual Dresses"/>
    <n v="9"/>
    <n v="104"/>
    <n v="936"/>
    <d v="2025-01-08T00:00:00"/>
    <d v="2025-01-10T00:00:00"/>
    <s v="F"/>
    <x v="2"/>
    <n v="5"/>
    <s v="California"/>
    <s v="San Francisco"/>
    <n v="2"/>
    <x v="1"/>
    <x v="2"/>
  </r>
  <r>
    <s v="TX500191"/>
    <s v="Jeans"/>
    <n v="2"/>
    <n v="51.8"/>
    <n v="103.6"/>
    <d v="2025-01-08T00:00:00"/>
    <d v="2025-01-12T00:00:00"/>
    <s v=""/>
    <x v="0"/>
    <n v="5"/>
    <s v="California"/>
    <s v="Santa Barbara County"/>
    <n v="4"/>
    <x v="1"/>
    <x v="0"/>
  </r>
  <r>
    <s v="TX500192"/>
    <s v="Bikinis"/>
    <n v="5"/>
    <n v="34.5"/>
    <n v="172.5"/>
    <d v="2025-01-08T00:00:00"/>
    <d v="2025-01-10T00:00:00"/>
    <s v=""/>
    <x v="2"/>
    <n v="5"/>
    <s v="California"/>
    <s v="Santa Clara County"/>
    <n v="2"/>
    <x v="1"/>
    <x v="0"/>
  </r>
  <r>
    <s v="TX500193"/>
    <s v="Jeans"/>
    <n v="2"/>
    <n v="51.8"/>
    <n v="103.6"/>
    <d v="2025-01-08T00:00:00"/>
    <d v="2025-01-10T00:00:00"/>
    <s v="M"/>
    <x v="1"/>
    <n v="5"/>
    <s v="California"/>
    <s v="Siskiyou County"/>
    <n v="2"/>
    <x v="1"/>
    <x v="1"/>
  </r>
  <r>
    <s v="TX500194"/>
    <s v="Leggings"/>
    <n v="43"/>
    <n v="131.5"/>
    <n v="5654.5"/>
    <d v="2025-01-08T00:00:00"/>
    <d v="2025-01-09T00:00:00"/>
    <s v="F"/>
    <x v="0"/>
    <n v="5"/>
    <s v="California"/>
    <s v="Sonoma County"/>
    <n v="1"/>
    <x v="1"/>
    <x v="2"/>
  </r>
  <r>
    <s v="TX500195"/>
    <s v="T-Shirts"/>
    <n v="7"/>
    <n v="47.8"/>
    <n v="334.59999999999997"/>
    <d v="2025-01-08T00:00:00"/>
    <d v="2025-01-08T00:00:00"/>
    <s v="F"/>
    <x v="0"/>
    <n v="4"/>
    <s v="California"/>
    <s v="Stanislaus County"/>
    <n v="0"/>
    <x v="1"/>
    <x v="2"/>
  </r>
  <r>
    <s v="TX500196"/>
    <s v="Shorts"/>
    <n v="2"/>
    <n v="10.199999999999999"/>
    <n v="20.399999999999999"/>
    <d v="2025-01-08T00:00:00"/>
    <d v="2025-01-10T00:00:00"/>
    <s v="F"/>
    <x v="0"/>
    <n v="4"/>
    <s v="California"/>
    <s v="Stanislaus County"/>
    <n v="2"/>
    <x v="1"/>
    <x v="2"/>
  </r>
  <r>
    <s v="TX500197"/>
    <s v="T-Shirts"/>
    <n v="8"/>
    <n v="41"/>
    <n v="328"/>
    <d v="2025-01-08T00:00:00"/>
    <d v="2025-01-08T00:00:00"/>
    <s v="F"/>
    <x v="1"/>
    <n v="5"/>
    <s v="California"/>
    <s v="Stanislaus County"/>
    <n v="0"/>
    <x v="1"/>
    <x v="2"/>
  </r>
  <r>
    <s v="TX500198"/>
    <s v="Bikinis"/>
    <n v="7"/>
    <n v="50.8"/>
    <n v="355.59999999999997"/>
    <d v="2025-01-08T00:00:00"/>
    <d v="2025-01-11T00:00:00"/>
    <s v="F"/>
    <x v="1"/>
    <n v="4"/>
    <s v="California"/>
    <s v="Alameda County"/>
    <n v="3"/>
    <x v="1"/>
    <x v="2"/>
  </r>
  <r>
    <s v="TX500199"/>
    <s v="Leggings"/>
    <n v="3"/>
    <n v="39.6"/>
    <n v="118.80000000000001"/>
    <d v="2025-01-08T00:00:00"/>
    <d v="2025-01-09T00:00:00"/>
    <s v="M"/>
    <x v="2"/>
    <n v="5"/>
    <s v="California"/>
    <s v="Contra Costa County"/>
    <n v="1"/>
    <x v="1"/>
    <x v="1"/>
  </r>
  <r>
    <s v="TX500200"/>
    <s v="Sandals"/>
    <n v="2"/>
    <n v="69.5"/>
    <n v="139"/>
    <d v="2025-01-08T00:00:00"/>
    <d v="2025-01-10T00:00:00"/>
    <s v="M"/>
    <x v="0"/>
    <n v="5"/>
    <s v="California"/>
    <s v="Fresno County"/>
    <n v="2"/>
    <x v="1"/>
    <x v="1"/>
  </r>
  <r>
    <s v="TX500201"/>
    <s v="T-Shirts"/>
    <n v="8"/>
    <n v="32.6"/>
    <n v="260.8"/>
    <d v="2025-01-08T00:00:00"/>
    <d v="2025-01-11T00:00:00"/>
    <s v="M"/>
    <x v="1"/>
    <n v="4"/>
    <s v="California"/>
    <s v="Los Angeles County"/>
    <n v="3"/>
    <x v="1"/>
    <x v="1"/>
  </r>
  <r>
    <s v="TX500202"/>
    <s v="Hoodies &amp; Sweatshirts"/>
    <n v="2"/>
    <n v="49.1"/>
    <n v="98.2"/>
    <d v="2025-01-08T00:00:00"/>
    <d v="2025-01-16T00:00:00"/>
    <s v="M"/>
    <x v="3"/>
    <n v="5"/>
    <s v="California"/>
    <s v="Los Angeles County"/>
    <n v="8"/>
    <x v="1"/>
    <x v="1"/>
  </r>
  <r>
    <s v="TX500203"/>
    <s v="Jeans"/>
    <n v="2"/>
    <n v="49.4"/>
    <n v="98.8"/>
    <d v="2025-01-09T00:00:00"/>
    <d v="2025-01-10T00:00:00"/>
    <s v="F"/>
    <x v="2"/>
    <n v="4"/>
    <s v="California"/>
    <s v="Los Angeles County"/>
    <n v="1"/>
    <x v="1"/>
    <x v="2"/>
  </r>
  <r>
    <s v="TX500204"/>
    <s v="Hoodies &amp; Sweatshirts"/>
    <n v="7"/>
    <n v="65.099999999999994"/>
    <n v="455.69999999999993"/>
    <d v="2025-01-09T00:00:00"/>
    <d v="2025-01-12T00:00:00"/>
    <s v="F"/>
    <x v="2"/>
    <n v="5"/>
    <s v="California"/>
    <s v="Los Angeles County"/>
    <n v="3"/>
    <x v="1"/>
    <x v="2"/>
  </r>
  <r>
    <s v="TX500205"/>
    <s v="Workout Tops"/>
    <n v="2"/>
    <n v="52.1"/>
    <n v="104.2"/>
    <d v="2025-01-09T00:00:00"/>
    <d v="2025-01-13T00:00:00"/>
    <s v="F"/>
    <x v="2"/>
    <n v="4"/>
    <s v="California"/>
    <s v="Los Angeles County"/>
    <n v="4"/>
    <x v="1"/>
    <x v="2"/>
  </r>
  <r>
    <s v="TX500206"/>
    <s v="Sneakers"/>
    <n v="4"/>
    <n v="129.19999999999999"/>
    <n v="516.79999999999995"/>
    <d v="2025-01-09T00:00:00"/>
    <d v="2025-01-10T00:00:00"/>
    <s v="F"/>
    <x v="1"/>
    <n v="4"/>
    <s v="California"/>
    <s v="Los Angeles County"/>
    <n v="1"/>
    <x v="1"/>
    <x v="2"/>
  </r>
  <r>
    <s v="TX500207"/>
    <s v="Tank Tops"/>
    <n v="19"/>
    <n v="81.8"/>
    <n v="1554.2"/>
    <d v="2025-01-09T00:00:00"/>
    <d v="2025-01-09T00:00:00"/>
    <s v="F"/>
    <x v="1"/>
    <n v="3"/>
    <s v="California"/>
    <s v="Los Angeles County"/>
    <n v="0"/>
    <x v="1"/>
    <x v="2"/>
  </r>
  <r>
    <s v="TX500208"/>
    <s v="Pajama Sets"/>
    <n v="1"/>
    <n v="24.9"/>
    <n v="24.9"/>
    <d v="2025-01-09T00:00:00"/>
    <d v="2025-01-13T00:00:00"/>
    <s v="F"/>
    <x v="1"/>
    <n v="4"/>
    <s v="California"/>
    <s v="Los Angeles County"/>
    <n v="4"/>
    <x v="1"/>
    <x v="2"/>
  </r>
  <r>
    <s v="TX500209"/>
    <s v="Shorts"/>
    <n v="3"/>
    <n v="49.4"/>
    <n v="148.19999999999999"/>
    <d v="2025-01-09T00:00:00"/>
    <d v="2025-01-12T00:00:00"/>
    <s v="F"/>
    <x v="4"/>
    <n v="2"/>
    <s v="California"/>
    <s v="Los Angeles County"/>
    <n v="3"/>
    <x v="1"/>
    <x v="2"/>
  </r>
  <r>
    <s v="TX500210"/>
    <s v="T-Shirts"/>
    <n v="2"/>
    <n v="22.7"/>
    <n v="45.4"/>
    <d v="2025-01-09T00:00:00"/>
    <d v="2025-01-10T00:00:00"/>
    <s v="M"/>
    <x v="3"/>
    <n v="5"/>
    <s v="California"/>
    <s v="Los Angeles County"/>
    <n v="1"/>
    <x v="1"/>
    <x v="1"/>
  </r>
  <r>
    <s v="TX500211"/>
    <s v="Tank Tops"/>
    <n v="1"/>
    <n v="77.3"/>
    <n v="77.3"/>
    <d v="2025-01-09T00:00:00"/>
    <d v="2025-01-09T00:00:00"/>
    <s v="F"/>
    <x v="0"/>
    <n v="5"/>
    <s v="California"/>
    <s v="Sacramento County"/>
    <n v="0"/>
    <x v="1"/>
    <x v="2"/>
  </r>
  <r>
    <s v="TX500212"/>
    <s v="Tank Tops"/>
    <n v="5"/>
    <n v="109.1"/>
    <n v="545.5"/>
    <d v="2025-01-09T00:00:00"/>
    <d v="2025-01-12T00:00:00"/>
    <s v="F"/>
    <x v="0"/>
    <n v="4"/>
    <s v="California"/>
    <s v="Sacramento County"/>
    <n v="3"/>
    <x v="1"/>
    <x v="2"/>
  </r>
  <r>
    <s v="TX500213"/>
    <s v="Sneakers"/>
    <n v="4"/>
    <n v="53.9"/>
    <n v="215.6"/>
    <d v="2025-01-09T00:00:00"/>
    <d v="2025-01-10T00:00:00"/>
    <s v="M"/>
    <x v="0"/>
    <n v="3"/>
    <s v="California"/>
    <s v="San Diego County"/>
    <n v="1"/>
    <x v="1"/>
    <x v="1"/>
  </r>
  <r>
    <s v="TX500214"/>
    <s v="Sundresses"/>
    <n v="26"/>
    <n v="21.2"/>
    <n v="551.19999999999993"/>
    <d v="2025-01-09T00:00:00"/>
    <d v="2025-01-09T00:00:00"/>
    <s v="F"/>
    <x v="0"/>
    <n v="4"/>
    <s v="California"/>
    <s v="San Mateo County"/>
    <n v="0"/>
    <x v="1"/>
    <x v="2"/>
  </r>
  <r>
    <s v="TX500215"/>
    <s v="Sunglasses"/>
    <n v="4"/>
    <n v="69"/>
    <n v="276"/>
    <d v="2025-01-09T00:00:00"/>
    <d v="2025-01-11T00:00:00"/>
    <s v="F"/>
    <x v="1"/>
    <n v="3"/>
    <s v="California"/>
    <s v="Sonoma County"/>
    <n v="2"/>
    <x v="1"/>
    <x v="2"/>
  </r>
  <r>
    <s v="TX500216"/>
    <s v="Jeans"/>
    <n v="3"/>
    <n v="46.2"/>
    <n v="138.60000000000002"/>
    <d v="2025-01-09T00:00:00"/>
    <d v="2025-01-11T00:00:00"/>
    <s v="F"/>
    <x v="0"/>
    <n v="5"/>
    <s v="California"/>
    <s v="Sutter County"/>
    <n v="2"/>
    <x v="1"/>
    <x v="2"/>
  </r>
  <r>
    <s v="TX500217"/>
    <s v="Tank Tops"/>
    <n v="5"/>
    <n v="97.4"/>
    <n v="487"/>
    <d v="2025-01-09T00:00:00"/>
    <d v="2025-01-13T00:00:00"/>
    <s v="F"/>
    <x v="4"/>
    <n v="5"/>
    <s v="California"/>
    <s v="Alameda County"/>
    <n v="4"/>
    <x v="1"/>
    <x v="2"/>
  </r>
  <r>
    <s v="TX500218"/>
    <s v="T-Shirts"/>
    <n v="5"/>
    <n v="21"/>
    <n v="105"/>
    <d v="2025-01-09T00:00:00"/>
    <d v="2025-01-10T00:00:00"/>
    <s v="M"/>
    <x v="0"/>
    <n v="3"/>
    <s v="California"/>
    <s v="Alameda County"/>
    <n v="1"/>
    <x v="1"/>
    <x v="1"/>
  </r>
  <r>
    <s v="TX500219"/>
    <s v="Sandals"/>
    <n v="2"/>
    <n v="32.700000000000003"/>
    <n v="65.400000000000006"/>
    <d v="2025-01-10T00:00:00"/>
    <d v="2025-01-13T00:00:00"/>
    <s v="F"/>
    <x v="1"/>
    <n v="4"/>
    <s v="California"/>
    <s v="Fresno County"/>
    <n v="3"/>
    <x v="1"/>
    <x v="2"/>
  </r>
  <r>
    <s v="TX500220"/>
    <s v="Jeans"/>
    <n v="4"/>
    <n v="48"/>
    <n v="192"/>
    <d v="2025-01-10T00:00:00"/>
    <d v="2025-01-11T00:00:00"/>
    <s v="M"/>
    <x v="3"/>
    <n v="4"/>
    <s v="California"/>
    <s v="Los Angeles County"/>
    <n v="1"/>
    <x v="1"/>
    <x v="1"/>
  </r>
  <r>
    <s v="TX500221"/>
    <s v="Jeans"/>
    <n v="3"/>
    <n v="68.2"/>
    <n v="204.60000000000002"/>
    <d v="2025-01-10T00:00:00"/>
    <d v="2025-01-14T00:00:00"/>
    <s v=""/>
    <x v="0"/>
    <n v="5"/>
    <s v="California"/>
    <s v="Los Angeles County"/>
    <n v="4"/>
    <x v="1"/>
    <x v="0"/>
  </r>
  <r>
    <s v="TX500222"/>
    <s v="Sandals"/>
    <n v="1"/>
    <n v="45.4"/>
    <n v="45.4"/>
    <d v="2025-01-10T00:00:00"/>
    <d v="2025-01-12T00:00:00"/>
    <s v="M"/>
    <x v="1"/>
    <n v="4"/>
    <s v="California"/>
    <s v="Los Angeles County"/>
    <n v="2"/>
    <x v="1"/>
    <x v="1"/>
  </r>
  <r>
    <s v="TX500223"/>
    <s v="Casual Dresses"/>
    <n v="2"/>
    <n v="53.9"/>
    <n v="107.8"/>
    <d v="2025-01-10T00:00:00"/>
    <d v="2025-01-11T00:00:00"/>
    <s v="F"/>
    <x v="2"/>
    <n v="4"/>
    <s v="California"/>
    <s v="Los Angeles County"/>
    <n v="1"/>
    <x v="1"/>
    <x v="2"/>
  </r>
  <r>
    <s v="TX500224"/>
    <s v="Sneakers"/>
    <n v="4"/>
    <n v="62.1"/>
    <n v="248.4"/>
    <d v="2025-01-10T00:00:00"/>
    <d v="2025-01-14T00:00:00"/>
    <s v="F"/>
    <x v="0"/>
    <n v="4"/>
    <s v="California"/>
    <s v="Nevada County"/>
    <n v="4"/>
    <x v="1"/>
    <x v="2"/>
  </r>
  <r>
    <s v="TX500225"/>
    <s v="Tote Bags"/>
    <n v="7"/>
    <n v="33.1"/>
    <n v="231.70000000000002"/>
    <d v="2025-01-10T00:00:00"/>
    <d v="2025-01-15T00:00:00"/>
    <s v="M"/>
    <x v="1"/>
    <n v="4"/>
    <s v="California"/>
    <s v="Sacramento County"/>
    <n v="5"/>
    <x v="1"/>
    <x v="1"/>
  </r>
  <r>
    <s v="TX500226"/>
    <s v="Leggings"/>
    <n v="5"/>
    <n v="35.200000000000003"/>
    <n v="176"/>
    <d v="2025-01-10T00:00:00"/>
    <d v="2025-01-10T00:00:00"/>
    <s v="F"/>
    <x v="1"/>
    <n v="4"/>
    <s v="California"/>
    <s v="Sacramento County"/>
    <n v="0"/>
    <x v="1"/>
    <x v="2"/>
  </r>
  <r>
    <s v="TX500227"/>
    <s v="Sundresses"/>
    <n v="3"/>
    <n v="32.1"/>
    <n v="96.300000000000011"/>
    <d v="2025-01-10T00:00:00"/>
    <d v="2025-01-15T00:00:00"/>
    <s v="M"/>
    <x v="3"/>
    <n v="4"/>
    <s v="California"/>
    <s v="San Diego County"/>
    <n v="5"/>
    <x v="1"/>
    <x v="1"/>
  </r>
  <r>
    <s v="TX500228"/>
    <s v="Maxi Dresses"/>
    <n v="1"/>
    <n v="38.1"/>
    <n v="38.1"/>
    <d v="2025-01-10T00:00:00"/>
    <d v="2025-01-15T00:00:00"/>
    <s v="F"/>
    <x v="0"/>
    <n v="5"/>
    <s v="California"/>
    <s v="San Diego County"/>
    <n v="5"/>
    <x v="1"/>
    <x v="2"/>
  </r>
  <r>
    <s v="TX500229"/>
    <s v="T-Shirts"/>
    <n v="1"/>
    <n v="65.2"/>
    <n v="65.2"/>
    <d v="2025-01-10T00:00:00"/>
    <d v="2025-01-15T00:00:00"/>
    <s v="F"/>
    <x v="3"/>
    <n v="3"/>
    <s v="California"/>
    <s v="San Diego County"/>
    <n v="5"/>
    <x v="1"/>
    <x v="2"/>
  </r>
  <r>
    <s v="TX500230"/>
    <s v="Bikinis"/>
    <n v="7"/>
    <n v="55.2"/>
    <n v="386.40000000000003"/>
    <d v="2025-01-10T00:00:00"/>
    <d v="2025-01-11T00:00:00"/>
    <s v="M"/>
    <x v="2"/>
    <n v="4"/>
    <s v="California"/>
    <s v="Santa Clara County"/>
    <n v="1"/>
    <x v="1"/>
    <x v="1"/>
  </r>
  <r>
    <s v="TX500231"/>
    <s v="Jeans"/>
    <n v="1"/>
    <n v="62"/>
    <n v="62"/>
    <d v="2025-01-10T00:00:00"/>
    <d v="2025-01-14T00:00:00"/>
    <s v="F"/>
    <x v="0"/>
    <n v="4"/>
    <s v="California"/>
    <s v="Santa Clara County"/>
    <n v="4"/>
    <x v="1"/>
    <x v="2"/>
  </r>
  <r>
    <s v="TX500232"/>
    <s v="Hoodies &amp; Sweatshirts"/>
    <n v="3"/>
    <n v="45.9"/>
    <n v="137.69999999999999"/>
    <d v="2025-01-10T00:00:00"/>
    <d v="2025-01-11T00:00:00"/>
    <s v="F"/>
    <x v="2"/>
    <n v="4"/>
    <s v="California"/>
    <s v="Santa Cruz County"/>
    <n v="1"/>
    <x v="1"/>
    <x v="2"/>
  </r>
  <r>
    <s v="TX500233"/>
    <s v="Leggings"/>
    <n v="3"/>
    <n v="58.3"/>
    <n v="174.89999999999998"/>
    <d v="2025-01-10T00:00:00"/>
    <d v="2025-01-10T00:00:00"/>
    <s v="M"/>
    <x v="1"/>
    <n v="3"/>
    <s v="California"/>
    <s v="Sonoma County"/>
    <n v="0"/>
    <x v="1"/>
    <x v="1"/>
  </r>
  <r>
    <s v="TX500234"/>
    <s v="T-Shirts"/>
    <n v="2"/>
    <n v="22.3"/>
    <n v="44.6"/>
    <d v="2025-01-10T00:00:00"/>
    <d v="2025-01-13T00:00:00"/>
    <s v="F"/>
    <x v="0"/>
    <n v="5"/>
    <s v="California"/>
    <s v="Tulare County"/>
    <n v="3"/>
    <x v="1"/>
    <x v="2"/>
  </r>
  <r>
    <s v="TX500235"/>
    <s v="Jewelry"/>
    <n v="5"/>
    <n v="24"/>
    <n v="120"/>
    <d v="2025-01-10T00:00:00"/>
    <d v="2025-01-11T00:00:00"/>
    <s v="M"/>
    <x v="4"/>
    <n v="4"/>
    <s v="California"/>
    <s v="Contra Costa County"/>
    <n v="1"/>
    <x v="1"/>
    <x v="1"/>
  </r>
  <r>
    <s v="TX500236"/>
    <s v="Shorts"/>
    <n v="10"/>
    <n v="21.3"/>
    <n v="213"/>
    <d v="2025-01-10T00:00:00"/>
    <d v="2025-01-10T00:00:00"/>
    <s v="F"/>
    <x v="1"/>
    <n v="5"/>
    <s v="California"/>
    <s v="Kern County"/>
    <n v="0"/>
    <x v="1"/>
    <x v="2"/>
  </r>
  <r>
    <s v="TX500237"/>
    <s v="Jeans"/>
    <n v="41"/>
    <n v="57.8"/>
    <n v="2369.7999999999997"/>
    <d v="2025-01-10T00:00:00"/>
    <d v="2025-01-12T00:00:00"/>
    <s v="F"/>
    <x v="0"/>
    <n v="5"/>
    <s v="California"/>
    <s v="Los Angeles County"/>
    <n v="2"/>
    <x v="1"/>
    <x v="2"/>
  </r>
  <r>
    <s v="TX500238"/>
    <s v="Bikinis"/>
    <n v="3"/>
    <n v="67.599999999999994"/>
    <n v="202.79999999999998"/>
    <d v="2025-01-10T00:00:00"/>
    <d v="2025-01-11T00:00:00"/>
    <s v="F"/>
    <x v="0"/>
    <n v="4"/>
    <s v="California"/>
    <s v="Los Angeles County"/>
    <n v="1"/>
    <x v="1"/>
    <x v="2"/>
  </r>
  <r>
    <s v="TX500239"/>
    <s v="Jeans"/>
    <n v="6"/>
    <n v="66.7"/>
    <n v="400.20000000000005"/>
    <d v="2025-01-10T00:00:00"/>
    <d v="2025-01-14T00:00:00"/>
    <s v="M"/>
    <x v="4"/>
    <n v="3"/>
    <s v="California"/>
    <s v="Los Angeles County"/>
    <n v="4"/>
    <x v="1"/>
    <x v="1"/>
  </r>
  <r>
    <s v="TX500240"/>
    <s v="Tank Tops"/>
    <n v="4"/>
    <n v="53.1"/>
    <n v="212.4"/>
    <d v="2025-01-10T00:00:00"/>
    <d v="2025-01-12T00:00:00"/>
    <s v="F"/>
    <x v="1"/>
    <n v="4"/>
    <s v="California"/>
    <s v="Los Angeles County"/>
    <n v="2"/>
    <x v="1"/>
    <x v="2"/>
  </r>
  <r>
    <s v="TX500241"/>
    <s v="Casual Dresses"/>
    <n v="3"/>
    <n v="57.4"/>
    <n v="172.2"/>
    <d v="2025-01-10T00:00:00"/>
    <d v="2025-01-13T00:00:00"/>
    <s v="F"/>
    <x v="0"/>
    <n v="5"/>
    <s v="California"/>
    <s v="Mendocino County"/>
    <n v="3"/>
    <x v="1"/>
    <x v="2"/>
  </r>
  <r>
    <s v="TX500242"/>
    <s v="Sneakers"/>
    <n v="5"/>
    <n v="58.1"/>
    <n v="290.5"/>
    <d v="2025-01-10T00:00:00"/>
    <d v="2025-01-10T00:00:00"/>
    <s v="M"/>
    <x v="2"/>
    <n v="5"/>
    <s v="California"/>
    <s v="Sacramento County"/>
    <n v="0"/>
    <x v="1"/>
    <x v="1"/>
  </r>
  <r>
    <s v="TX500243"/>
    <s v="Sandals"/>
    <n v="3"/>
    <n v="31.8"/>
    <n v="95.4"/>
    <d v="2025-01-11T00:00:00"/>
    <d v="2025-01-13T00:00:00"/>
    <s v="M"/>
    <x v="3"/>
    <n v="4"/>
    <s v="California"/>
    <s v="Sacramento County"/>
    <n v="2"/>
    <x v="1"/>
    <x v="1"/>
  </r>
  <r>
    <s v="TX500244"/>
    <s v="Graphic Tees"/>
    <n v="3"/>
    <n v="31.5"/>
    <n v="94.5"/>
    <d v="2025-01-11T00:00:00"/>
    <d v="2025-01-14T00:00:00"/>
    <s v="M"/>
    <x v="0"/>
    <n v="3"/>
    <s v="California"/>
    <s v="San Diego County"/>
    <n v="3"/>
    <x v="1"/>
    <x v="1"/>
  </r>
  <r>
    <s v="TX500245"/>
    <s v="Jeans"/>
    <n v="7"/>
    <n v="55.9"/>
    <n v="391.3"/>
    <d v="2025-01-11T00:00:00"/>
    <d v="2025-01-15T00:00:00"/>
    <s v="F"/>
    <x v="1"/>
    <n v="5"/>
    <s v="California"/>
    <s v="San Diego County"/>
    <n v="4"/>
    <x v="1"/>
    <x v="2"/>
  </r>
  <r>
    <s v="TX500246"/>
    <s v="T-Shirts"/>
    <n v="2"/>
    <n v="36.4"/>
    <n v="72.8"/>
    <d v="2025-01-11T00:00:00"/>
    <d v="2025-01-12T00:00:00"/>
    <s v="M"/>
    <x v="1"/>
    <n v="3"/>
    <s v="California"/>
    <s v="San Mateo County"/>
    <n v="1"/>
    <x v="1"/>
    <x v="1"/>
  </r>
  <r>
    <s v="TX500247"/>
    <s v="Tank Tops"/>
    <n v="5"/>
    <n v="47.3"/>
    <n v="236.5"/>
    <d v="2025-01-11T00:00:00"/>
    <d v="2025-01-14T00:00:00"/>
    <s v="M"/>
    <x v="2"/>
    <n v="4"/>
    <s v="California"/>
    <s v="Santa Barbara County"/>
    <n v="3"/>
    <x v="1"/>
    <x v="1"/>
  </r>
  <r>
    <s v="TX500248"/>
    <s v="Jeans"/>
    <n v="3"/>
    <n v="82.5"/>
    <n v="247.5"/>
    <d v="2025-01-11T00:00:00"/>
    <d v="2025-01-12T00:00:00"/>
    <s v="M"/>
    <x v="0"/>
    <n v="4"/>
    <s v="California"/>
    <s v="Santa Clara County"/>
    <n v="1"/>
    <x v="1"/>
    <x v="1"/>
  </r>
  <r>
    <s v="TX500249"/>
    <s v="Shorts"/>
    <n v="1"/>
    <n v="14.3"/>
    <n v="14.3"/>
    <d v="2025-01-11T00:00:00"/>
    <d v="2025-01-12T00:00:00"/>
    <s v="F"/>
    <x v="0"/>
    <n v="4"/>
    <s v="California"/>
    <s v="Alameda County"/>
    <n v="1"/>
    <x v="1"/>
    <x v="2"/>
  </r>
  <r>
    <s v="TX500250"/>
    <s v="Sneakers"/>
    <n v="6"/>
    <n v="57.6"/>
    <n v="345.6"/>
    <d v="2025-01-11T00:00:00"/>
    <d v="2025-01-25T00:00:00"/>
    <s v="F"/>
    <x v="0"/>
    <n v="4"/>
    <s v="California"/>
    <s v="Alameda County"/>
    <n v="14"/>
    <x v="1"/>
    <x v="2"/>
  </r>
  <r>
    <s v="TX500251"/>
    <s v="Sneakers"/>
    <n v="3"/>
    <n v="142.4"/>
    <n v="427.20000000000005"/>
    <d v="2025-01-11T00:00:00"/>
    <d v="2025-01-13T00:00:00"/>
    <s v="M"/>
    <x v="4"/>
    <n v="3"/>
    <s v="California"/>
    <s v="Alameda County"/>
    <n v="2"/>
    <x v="1"/>
    <x v="1"/>
  </r>
  <r>
    <s v="TX500252"/>
    <s v="Casual Dresses"/>
    <n v="1"/>
    <n v="30.2"/>
    <n v="30.2"/>
    <d v="2025-01-11T00:00:00"/>
    <d v="2025-01-15T00:00:00"/>
    <s v="M"/>
    <x v="1"/>
    <n v="5"/>
    <s v="California"/>
    <s v="Fresno County"/>
    <n v="4"/>
    <x v="1"/>
    <x v="1"/>
  </r>
  <r>
    <s v="TX500253"/>
    <s v="Leggings"/>
    <n v="3"/>
    <n v="65.3"/>
    <n v="195.89999999999998"/>
    <d v="2025-01-11T00:00:00"/>
    <d v="2025-01-12T00:00:00"/>
    <s v="O"/>
    <x v="1"/>
    <n v="4"/>
    <s v="California"/>
    <s v="Imperial County"/>
    <n v="1"/>
    <x v="1"/>
    <x v="3"/>
  </r>
  <r>
    <s v="TX500254"/>
    <s v="Shorts"/>
    <n v="2"/>
    <n v="33.4"/>
    <n v="66.8"/>
    <d v="2025-01-11T00:00:00"/>
    <d v="2025-01-12T00:00:00"/>
    <s v="M"/>
    <x v="1"/>
    <n v="3"/>
    <s v="California"/>
    <s v="Kern County"/>
    <n v="1"/>
    <x v="1"/>
    <x v="1"/>
  </r>
  <r>
    <s v="TX500255"/>
    <s v="Hoodies &amp; Sweatshirts"/>
    <n v="2"/>
    <n v="45.1"/>
    <n v="90.2"/>
    <d v="2025-01-11T00:00:00"/>
    <d v="2025-01-19T00:00:00"/>
    <s v="M"/>
    <x v="0"/>
    <n v="4"/>
    <s v="California"/>
    <s v="Kings County"/>
    <n v="8"/>
    <x v="1"/>
    <x v="1"/>
  </r>
  <r>
    <s v="TX500256"/>
    <s v="Sneakers"/>
    <n v="7"/>
    <n v="61.7"/>
    <n v="431.90000000000003"/>
    <d v="2025-01-11T00:00:00"/>
    <d v="2025-01-13T00:00:00"/>
    <s v="F"/>
    <x v="4"/>
    <n v="4"/>
    <s v="California"/>
    <s v="Los Angeles County"/>
    <n v="2"/>
    <x v="1"/>
    <x v="2"/>
  </r>
  <r>
    <s v="TX500257"/>
    <s v="Sundresses"/>
    <n v="3"/>
    <n v="45.1"/>
    <n v="135.30000000000001"/>
    <d v="2025-01-12T00:00:00"/>
    <d v="2025-01-13T00:00:00"/>
    <s v="M"/>
    <x v="4"/>
    <n v="3"/>
    <s v="California"/>
    <s v="Los Angeles County"/>
    <n v="1"/>
    <x v="1"/>
    <x v="1"/>
  </r>
  <r>
    <s v="TX500258"/>
    <s v="Crop Tops"/>
    <n v="5"/>
    <n v="22.7"/>
    <n v="113.5"/>
    <d v="2025-01-12T00:00:00"/>
    <d v="2025-01-17T00:00:00"/>
    <s v="M"/>
    <x v="0"/>
    <n v="5"/>
    <s v="California"/>
    <s v="Plumas County"/>
    <n v="5"/>
    <x v="1"/>
    <x v="1"/>
  </r>
  <r>
    <s v="TX500259"/>
    <s v="T-Shirts"/>
    <n v="1"/>
    <n v="17.600000000000001"/>
    <n v="17.600000000000001"/>
    <d v="2025-01-12T00:00:00"/>
    <d v="2025-01-13T00:00:00"/>
    <s v="F"/>
    <x v="0"/>
    <n v="5"/>
    <s v="California"/>
    <s v="Riverside County"/>
    <n v="1"/>
    <x v="1"/>
    <x v="2"/>
  </r>
  <r>
    <s v="TX500260"/>
    <s v="Baseball Caps"/>
    <n v="2"/>
    <n v="11.3"/>
    <n v="22.6"/>
    <d v="2025-01-12T00:00:00"/>
    <d v="2025-01-15T00:00:00"/>
    <s v="F"/>
    <x v="3"/>
    <n v="5"/>
    <s v="California"/>
    <s v="Riverside County"/>
    <n v="3"/>
    <x v="1"/>
    <x v="2"/>
  </r>
  <r>
    <s v="TX500261"/>
    <s v="Jeans"/>
    <n v="3"/>
    <n v="53.4"/>
    <n v="160.19999999999999"/>
    <d v="2025-01-12T00:00:00"/>
    <d v="2025-01-15T00:00:00"/>
    <s v="M"/>
    <x v="3"/>
    <n v="5"/>
    <s v="California"/>
    <s v="San Benito County"/>
    <n v="3"/>
    <x v="1"/>
    <x v="1"/>
  </r>
  <r>
    <s v="TX500262"/>
    <s v="Jeans"/>
    <n v="11"/>
    <n v="51.1"/>
    <n v="562.1"/>
    <d v="2025-01-12T00:00:00"/>
    <d v="2025-01-14T00:00:00"/>
    <s v="F"/>
    <x v="2"/>
    <n v="5"/>
    <s v="California"/>
    <s v="San Diego County"/>
    <n v="2"/>
    <x v="1"/>
    <x v="2"/>
  </r>
  <r>
    <s v="TX500263"/>
    <s v="T-Shirts"/>
    <n v="2"/>
    <n v="27.5"/>
    <n v="55"/>
    <d v="2025-01-12T00:00:00"/>
    <d v="2025-01-13T00:00:00"/>
    <s v="M"/>
    <x v="4"/>
    <n v="3"/>
    <s v="California"/>
    <s v="San Diego County"/>
    <n v="1"/>
    <x v="1"/>
    <x v="1"/>
  </r>
  <r>
    <s v="TX500264"/>
    <s v="Sundresses"/>
    <n v="1"/>
    <n v="33.5"/>
    <n v="33.5"/>
    <d v="2025-01-12T00:00:00"/>
    <d v="2025-01-14T00:00:00"/>
    <s v="F"/>
    <x v="0"/>
    <n v="2"/>
    <s v="California"/>
    <s v="San Diego County"/>
    <n v="2"/>
    <x v="1"/>
    <x v="2"/>
  </r>
  <r>
    <s v="TX500265"/>
    <s v="Graphic Tees"/>
    <n v="1"/>
    <n v="59.5"/>
    <n v="59.5"/>
    <d v="2025-01-12T00:00:00"/>
    <d v="2025-01-12T00:00:00"/>
    <s v="M"/>
    <x v="0"/>
    <n v="5"/>
    <s v="California"/>
    <s v="Sonoma County"/>
    <n v="0"/>
    <x v="1"/>
    <x v="1"/>
  </r>
  <r>
    <s v="TX500266"/>
    <s v="Pajama Sets"/>
    <n v="4"/>
    <n v="23.5"/>
    <n v="94"/>
    <d v="2025-01-12T00:00:00"/>
    <d v="2025-01-13T00:00:00"/>
    <s v="F"/>
    <x v="3"/>
    <n v="1"/>
    <s v="California"/>
    <s v="Stanislaus County"/>
    <n v="1"/>
    <x v="1"/>
    <x v="2"/>
  </r>
  <r>
    <s v="TX500267"/>
    <s v="Jeans"/>
    <n v="1"/>
    <n v="49.7"/>
    <n v="49.7"/>
    <d v="2025-01-12T00:00:00"/>
    <d v="2025-01-13T00:00:00"/>
    <s v=""/>
    <x v="1"/>
    <n v="5"/>
    <s v="California"/>
    <s v="Tulare County"/>
    <n v="1"/>
    <x v="1"/>
    <x v="0"/>
  </r>
  <r>
    <s v="TX500268"/>
    <s v="Jeans"/>
    <n v="4"/>
    <n v="44.2"/>
    <n v="176.8"/>
    <d v="2025-01-12T00:00:00"/>
    <d v="2025-01-15T00:00:00"/>
    <s v="F"/>
    <x v="0"/>
    <n v="5"/>
    <s v="California"/>
    <s v="Alameda County"/>
    <n v="3"/>
    <x v="1"/>
    <x v="2"/>
  </r>
  <r>
    <s v="TX500269"/>
    <s v="T-Shirts"/>
    <n v="1"/>
    <n v="22.1"/>
    <n v="22.1"/>
    <d v="2025-01-12T00:00:00"/>
    <d v="2025-01-16T00:00:00"/>
    <s v="F"/>
    <x v="1"/>
    <n v="3"/>
    <s v="California"/>
    <s v="Imperial County"/>
    <n v="4"/>
    <x v="1"/>
    <x v="2"/>
  </r>
  <r>
    <s v="TX500270"/>
    <s v="Jeans"/>
    <n v="3"/>
    <n v="90.9"/>
    <n v="272.70000000000005"/>
    <d v="2025-01-12T00:00:00"/>
    <d v="2025-01-13T00:00:00"/>
    <s v="F"/>
    <x v="2"/>
    <n v="2"/>
    <s v="California"/>
    <s v="Los Angeles County"/>
    <n v="1"/>
    <x v="1"/>
    <x v="2"/>
  </r>
  <r>
    <s v="TX500271"/>
    <s v="T-Shirts"/>
    <n v="3"/>
    <n v="44.5"/>
    <n v="133.5"/>
    <d v="2025-01-12T00:00:00"/>
    <d v="2025-01-13T00:00:00"/>
    <s v="F"/>
    <x v="1"/>
    <n v="4"/>
    <s v="California"/>
    <s v="Los Angeles County"/>
    <n v="1"/>
    <x v="1"/>
    <x v="2"/>
  </r>
  <r>
    <s v="TX500272"/>
    <s v="Sundresses"/>
    <n v="6"/>
    <n v="32.299999999999997"/>
    <n v="193.79999999999998"/>
    <d v="2025-01-12T00:00:00"/>
    <d v="2025-01-16T00:00:00"/>
    <s v="F"/>
    <x v="0"/>
    <n v="4"/>
    <s v="California"/>
    <s v="Los Angeles County"/>
    <n v="4"/>
    <x v="1"/>
    <x v="2"/>
  </r>
  <r>
    <s v="TX500273"/>
    <s v="Pajama Sets"/>
    <n v="3"/>
    <n v="87.5"/>
    <n v="262.5"/>
    <d v="2025-01-12T00:00:00"/>
    <d v="2025-01-13T00:00:00"/>
    <s v="F"/>
    <x v="1"/>
    <n v="3"/>
    <s v="California"/>
    <s v="Los Angeles County"/>
    <n v="1"/>
    <x v="1"/>
    <x v="2"/>
  </r>
  <r>
    <s v="TX500274"/>
    <s v="Sunglasses"/>
    <n v="5"/>
    <n v="48.7"/>
    <n v="243.5"/>
    <d v="2025-01-12T00:00:00"/>
    <d v="2025-01-13T00:00:00"/>
    <s v="M"/>
    <x v="2"/>
    <n v="4"/>
    <s v="California"/>
    <s v="Los Angeles County"/>
    <n v="1"/>
    <x v="1"/>
    <x v="1"/>
  </r>
  <r>
    <s v="TX500275"/>
    <s v="Shorts"/>
    <n v="5"/>
    <n v="22.5"/>
    <n v="112.5"/>
    <d v="2025-01-12T00:00:00"/>
    <d v="2025-01-13T00:00:00"/>
    <s v="M"/>
    <x v="0"/>
    <n v="4"/>
    <s v="California"/>
    <s v="Los Angeles County"/>
    <n v="1"/>
    <x v="1"/>
    <x v="1"/>
  </r>
  <r>
    <s v="TX500276"/>
    <s v="Tank Tops"/>
    <n v="8"/>
    <n v="65.900000000000006"/>
    <n v="527.20000000000005"/>
    <d v="2025-01-12T00:00:00"/>
    <d v="2025-01-15T00:00:00"/>
    <s v="F"/>
    <x v="1"/>
    <n v="5"/>
    <s v="California"/>
    <s v="Los Angeles County"/>
    <n v="3"/>
    <x v="1"/>
    <x v="2"/>
  </r>
  <r>
    <s v="TX500277"/>
    <s v="Jeans"/>
    <n v="5"/>
    <n v="41.9"/>
    <n v="209.5"/>
    <d v="2025-01-12T00:00:00"/>
    <d v="2025-01-19T00:00:00"/>
    <s v=""/>
    <x v="0"/>
    <n v="4"/>
    <s v="California"/>
    <s v="Los Angeles County"/>
    <n v="7"/>
    <x v="1"/>
    <x v="0"/>
  </r>
  <r>
    <s v="TX500278"/>
    <s v="Tank Tops"/>
    <n v="5"/>
    <n v="67.5"/>
    <n v="337.5"/>
    <d v="2025-01-12T00:00:00"/>
    <d v="2025-01-13T00:00:00"/>
    <s v="F"/>
    <x v="0"/>
    <n v="5"/>
    <s v="California"/>
    <s v="Los Angeles County"/>
    <n v="1"/>
    <x v="1"/>
    <x v="2"/>
  </r>
  <r>
    <s v="TX500279"/>
    <s v="Sundresses"/>
    <n v="1"/>
    <n v="60.4"/>
    <n v="60.4"/>
    <d v="2025-01-13T00:00:00"/>
    <d v="2025-01-15T00:00:00"/>
    <s v="F"/>
    <x v="1"/>
    <n v="3"/>
    <s v="California"/>
    <s v="Los Angeles County"/>
    <n v="2"/>
    <x v="2"/>
    <x v="2"/>
  </r>
  <r>
    <s v="TX500280"/>
    <s v="Tank Tops"/>
    <n v="7"/>
    <n v="30.4"/>
    <n v="212.79999999999998"/>
    <d v="2025-01-13T00:00:00"/>
    <d v="2025-01-16T00:00:00"/>
    <s v="F"/>
    <x v="4"/>
    <n v="4"/>
    <s v="California"/>
    <s v="Los Angeles County"/>
    <n v="3"/>
    <x v="2"/>
    <x v="2"/>
  </r>
  <r>
    <s v="TX500281"/>
    <s v="Baseball Caps"/>
    <n v="2"/>
    <n v="24.5"/>
    <n v="49"/>
    <d v="2025-01-13T00:00:00"/>
    <d v="2025-01-14T00:00:00"/>
    <s v="M"/>
    <x v="3"/>
    <n v="5"/>
    <s v="California"/>
    <s v="Los Angeles County"/>
    <n v="1"/>
    <x v="2"/>
    <x v="1"/>
  </r>
  <r>
    <s v="TX500282"/>
    <s v="Sneakers"/>
    <n v="3"/>
    <n v="105.9"/>
    <n v="317.70000000000005"/>
    <d v="2025-01-13T00:00:00"/>
    <d v="2025-01-18T00:00:00"/>
    <s v="M"/>
    <x v="0"/>
    <n v="4"/>
    <s v="California"/>
    <s v="Madera County"/>
    <n v="5"/>
    <x v="2"/>
    <x v="1"/>
  </r>
  <r>
    <s v="TX500283"/>
    <s v="Bikinis"/>
    <n v="24"/>
    <n v="25.9"/>
    <n v="621.59999999999991"/>
    <d v="2025-01-13T00:00:00"/>
    <d v="2025-01-14T00:00:00"/>
    <s v="F"/>
    <x v="4"/>
    <n v="4"/>
    <s v="California"/>
    <s v="Riverside County"/>
    <n v="1"/>
    <x v="2"/>
    <x v="2"/>
  </r>
  <r>
    <s v="TX500284"/>
    <s v="Jeans"/>
    <n v="3"/>
    <n v="66.8"/>
    <n v="200.39999999999998"/>
    <d v="2025-01-13T00:00:00"/>
    <d v="2025-01-13T00:00:00"/>
    <s v="M"/>
    <x v="0"/>
    <n v="4"/>
    <s v="California"/>
    <s v="Riverside County"/>
    <n v="0"/>
    <x v="2"/>
    <x v="1"/>
  </r>
  <r>
    <s v="TX500285"/>
    <s v="Jeans"/>
    <n v="3"/>
    <n v="112.3"/>
    <n v="336.9"/>
    <d v="2025-01-13T00:00:00"/>
    <d v="2025-01-14T00:00:00"/>
    <s v="M"/>
    <x v="2"/>
    <n v="2"/>
    <s v="California"/>
    <s v="Sacramento County"/>
    <n v="1"/>
    <x v="2"/>
    <x v="1"/>
  </r>
  <r>
    <s v="TX500286"/>
    <s v="Tank Tops"/>
    <n v="6"/>
    <n v="94.1"/>
    <n v="564.59999999999991"/>
    <d v="2025-01-13T00:00:00"/>
    <d v="2025-01-14T00:00:00"/>
    <s v="F"/>
    <x v="0"/>
    <n v="2"/>
    <s v="California"/>
    <s v="Sacramento County"/>
    <n v="1"/>
    <x v="2"/>
    <x v="2"/>
  </r>
  <r>
    <s v="TX500287"/>
    <s v="Sandals"/>
    <n v="1"/>
    <n v="40.700000000000003"/>
    <n v="40.700000000000003"/>
    <d v="2025-01-13T00:00:00"/>
    <d v="2025-01-16T00:00:00"/>
    <s v="F"/>
    <x v="2"/>
    <n v="4"/>
    <s v="California"/>
    <s v="Sacramento County"/>
    <n v="3"/>
    <x v="2"/>
    <x v="2"/>
  </r>
  <r>
    <s v="TX500288"/>
    <s v="Workout Tops"/>
    <n v="2"/>
    <n v="71.400000000000006"/>
    <n v="142.80000000000001"/>
    <d v="2025-01-13T00:00:00"/>
    <d v="2025-01-14T00:00:00"/>
    <s v="M"/>
    <x v="0"/>
    <n v="4"/>
    <s v="California"/>
    <s v="San Bernardino County"/>
    <n v="1"/>
    <x v="2"/>
    <x v="1"/>
  </r>
  <r>
    <s v="TX500289"/>
    <s v="Shorts"/>
    <n v="18"/>
    <n v="15.6"/>
    <n v="280.8"/>
    <d v="2025-01-13T00:00:00"/>
    <d v="2025-01-14T00:00:00"/>
    <s v="M"/>
    <x v="1"/>
    <n v="1"/>
    <s v="California"/>
    <s v="San Diego County"/>
    <n v="1"/>
    <x v="2"/>
    <x v="1"/>
  </r>
  <r>
    <s v="TX500290"/>
    <s v="Bikinis"/>
    <n v="4"/>
    <n v="37.799999999999997"/>
    <n v="151.19999999999999"/>
    <d v="2025-01-13T00:00:00"/>
    <d v="2025-01-14T00:00:00"/>
    <s v="M"/>
    <x v="2"/>
    <n v="5"/>
    <s v="California"/>
    <s v="San Diego County"/>
    <n v="1"/>
    <x v="2"/>
    <x v="1"/>
  </r>
  <r>
    <s v="TX500291"/>
    <s v="Graphic Tees"/>
    <n v="3"/>
    <n v="28.1"/>
    <n v="84.300000000000011"/>
    <d v="2025-01-13T00:00:00"/>
    <d v="2025-01-17T00:00:00"/>
    <s v="M"/>
    <x v="0"/>
    <n v="4"/>
    <s v="California"/>
    <s v="San Diego County"/>
    <n v="4"/>
    <x v="2"/>
    <x v="1"/>
  </r>
  <r>
    <s v="TX500292"/>
    <s v="Hoodies &amp; Sweatshirts"/>
    <n v="6"/>
    <n v="51.4"/>
    <n v="308.39999999999998"/>
    <d v="2025-01-13T00:00:00"/>
    <d v="2025-01-17T00:00:00"/>
    <s v="M"/>
    <x v="0"/>
    <n v="4"/>
    <s v="California"/>
    <s v="San Diego County"/>
    <n v="4"/>
    <x v="2"/>
    <x v="1"/>
  </r>
  <r>
    <s v="TX500293"/>
    <s v="Hoodies &amp; Sweatshirts"/>
    <n v="2"/>
    <n v="97.7"/>
    <n v="195.4"/>
    <d v="2025-01-13T00:00:00"/>
    <d v="2025-01-15T00:00:00"/>
    <s v="F"/>
    <x v="4"/>
    <n v="5"/>
    <s v="California"/>
    <s v="San Francisco"/>
    <n v="2"/>
    <x v="2"/>
    <x v="2"/>
  </r>
  <r>
    <s v="TX500294"/>
    <s v="Tank Tops"/>
    <n v="4"/>
    <n v="63.8"/>
    <n v="255.2"/>
    <d v="2025-01-13T00:00:00"/>
    <d v="2025-01-14T00:00:00"/>
    <s v="M"/>
    <x v="2"/>
    <n v="4"/>
    <s v="California"/>
    <s v="Solano County"/>
    <n v="1"/>
    <x v="2"/>
    <x v="1"/>
  </r>
  <r>
    <s v="TX500295"/>
    <s v="Tote Bags"/>
    <n v="2"/>
    <n v="20.100000000000001"/>
    <n v="40.200000000000003"/>
    <d v="2025-01-13T00:00:00"/>
    <d v="2025-01-15T00:00:00"/>
    <s v="M"/>
    <x v="0"/>
    <n v="5"/>
    <s v="California"/>
    <s v="Tulare County"/>
    <n v="2"/>
    <x v="2"/>
    <x v="1"/>
  </r>
  <r>
    <s v="TX500296"/>
    <s v="Maxi Dresses"/>
    <n v="3"/>
    <n v="50.4"/>
    <n v="151.19999999999999"/>
    <d v="2025-01-13T00:00:00"/>
    <d v="2025-01-16T00:00:00"/>
    <s v="F"/>
    <x v="3"/>
    <n v="4"/>
    <s v="California"/>
    <s v="Ventura County"/>
    <n v="3"/>
    <x v="2"/>
    <x v="2"/>
  </r>
  <r>
    <s v="TX500297"/>
    <s v="Shorts"/>
    <n v="1"/>
    <n v="16.2"/>
    <n v="16.2"/>
    <d v="2025-01-13T00:00:00"/>
    <d v="2025-01-26T00:00:00"/>
    <s v="F"/>
    <x v="1"/>
    <n v="4"/>
    <s v="California"/>
    <s v="Contra Costa County"/>
    <n v="13"/>
    <x v="2"/>
    <x v="2"/>
  </r>
  <r>
    <s v="TX500298"/>
    <s v="Jeans"/>
    <n v="7"/>
    <n v="80.900000000000006"/>
    <n v="566.30000000000007"/>
    <d v="2025-01-13T00:00:00"/>
    <d v="2025-01-15T00:00:00"/>
    <s v="M"/>
    <x v="4"/>
    <n v="2"/>
    <s v="California"/>
    <s v="Fresno County"/>
    <n v="2"/>
    <x v="2"/>
    <x v="1"/>
  </r>
  <r>
    <s v="TX500299"/>
    <s v="Sundresses"/>
    <n v="6"/>
    <n v="95.2"/>
    <n v="571.20000000000005"/>
    <d v="2025-01-13T00:00:00"/>
    <d v="2025-01-15T00:00:00"/>
    <s v="F"/>
    <x v="0"/>
    <n v="5"/>
    <s v="California"/>
    <s v="Fresno County"/>
    <n v="2"/>
    <x v="2"/>
    <x v="2"/>
  </r>
  <r>
    <s v="TX500300"/>
    <s v="Sandals"/>
    <n v="8"/>
    <n v="70.400000000000006"/>
    <n v="563.20000000000005"/>
    <d v="2025-01-13T00:00:00"/>
    <d v="2025-01-14T00:00:00"/>
    <s v="M"/>
    <x v="1"/>
    <n v="3"/>
    <s v="California"/>
    <s v="Los Angeles County"/>
    <n v="1"/>
    <x v="2"/>
    <x v="1"/>
  </r>
  <r>
    <s v="TX500301"/>
    <s v="Shorts"/>
    <n v="5"/>
    <n v="10.7"/>
    <n v="53.5"/>
    <d v="2025-01-13T00:00:00"/>
    <d v="2025-01-17T00:00:00"/>
    <s v="F"/>
    <x v="2"/>
    <n v="4"/>
    <s v="California"/>
    <s v="Los Angeles County"/>
    <n v="4"/>
    <x v="2"/>
    <x v="2"/>
  </r>
  <r>
    <s v="TX500302"/>
    <s v="T-Shirts"/>
    <n v="5"/>
    <n v="19.600000000000001"/>
    <n v="98"/>
    <d v="2025-01-13T00:00:00"/>
    <d v="2025-01-15T00:00:00"/>
    <s v="F"/>
    <x v="0"/>
    <n v="1"/>
    <s v="California"/>
    <s v="Los Angeles County"/>
    <n v="2"/>
    <x v="2"/>
    <x v="2"/>
  </r>
  <r>
    <s v="TX500303"/>
    <s v="T-Shirts"/>
    <n v="11"/>
    <n v="34.700000000000003"/>
    <n v="381.70000000000005"/>
    <d v="2025-01-13T00:00:00"/>
    <d v="2025-01-15T00:00:00"/>
    <s v="F"/>
    <x v="0"/>
    <n v="5"/>
    <s v="California"/>
    <s v="Los Angeles County"/>
    <n v="2"/>
    <x v="2"/>
    <x v="2"/>
  </r>
  <r>
    <s v="TX500304"/>
    <s v="Bikinis"/>
    <n v="9"/>
    <n v="34.1"/>
    <n v="306.90000000000003"/>
    <d v="2025-01-13T00:00:00"/>
    <d v="2025-01-14T00:00:00"/>
    <s v="F"/>
    <x v="4"/>
    <n v="3"/>
    <s v="California"/>
    <s v="Los Angeles County"/>
    <n v="1"/>
    <x v="2"/>
    <x v="2"/>
  </r>
  <r>
    <s v="TX500305"/>
    <s v="Shorts"/>
    <n v="49"/>
    <n v="29.3"/>
    <n v="1435.7"/>
    <d v="2025-01-13T00:00:00"/>
    <d v="2025-01-13T00:00:00"/>
    <s v="M"/>
    <x v="0"/>
    <n v="3"/>
    <s v="California"/>
    <s v="Los Angeles County"/>
    <n v="0"/>
    <x v="2"/>
    <x v="1"/>
  </r>
  <r>
    <s v="TX500306"/>
    <s v="Tank Tops"/>
    <n v="1"/>
    <n v="55.2"/>
    <n v="55.2"/>
    <d v="2025-01-13T00:00:00"/>
    <d v="2025-01-14T00:00:00"/>
    <s v="F"/>
    <x v="0"/>
    <n v="3"/>
    <s v="California"/>
    <s v="Los Angeles County"/>
    <n v="1"/>
    <x v="2"/>
    <x v="2"/>
  </r>
  <r>
    <s v="TX500307"/>
    <s v="Leggings"/>
    <n v="3"/>
    <n v="26"/>
    <n v="78"/>
    <d v="2025-01-13T00:00:00"/>
    <d v="2025-01-16T00:00:00"/>
    <s v="F"/>
    <x v="0"/>
    <n v="5"/>
    <s v="California"/>
    <s v="Los Angeles County"/>
    <n v="3"/>
    <x v="2"/>
    <x v="2"/>
  </r>
  <r>
    <s v="TX500308"/>
    <s v="Baseball Caps"/>
    <n v="2"/>
    <n v="14.2"/>
    <n v="28.4"/>
    <d v="2025-01-13T00:00:00"/>
    <d v="2025-01-18T00:00:00"/>
    <s v="F"/>
    <x v="3"/>
    <n v="4"/>
    <s v="California"/>
    <s v="Modoc County"/>
    <n v="5"/>
    <x v="2"/>
    <x v="2"/>
  </r>
  <r>
    <s v="TX500309"/>
    <s v="T-Shirts"/>
    <n v="9"/>
    <n v="22.7"/>
    <n v="204.29999999999998"/>
    <d v="2025-01-14T00:00:00"/>
    <d v="2025-01-15T00:00:00"/>
    <s v="M"/>
    <x v="1"/>
    <n v="4"/>
    <s v="California"/>
    <s v="Sacramento County"/>
    <n v="1"/>
    <x v="2"/>
    <x v="1"/>
  </r>
  <r>
    <s v="TX500310"/>
    <s v="Shorts"/>
    <n v="15"/>
    <n v="19.8"/>
    <n v="297"/>
    <d v="2025-01-14T00:00:00"/>
    <d v="2025-01-14T00:00:00"/>
    <s v="F"/>
    <x v="0"/>
    <n v="5"/>
    <s v="California"/>
    <s v="Sacramento County"/>
    <n v="0"/>
    <x v="2"/>
    <x v="2"/>
  </r>
  <r>
    <s v="TX500311"/>
    <s v="Shorts"/>
    <n v="3"/>
    <n v="31.7"/>
    <n v="95.1"/>
    <d v="2025-01-14T00:00:00"/>
    <d v="2025-01-15T00:00:00"/>
    <s v="M"/>
    <x v="2"/>
    <n v="4"/>
    <s v="California"/>
    <s v="Sacramento County"/>
    <n v="1"/>
    <x v="2"/>
    <x v="1"/>
  </r>
  <r>
    <s v="TX500312"/>
    <s v="T-Shirts"/>
    <n v="4"/>
    <n v="30.4"/>
    <n v="121.6"/>
    <d v="2025-01-14T00:00:00"/>
    <d v="2025-01-18T00:00:00"/>
    <s v="M"/>
    <x v="0"/>
    <n v="4"/>
    <s v="California"/>
    <s v="Sacramento County"/>
    <n v="4"/>
    <x v="2"/>
    <x v="1"/>
  </r>
  <r>
    <s v="TX500313"/>
    <s v="Shorts"/>
    <n v="4"/>
    <n v="25.6"/>
    <n v="102.4"/>
    <d v="2025-01-14T00:00:00"/>
    <d v="2025-01-15T00:00:00"/>
    <s v="M"/>
    <x v="3"/>
    <n v="4"/>
    <s v="California"/>
    <s v="San Diego County"/>
    <n v="1"/>
    <x v="2"/>
    <x v="1"/>
  </r>
  <r>
    <s v="TX500314"/>
    <s v="Sandals"/>
    <n v="2"/>
    <n v="34.9"/>
    <n v="69.8"/>
    <d v="2025-01-14T00:00:00"/>
    <d v="2025-01-15T00:00:00"/>
    <s v="F"/>
    <x v="2"/>
    <n v="4"/>
    <s v="California"/>
    <s v="San Mateo County"/>
    <n v="1"/>
    <x v="2"/>
    <x v="2"/>
  </r>
  <r>
    <s v="TX500315"/>
    <s v="Hoodies &amp; Sweatshirts"/>
    <n v="6"/>
    <n v="42.7"/>
    <n v="256.20000000000005"/>
    <d v="2025-01-14T00:00:00"/>
    <d v="2025-01-17T00:00:00"/>
    <s v="M"/>
    <x v="2"/>
    <n v="3"/>
    <s v="California"/>
    <s v="Santa Clara County"/>
    <n v="3"/>
    <x v="2"/>
    <x v="1"/>
  </r>
  <r>
    <s v="TX500316"/>
    <s v="T-Shirts"/>
    <n v="1"/>
    <n v="23.9"/>
    <n v="23.9"/>
    <d v="2025-01-14T00:00:00"/>
    <d v="2025-01-16T00:00:00"/>
    <s v="F"/>
    <x v="3"/>
    <n v="4"/>
    <s v="California"/>
    <s v="Santa Clara County"/>
    <n v="2"/>
    <x v="2"/>
    <x v="2"/>
  </r>
  <r>
    <s v="TX500317"/>
    <s v="Jeans"/>
    <n v="1"/>
    <n v="124.3"/>
    <n v="124.3"/>
    <d v="2025-01-14T00:00:00"/>
    <d v="2025-01-15T00:00:00"/>
    <s v=""/>
    <x v="2"/>
    <n v="3"/>
    <s v="California"/>
    <s v="Alameda County"/>
    <n v="1"/>
    <x v="2"/>
    <x v="0"/>
  </r>
  <r>
    <s v="TX500318"/>
    <s v="T-Shirts"/>
    <n v="6"/>
    <n v="35.9"/>
    <n v="215.39999999999998"/>
    <d v="2025-01-14T00:00:00"/>
    <d v="2025-01-15T00:00:00"/>
    <s v="F"/>
    <x v="0"/>
    <n v="3"/>
    <s v="California"/>
    <s v="Contra Costa County"/>
    <n v="1"/>
    <x v="2"/>
    <x v="2"/>
  </r>
  <r>
    <s v="TX500319"/>
    <s v="Sneakers"/>
    <n v="2"/>
    <n v="69.099999999999994"/>
    <n v="138.19999999999999"/>
    <d v="2025-01-14T00:00:00"/>
    <d v="2025-01-17T00:00:00"/>
    <s v="F"/>
    <x v="0"/>
    <n v="5"/>
    <s v="California"/>
    <s v="Kern County"/>
    <n v="3"/>
    <x v="2"/>
    <x v="2"/>
  </r>
  <r>
    <s v="TX500320"/>
    <s v="Hoodies &amp; Sweatshirts"/>
    <n v="1"/>
    <n v="58.4"/>
    <n v="58.4"/>
    <d v="2025-01-14T00:00:00"/>
    <d v="2025-01-18T00:00:00"/>
    <s v="M"/>
    <x v="0"/>
    <n v="4"/>
    <s v="California"/>
    <s v="Kern County"/>
    <n v="4"/>
    <x v="2"/>
    <x v="1"/>
  </r>
  <r>
    <s v="TX500321"/>
    <s v="Sandals"/>
    <n v="1"/>
    <n v="65.2"/>
    <n v="65.2"/>
    <d v="2025-01-14T00:00:00"/>
    <d v="2025-01-16T00:00:00"/>
    <s v="O"/>
    <x v="4"/>
    <n v="2"/>
    <s v="California"/>
    <s v="Los Angeles County"/>
    <n v="2"/>
    <x v="2"/>
    <x v="3"/>
  </r>
  <r>
    <s v="TX500322"/>
    <s v="T-Shirts"/>
    <n v="17"/>
    <n v="32.700000000000003"/>
    <n v="555.90000000000009"/>
    <d v="2025-01-14T00:00:00"/>
    <d v="2025-01-21T00:00:00"/>
    <s v=""/>
    <x v="4"/>
    <n v="4"/>
    <s v="California"/>
    <s v="Los Angeles County"/>
    <n v="7"/>
    <x v="2"/>
    <x v="0"/>
  </r>
  <r>
    <s v="TX500323"/>
    <s v="Bikinis"/>
    <n v="7"/>
    <n v="24.4"/>
    <n v="170.79999999999998"/>
    <d v="2025-01-14T00:00:00"/>
    <d v="2025-01-15T00:00:00"/>
    <s v="F"/>
    <x v="0"/>
    <n v="4"/>
    <s v="California"/>
    <s v="Los Angeles County"/>
    <n v="1"/>
    <x v="2"/>
    <x v="2"/>
  </r>
  <r>
    <s v="TX500324"/>
    <s v="Baseball Caps"/>
    <n v="2"/>
    <n v="50.4"/>
    <n v="100.8"/>
    <d v="2025-01-14T00:00:00"/>
    <d v="2025-01-20T00:00:00"/>
    <s v="M"/>
    <x v="0"/>
    <n v="3"/>
    <s v="California"/>
    <s v="Los Angeles County"/>
    <n v="6"/>
    <x v="2"/>
    <x v="1"/>
  </r>
  <r>
    <s v="TX500325"/>
    <s v="Tank Tops"/>
    <n v="2"/>
    <n v="100"/>
    <n v="200"/>
    <d v="2025-01-14T00:00:00"/>
    <d v="2025-01-15T00:00:00"/>
    <s v="F"/>
    <x v="0"/>
    <n v="4"/>
    <s v="California"/>
    <s v="Los Angeles County"/>
    <n v="1"/>
    <x v="2"/>
    <x v="2"/>
  </r>
  <r>
    <s v="TX500326"/>
    <s v="Bikinis"/>
    <n v="3"/>
    <n v="43"/>
    <n v="129"/>
    <d v="2025-01-15T00:00:00"/>
    <d v="2025-01-15T00:00:00"/>
    <s v="F"/>
    <x v="2"/>
    <n v="3"/>
    <s v="California"/>
    <s v="Los Angeles County"/>
    <n v="0"/>
    <x v="2"/>
    <x v="2"/>
  </r>
  <r>
    <s v="TX500327"/>
    <s v="Tank Tops"/>
    <n v="5"/>
    <n v="64.400000000000006"/>
    <n v="322"/>
    <d v="2025-01-15T00:00:00"/>
    <d v="2025-01-17T00:00:00"/>
    <s v="M"/>
    <x v="2"/>
    <n v="3"/>
    <s v="California"/>
    <s v="Los Angeles County"/>
    <n v="2"/>
    <x v="2"/>
    <x v="1"/>
  </r>
  <r>
    <s v="TX500328"/>
    <s v="Leggings"/>
    <n v="2"/>
    <n v="57.4"/>
    <n v="114.8"/>
    <d v="2025-01-15T00:00:00"/>
    <d v="2025-01-16T00:00:00"/>
    <s v="M"/>
    <x v="2"/>
    <n v="3"/>
    <s v="California"/>
    <s v="Los Angeles County"/>
    <n v="1"/>
    <x v="2"/>
    <x v="1"/>
  </r>
  <r>
    <s v="TX500329"/>
    <s v="Sneakers"/>
    <n v="3"/>
    <n v="55.1"/>
    <n v="165.3"/>
    <d v="2025-01-15T00:00:00"/>
    <d v="2025-01-18T00:00:00"/>
    <s v="F"/>
    <x v="1"/>
    <n v="4"/>
    <s v="California"/>
    <s v="Los Angeles County"/>
    <n v="3"/>
    <x v="2"/>
    <x v="2"/>
  </r>
  <r>
    <s v="TX500330"/>
    <s v="Hoodies &amp; Sweatshirts"/>
    <n v="4"/>
    <n v="45.4"/>
    <n v="181.6"/>
    <d v="2025-01-15T00:00:00"/>
    <d v="2025-01-16T00:00:00"/>
    <s v="F"/>
    <x v="1"/>
    <n v="4"/>
    <s v="California"/>
    <s v="Los Angeles County"/>
    <n v="1"/>
    <x v="2"/>
    <x v="2"/>
  </r>
  <r>
    <s v="TX500331"/>
    <s v="Workout Tops"/>
    <n v="3"/>
    <n v="93.3"/>
    <n v="279.89999999999998"/>
    <d v="2025-01-15T00:00:00"/>
    <d v="2025-01-16T00:00:00"/>
    <s v="F"/>
    <x v="0"/>
    <n v="4"/>
    <s v="California"/>
    <s v="Mariposa County"/>
    <n v="1"/>
    <x v="2"/>
    <x v="2"/>
  </r>
  <r>
    <s v="TX500332"/>
    <s v="Sneakers"/>
    <n v="19"/>
    <n v="158.19999999999999"/>
    <n v="3005.7999999999997"/>
    <d v="2025-01-15T00:00:00"/>
    <d v="2025-01-16T00:00:00"/>
    <s v="F"/>
    <x v="1"/>
    <n v="5"/>
    <s v="California"/>
    <s v="Napa County"/>
    <n v="1"/>
    <x v="2"/>
    <x v="2"/>
  </r>
  <r>
    <s v="TX500333"/>
    <s v="Sneakers"/>
    <n v="2"/>
    <n v="74.900000000000006"/>
    <n v="149.80000000000001"/>
    <d v="2025-01-15T00:00:00"/>
    <d v="2025-01-17T00:00:00"/>
    <s v="M"/>
    <x v="3"/>
    <n v="4"/>
    <s v="California"/>
    <s v="Sacramento County"/>
    <n v="2"/>
    <x v="2"/>
    <x v="1"/>
  </r>
  <r>
    <s v="TX500334"/>
    <s v="T-Shirts"/>
    <n v="7"/>
    <n v="26"/>
    <n v="182"/>
    <d v="2025-01-15T00:00:00"/>
    <d v="2025-01-18T00:00:00"/>
    <s v="F"/>
    <x v="1"/>
    <n v="4"/>
    <s v="California"/>
    <s v="San Diego County"/>
    <n v="3"/>
    <x v="2"/>
    <x v="2"/>
  </r>
  <r>
    <s v="TX500335"/>
    <s v="Sundresses"/>
    <n v="6"/>
    <n v="37.5"/>
    <n v="225"/>
    <d v="2025-01-15T00:00:00"/>
    <d v="2025-01-16T00:00:00"/>
    <s v="F"/>
    <x v="0"/>
    <n v="3"/>
    <s v="California"/>
    <s v="San Diego County"/>
    <n v="1"/>
    <x v="2"/>
    <x v="2"/>
  </r>
  <r>
    <s v="TX500336"/>
    <s v="Jeans"/>
    <n v="2"/>
    <n v="75.8"/>
    <n v="151.6"/>
    <d v="2025-01-15T00:00:00"/>
    <d v="2025-01-21T00:00:00"/>
    <s v="M"/>
    <x v="0"/>
    <n v="4"/>
    <s v="California"/>
    <s v="San Diego County"/>
    <n v="6"/>
    <x v="2"/>
    <x v="1"/>
  </r>
  <r>
    <s v="TX500337"/>
    <s v="Hoodies &amp; Sweatshirts"/>
    <n v="1"/>
    <n v="48.5"/>
    <n v="48.5"/>
    <d v="2025-01-15T00:00:00"/>
    <d v="2025-01-27T00:00:00"/>
    <s v=""/>
    <x v="4"/>
    <n v="5"/>
    <s v="California"/>
    <s v="San Diego County"/>
    <n v="12"/>
    <x v="2"/>
    <x v="0"/>
  </r>
  <r>
    <s v="TX500338"/>
    <s v="Jeans"/>
    <n v="3"/>
    <n v="98.9"/>
    <n v="296.70000000000005"/>
    <d v="2025-01-15T00:00:00"/>
    <d v="2025-01-17T00:00:00"/>
    <s v="F"/>
    <x v="4"/>
    <n v="3"/>
    <s v="California"/>
    <s v="San Diego County"/>
    <n v="2"/>
    <x v="2"/>
    <x v="2"/>
  </r>
  <r>
    <s v="TX500339"/>
    <s v="Tank Tops"/>
    <n v="12"/>
    <n v="50.9"/>
    <n v="610.79999999999995"/>
    <d v="2025-01-15T00:00:00"/>
    <d v="2025-01-15T00:00:00"/>
    <s v="M"/>
    <x v="4"/>
    <n v="4"/>
    <s v="California"/>
    <s v="San Diego County"/>
    <n v="0"/>
    <x v="2"/>
    <x v="1"/>
  </r>
  <r>
    <s v="TX500340"/>
    <s v="Casual Dresses"/>
    <n v="6"/>
    <n v="84.7"/>
    <n v="508.20000000000005"/>
    <d v="2025-01-15T00:00:00"/>
    <d v="2025-01-15T00:00:00"/>
    <s v="F"/>
    <x v="2"/>
    <n v="4"/>
    <s v="California"/>
    <s v="San Diego County"/>
    <n v="0"/>
    <x v="2"/>
    <x v="2"/>
  </r>
  <r>
    <s v="TX500341"/>
    <s v="T-Shirts"/>
    <n v="1"/>
    <n v="20.7"/>
    <n v="20.7"/>
    <d v="2025-01-15T00:00:00"/>
    <d v="2025-01-17T00:00:00"/>
    <s v="F"/>
    <x v="3"/>
    <n v="5"/>
    <s v="California"/>
    <s v="San Diego County"/>
    <n v="2"/>
    <x v="2"/>
    <x v="2"/>
  </r>
  <r>
    <s v="TX500342"/>
    <s v="Casual Dresses"/>
    <n v="9"/>
    <n v="57.8"/>
    <n v="520.19999999999993"/>
    <d v="2025-01-15T00:00:00"/>
    <d v="2025-01-26T00:00:00"/>
    <s v="M"/>
    <x v="0"/>
    <n v="2"/>
    <s v="California"/>
    <s v="San Francisco"/>
    <n v="11"/>
    <x v="2"/>
    <x v="1"/>
  </r>
  <r>
    <s v="TX500343"/>
    <s v="Sneakers"/>
    <n v="2"/>
    <n v="106.9"/>
    <n v="213.8"/>
    <d v="2025-01-15T00:00:00"/>
    <d v="2025-01-17T00:00:00"/>
    <s v="F"/>
    <x v="0"/>
    <n v="5"/>
    <s v="California"/>
    <s v="San Luis Obispo County"/>
    <n v="2"/>
    <x v="2"/>
    <x v="2"/>
  </r>
  <r>
    <s v="TX500344"/>
    <s v="Workout Tops"/>
    <n v="5"/>
    <n v="45.2"/>
    <n v="226"/>
    <d v="2025-01-15T00:00:00"/>
    <d v="2025-01-19T00:00:00"/>
    <s v="F"/>
    <x v="1"/>
    <n v="4"/>
    <s v="California"/>
    <s v="Alameda County"/>
    <n v="4"/>
    <x v="2"/>
    <x v="2"/>
  </r>
  <r>
    <s v="TX500345"/>
    <s v="T-Shirts"/>
    <n v="13"/>
    <n v="34.6"/>
    <n v="449.8"/>
    <d v="2025-01-15T00:00:00"/>
    <d v="2025-01-15T00:00:00"/>
    <s v="F"/>
    <x v="1"/>
    <n v="3"/>
    <s v="California"/>
    <s v="Alameda County"/>
    <n v="0"/>
    <x v="2"/>
    <x v="2"/>
  </r>
  <r>
    <s v="TX500346"/>
    <s v="Crop Tops"/>
    <n v="1"/>
    <n v="43.8"/>
    <n v="43.8"/>
    <d v="2025-01-15T00:00:00"/>
    <d v="2025-01-17T00:00:00"/>
    <s v=""/>
    <x v="0"/>
    <n v="5"/>
    <s v="California"/>
    <s v="Alameda County"/>
    <n v="2"/>
    <x v="2"/>
    <x v="0"/>
  </r>
  <r>
    <s v="TX500347"/>
    <s v="Crop Tops"/>
    <n v="1"/>
    <n v="20.399999999999999"/>
    <n v="20.399999999999999"/>
    <d v="2025-01-15T00:00:00"/>
    <d v="2025-01-17T00:00:00"/>
    <s v="M"/>
    <x v="4"/>
    <n v="3"/>
    <s v="California"/>
    <s v="Alameda County"/>
    <n v="2"/>
    <x v="2"/>
    <x v="1"/>
  </r>
  <r>
    <s v="TX500348"/>
    <s v="Tank Tops"/>
    <n v="1"/>
    <n v="36.700000000000003"/>
    <n v="36.700000000000003"/>
    <d v="2025-01-15T00:00:00"/>
    <d v="2025-01-16T00:00:00"/>
    <s v="M"/>
    <x v="0"/>
    <n v="3"/>
    <s v="California"/>
    <s v="Contra Costa County"/>
    <n v="1"/>
    <x v="2"/>
    <x v="1"/>
  </r>
  <r>
    <s v="TX500349"/>
    <s v="T-Shirts"/>
    <n v="3"/>
    <n v="27.2"/>
    <n v="81.599999999999994"/>
    <d v="2025-01-15T00:00:00"/>
    <d v="2025-01-19T00:00:00"/>
    <s v="M"/>
    <x v="0"/>
    <n v="5"/>
    <s v="California"/>
    <s v="Contra Costa County"/>
    <n v="4"/>
    <x v="2"/>
    <x v="1"/>
  </r>
  <r>
    <s v="TX500350"/>
    <s v="Jeans"/>
    <n v="1"/>
    <n v="58.2"/>
    <n v="58.2"/>
    <d v="2025-01-15T00:00:00"/>
    <d v="2025-01-16T00:00:00"/>
    <s v="F"/>
    <x v="0"/>
    <n v="5"/>
    <s v="California"/>
    <s v="El Dorado County"/>
    <n v="1"/>
    <x v="2"/>
    <x v="2"/>
  </r>
  <r>
    <s v="TX500351"/>
    <s v="T-Shirts"/>
    <n v="3"/>
    <n v="25.6"/>
    <n v="76.800000000000011"/>
    <d v="2025-01-15T00:00:00"/>
    <d v="2025-01-16T00:00:00"/>
    <s v="M"/>
    <x v="4"/>
    <n v="2"/>
    <s v="California"/>
    <s v="Fresno County"/>
    <n v="1"/>
    <x v="2"/>
    <x v="1"/>
  </r>
  <r>
    <s v="TX500352"/>
    <s v="Bikinis"/>
    <n v="1"/>
    <n v="21.2"/>
    <n v="21.2"/>
    <d v="2025-01-15T00:00:00"/>
    <d v="2025-01-15T00:00:00"/>
    <s v="F"/>
    <x v="1"/>
    <n v="5"/>
    <s v="California"/>
    <s v="Los Angeles County"/>
    <n v="0"/>
    <x v="2"/>
    <x v="2"/>
  </r>
  <r>
    <s v="TX500353"/>
    <s v="Jeans"/>
    <n v="2"/>
    <n v="48.2"/>
    <n v="96.4"/>
    <d v="2025-01-15T00:00:00"/>
    <d v="2025-01-23T00:00:00"/>
    <s v="F"/>
    <x v="0"/>
    <n v="5"/>
    <s v="California"/>
    <s v="Los Angeles County"/>
    <n v="8"/>
    <x v="2"/>
    <x v="2"/>
  </r>
  <r>
    <s v="TX500354"/>
    <s v="Tank Tops"/>
    <n v="4"/>
    <n v="83.4"/>
    <n v="333.6"/>
    <d v="2025-01-16T00:00:00"/>
    <d v="2025-01-17T00:00:00"/>
    <s v="M"/>
    <x v="0"/>
    <n v="4"/>
    <s v="California"/>
    <s v="Los Angeles County"/>
    <n v="1"/>
    <x v="2"/>
    <x v="1"/>
  </r>
  <r>
    <s v="TX500355"/>
    <s v="Sundresses"/>
    <n v="3"/>
    <n v="45.3"/>
    <n v="135.89999999999998"/>
    <d v="2025-01-16T00:00:00"/>
    <d v="2025-01-22T00:00:00"/>
    <s v="M"/>
    <x v="2"/>
    <n v="3"/>
    <s v="California"/>
    <s v="Los Angeles County"/>
    <n v="6"/>
    <x v="2"/>
    <x v="1"/>
  </r>
  <r>
    <s v="TX500356"/>
    <s v="Pajama Sets"/>
    <n v="1"/>
    <n v="42"/>
    <n v="42"/>
    <d v="2025-01-16T00:00:00"/>
    <d v="2025-01-17T00:00:00"/>
    <s v=""/>
    <x v="0"/>
    <n v="4"/>
    <s v="California"/>
    <s v="Los Angeles County"/>
    <n v="1"/>
    <x v="2"/>
    <x v="0"/>
  </r>
  <r>
    <s v="TX500357"/>
    <s v="Shorts"/>
    <n v="9"/>
    <n v="21.8"/>
    <n v="196.20000000000002"/>
    <d v="2025-01-16T00:00:00"/>
    <d v="2025-01-18T00:00:00"/>
    <s v="F"/>
    <x v="1"/>
    <n v="4"/>
    <s v="California"/>
    <s v="Los Angeles County"/>
    <n v="2"/>
    <x v="2"/>
    <x v="2"/>
  </r>
  <r>
    <s v="TX500358"/>
    <s v="T-Shirts"/>
    <n v="18"/>
    <n v="21.4"/>
    <n v="385.2"/>
    <d v="2025-01-16T00:00:00"/>
    <d v="2025-01-19T00:00:00"/>
    <s v="F"/>
    <x v="1"/>
    <n v="5"/>
    <s v="California"/>
    <s v="Los Angeles County"/>
    <n v="3"/>
    <x v="2"/>
    <x v="2"/>
  </r>
  <r>
    <s v="TX500359"/>
    <s v="Bikinis"/>
    <n v="3"/>
    <n v="45"/>
    <n v="135"/>
    <d v="2025-01-16T00:00:00"/>
    <d v="2025-01-16T00:00:00"/>
    <s v="F"/>
    <x v="1"/>
    <n v="5"/>
    <s v="California"/>
    <s v="Los Angeles County"/>
    <n v="0"/>
    <x v="2"/>
    <x v="2"/>
  </r>
  <r>
    <s v="TX500360"/>
    <s v="Baseball Caps"/>
    <n v="1"/>
    <n v="39.6"/>
    <n v="39.6"/>
    <d v="2025-01-16T00:00:00"/>
    <d v="2025-01-17T00:00:00"/>
    <s v="M"/>
    <x v="0"/>
    <n v="5"/>
    <s v="California"/>
    <s v="Los Angeles County"/>
    <n v="1"/>
    <x v="2"/>
    <x v="1"/>
  </r>
  <r>
    <s v="TX500361"/>
    <s v="Casual Dresses"/>
    <n v="3"/>
    <n v="79.8"/>
    <n v="239.39999999999998"/>
    <d v="2025-01-16T00:00:00"/>
    <d v="2025-01-22T00:00:00"/>
    <s v="F"/>
    <x v="1"/>
    <n v="2"/>
    <s v="California"/>
    <s v="Los Angeles County"/>
    <n v="6"/>
    <x v="2"/>
    <x v="2"/>
  </r>
  <r>
    <s v="TX500362"/>
    <s v="Tank Tops"/>
    <n v="4"/>
    <n v="63.6"/>
    <n v="254.4"/>
    <d v="2025-01-16T00:00:00"/>
    <d v="2025-01-17T00:00:00"/>
    <s v="O"/>
    <x v="0"/>
    <n v="5"/>
    <s v="California"/>
    <s v="Merced County"/>
    <n v="1"/>
    <x v="2"/>
    <x v="3"/>
  </r>
  <r>
    <s v="TX500363"/>
    <s v="Hoodies &amp; Sweatshirts"/>
    <n v="10"/>
    <n v="92.7"/>
    <n v="927"/>
    <d v="2025-01-16T00:00:00"/>
    <d v="2025-01-20T00:00:00"/>
    <s v="M"/>
    <x v="1"/>
    <n v="5"/>
    <s v="California"/>
    <s v="Sacramento County"/>
    <n v="4"/>
    <x v="2"/>
    <x v="1"/>
  </r>
  <r>
    <s v="TX500364"/>
    <s v="Tank Tops"/>
    <n v="4"/>
    <n v="48.4"/>
    <n v="193.6"/>
    <d v="2025-01-16T00:00:00"/>
    <d v="2025-01-18T00:00:00"/>
    <s v="F"/>
    <x v="1"/>
    <n v="5"/>
    <s v="California"/>
    <s v="Sacramento County"/>
    <n v="2"/>
    <x v="2"/>
    <x v="2"/>
  </r>
  <r>
    <s v="TX500365"/>
    <s v="Sundresses"/>
    <n v="8"/>
    <n v="36"/>
    <n v="288"/>
    <d v="2025-01-16T00:00:00"/>
    <d v="2025-01-19T00:00:00"/>
    <s v="M"/>
    <x v="2"/>
    <n v="5"/>
    <s v="California"/>
    <s v="San Diego County"/>
    <n v="3"/>
    <x v="2"/>
    <x v="1"/>
  </r>
  <r>
    <s v="TX500366"/>
    <s v="T-Shirts"/>
    <n v="12"/>
    <n v="27"/>
    <n v="324"/>
    <d v="2025-01-16T00:00:00"/>
    <d v="2025-01-18T00:00:00"/>
    <s v="F"/>
    <x v="2"/>
    <n v="3"/>
    <s v="California"/>
    <s v="San Diego County"/>
    <n v="2"/>
    <x v="2"/>
    <x v="2"/>
  </r>
  <r>
    <s v="TX500367"/>
    <s v="Sneakers"/>
    <n v="8"/>
    <n v="53.9"/>
    <n v="431.2"/>
    <d v="2025-01-16T00:00:00"/>
    <d v="2025-01-17T00:00:00"/>
    <s v=""/>
    <x v="0"/>
    <n v="4"/>
    <s v="California"/>
    <s v="San Diego County"/>
    <n v="1"/>
    <x v="2"/>
    <x v="0"/>
  </r>
  <r>
    <s v="TX500368"/>
    <s v="Workout Tops"/>
    <n v="9"/>
    <n v="48.4"/>
    <n v="435.59999999999997"/>
    <d v="2025-01-16T00:00:00"/>
    <d v="2025-01-17T00:00:00"/>
    <s v="F"/>
    <x v="1"/>
    <n v="4"/>
    <s v="California"/>
    <s v="San Mateo County"/>
    <n v="1"/>
    <x v="2"/>
    <x v="2"/>
  </r>
  <r>
    <s v="TX500369"/>
    <s v="Pajama Sets"/>
    <n v="2"/>
    <n v="49.9"/>
    <n v="99.8"/>
    <d v="2025-01-16T00:00:00"/>
    <d v="2025-01-21T00:00:00"/>
    <s v="M"/>
    <x v="4"/>
    <n v="2"/>
    <s v="California"/>
    <s v="Santa Barbara County"/>
    <n v="5"/>
    <x v="2"/>
    <x v="1"/>
  </r>
  <r>
    <s v="TX500370"/>
    <s v="Tank Tops"/>
    <n v="3"/>
    <n v="51.7"/>
    <n v="155.10000000000002"/>
    <d v="2025-01-16T00:00:00"/>
    <d v="2025-01-17T00:00:00"/>
    <s v="F"/>
    <x v="0"/>
    <n v="5"/>
    <s v="California"/>
    <s v="Santa Clara County"/>
    <n v="1"/>
    <x v="2"/>
    <x v="2"/>
  </r>
  <r>
    <s v="TX500371"/>
    <s v="T-Shirts"/>
    <n v="3"/>
    <n v="41.8"/>
    <n v="125.39999999999999"/>
    <d v="2025-01-16T00:00:00"/>
    <d v="2025-01-18T00:00:00"/>
    <s v="F"/>
    <x v="2"/>
    <n v="4"/>
    <s v="California"/>
    <s v="Sonoma County"/>
    <n v="2"/>
    <x v="2"/>
    <x v="2"/>
  </r>
  <r>
    <s v="TX500372"/>
    <s v="Graphic Tees"/>
    <n v="4"/>
    <n v="36.200000000000003"/>
    <n v="144.80000000000001"/>
    <d v="2025-01-17T00:00:00"/>
    <d v="2025-01-18T00:00:00"/>
    <s v="M"/>
    <x v="2"/>
    <n v="5"/>
    <s v="California"/>
    <s v="Alameda County"/>
    <n v="1"/>
    <x v="2"/>
    <x v="1"/>
  </r>
  <r>
    <s v="TX500373"/>
    <s v="Sneakers"/>
    <n v="1"/>
    <n v="150.9"/>
    <n v="150.9"/>
    <d v="2025-01-17T00:00:00"/>
    <d v="2025-01-27T00:00:00"/>
    <s v="M"/>
    <x v="0"/>
    <n v="4"/>
    <s v="California"/>
    <s v="Contra Costa County"/>
    <n v="10"/>
    <x v="2"/>
    <x v="1"/>
  </r>
  <r>
    <s v="TX500374"/>
    <s v="Leggings"/>
    <n v="4"/>
    <n v="77.599999999999994"/>
    <n v="310.39999999999998"/>
    <d v="2025-01-17T00:00:00"/>
    <d v="2025-01-18T00:00:00"/>
    <s v=""/>
    <x v="2"/>
    <n v="4"/>
    <s v="California"/>
    <s v="Los Angeles County"/>
    <n v="1"/>
    <x v="2"/>
    <x v="0"/>
  </r>
  <r>
    <s v="TX500375"/>
    <s v="Tote Bags"/>
    <n v="5"/>
    <n v="65.5"/>
    <n v="327.5"/>
    <d v="2025-01-17T00:00:00"/>
    <d v="2025-01-17T00:00:00"/>
    <s v="M"/>
    <x v="1"/>
    <n v="4"/>
    <s v="California"/>
    <s v="Los Angeles County"/>
    <n v="0"/>
    <x v="2"/>
    <x v="1"/>
  </r>
  <r>
    <s v="TX500376"/>
    <s v="Jeans"/>
    <n v="3"/>
    <n v="90.1"/>
    <n v="270.29999999999995"/>
    <d v="2025-01-17T00:00:00"/>
    <d v="2025-01-19T00:00:00"/>
    <s v="F"/>
    <x v="0"/>
    <n v="4"/>
    <s v="California"/>
    <s v="Los Angeles County"/>
    <n v="2"/>
    <x v="2"/>
    <x v="2"/>
  </r>
  <r>
    <s v="TX500377"/>
    <s v="Tank Tops"/>
    <n v="2"/>
    <n v="108.3"/>
    <n v="216.6"/>
    <d v="2025-01-17T00:00:00"/>
    <d v="2025-01-20T00:00:00"/>
    <s v="O"/>
    <x v="4"/>
    <n v="4"/>
    <s v="California"/>
    <s v="Los Angeles County"/>
    <n v="3"/>
    <x v="2"/>
    <x v="3"/>
  </r>
  <r>
    <s v="TX500378"/>
    <s v="Sandals"/>
    <n v="3"/>
    <n v="59.9"/>
    <n v="179.7"/>
    <d v="2025-01-17T00:00:00"/>
    <d v="2025-01-21T00:00:00"/>
    <s v="F"/>
    <x v="0"/>
    <n v="4"/>
    <s v="California"/>
    <s v="Los Angeles County"/>
    <n v="4"/>
    <x v="2"/>
    <x v="2"/>
  </r>
  <r>
    <s v="TX500379"/>
    <s v="Sneakers"/>
    <n v="17"/>
    <n v="139"/>
    <n v="2363"/>
    <d v="2025-01-17T00:00:00"/>
    <d v="2025-01-19T00:00:00"/>
    <s v="F"/>
    <x v="1"/>
    <n v="2"/>
    <s v="California"/>
    <s v="Los Angeles County"/>
    <n v="2"/>
    <x v="2"/>
    <x v="2"/>
  </r>
  <r>
    <s v="TX500380"/>
    <s v="Jeans"/>
    <n v="3"/>
    <n v="87.3"/>
    <n v="261.89999999999998"/>
    <d v="2025-01-17T00:00:00"/>
    <d v="2025-01-18T00:00:00"/>
    <s v="F"/>
    <x v="0"/>
    <n v="4"/>
    <s v="California"/>
    <s v="Los Angeles County"/>
    <n v="1"/>
    <x v="2"/>
    <x v="2"/>
  </r>
  <r>
    <s v="TX500381"/>
    <s v="Maxi Dresses"/>
    <n v="4"/>
    <n v="42.3"/>
    <n v="169.2"/>
    <d v="2025-01-17T00:00:00"/>
    <d v="2025-01-17T00:00:00"/>
    <s v="M"/>
    <x v="0"/>
    <n v="4"/>
    <s v="California"/>
    <s v="Los Angeles County"/>
    <n v="0"/>
    <x v="2"/>
    <x v="1"/>
  </r>
  <r>
    <s v="TX500382"/>
    <s v="Baseball Caps"/>
    <n v="8"/>
    <n v="103.6"/>
    <n v="828.8"/>
    <d v="2025-01-17T00:00:00"/>
    <d v="2025-01-18T00:00:00"/>
    <s v="O"/>
    <x v="0"/>
    <n v="3"/>
    <s v="California"/>
    <s v="Los Angeles County"/>
    <n v="1"/>
    <x v="2"/>
    <x v="3"/>
  </r>
  <r>
    <s v="TX500383"/>
    <s v="Jeans"/>
    <n v="2"/>
    <n v="90.9"/>
    <n v="181.8"/>
    <d v="2025-01-17T00:00:00"/>
    <d v="2025-01-18T00:00:00"/>
    <s v="M"/>
    <x v="1"/>
    <n v="4"/>
    <s v="California"/>
    <s v="Sacramento County"/>
    <n v="1"/>
    <x v="2"/>
    <x v="1"/>
  </r>
  <r>
    <s v="TX500384"/>
    <s v="Sundresses"/>
    <n v="16"/>
    <n v="100.9"/>
    <n v="1614.4"/>
    <d v="2025-01-17T00:00:00"/>
    <d v="2025-01-18T00:00:00"/>
    <s v="F"/>
    <x v="1"/>
    <n v="4"/>
    <s v="California"/>
    <s v="Sacramento County"/>
    <n v="1"/>
    <x v="2"/>
    <x v="2"/>
  </r>
  <r>
    <s v="TX500385"/>
    <s v="Graphic Tees"/>
    <n v="5"/>
    <n v="36"/>
    <n v="180"/>
    <d v="2025-01-17T00:00:00"/>
    <d v="2025-01-19T00:00:00"/>
    <s v="F"/>
    <x v="1"/>
    <n v="4"/>
    <s v="California"/>
    <s v="San Bernardino County"/>
    <n v="2"/>
    <x v="2"/>
    <x v="2"/>
  </r>
  <r>
    <s v="TX500386"/>
    <s v="Jeans"/>
    <n v="6"/>
    <n v="83.3"/>
    <n v="499.79999999999995"/>
    <d v="2025-01-17T00:00:00"/>
    <d v="2025-01-20T00:00:00"/>
    <s v=""/>
    <x v="2"/>
    <n v="4"/>
    <s v="California"/>
    <s v="San Bernardino County"/>
    <n v="3"/>
    <x v="2"/>
    <x v="0"/>
  </r>
  <r>
    <s v="TX500387"/>
    <s v="Sneakers"/>
    <n v="17"/>
    <n v="60.3"/>
    <n v="1025.0999999999999"/>
    <d v="2025-01-17T00:00:00"/>
    <d v="2025-01-18T00:00:00"/>
    <s v="M"/>
    <x v="2"/>
    <n v="3"/>
    <s v="California"/>
    <s v="San Bernardino County"/>
    <n v="1"/>
    <x v="2"/>
    <x v="1"/>
  </r>
  <r>
    <s v="TX500388"/>
    <s v="Sneakers"/>
    <n v="6"/>
    <n v="120.3"/>
    <n v="721.8"/>
    <d v="2025-01-17T00:00:00"/>
    <d v="2025-01-18T00:00:00"/>
    <s v="M"/>
    <x v="2"/>
    <n v="4"/>
    <s v="California"/>
    <s v="San Diego County"/>
    <n v="1"/>
    <x v="2"/>
    <x v="1"/>
  </r>
  <r>
    <s v="TX500389"/>
    <s v="Graphic Tees"/>
    <n v="10"/>
    <n v="34"/>
    <n v="340"/>
    <d v="2025-01-17T00:00:00"/>
    <d v="2025-01-21T00:00:00"/>
    <s v="F"/>
    <x v="2"/>
    <n v="4"/>
    <s v="California"/>
    <s v="San Diego County"/>
    <n v="4"/>
    <x v="2"/>
    <x v="2"/>
  </r>
  <r>
    <s v="TX500390"/>
    <s v="Bikinis"/>
    <n v="5"/>
    <n v="42.6"/>
    <n v="213"/>
    <d v="2025-01-17T00:00:00"/>
    <d v="2025-01-20T00:00:00"/>
    <s v="M"/>
    <x v="1"/>
    <n v="4"/>
    <s v="California"/>
    <s v="San Diego County"/>
    <n v="3"/>
    <x v="2"/>
    <x v="1"/>
  </r>
  <r>
    <s v="TX500391"/>
    <s v="Sandals"/>
    <n v="20"/>
    <n v="47.4"/>
    <n v="948"/>
    <d v="2025-01-17T00:00:00"/>
    <d v="2025-01-17T00:00:00"/>
    <s v="F"/>
    <x v="2"/>
    <n v="3"/>
    <s v="California"/>
    <s v="San Francisco"/>
    <n v="0"/>
    <x v="2"/>
    <x v="2"/>
  </r>
  <r>
    <s v="TX500392"/>
    <s v="Sneakers"/>
    <n v="1"/>
    <n v="74"/>
    <n v="74"/>
    <d v="2025-01-18T00:00:00"/>
    <d v="2025-01-19T00:00:00"/>
    <s v="M"/>
    <x v="1"/>
    <n v="4"/>
    <s v="California"/>
    <s v="Santa Clara County"/>
    <n v="1"/>
    <x v="2"/>
    <x v="1"/>
  </r>
  <r>
    <s v="TX500393"/>
    <s v="Sneakers"/>
    <n v="5"/>
    <n v="60.4"/>
    <n v="302"/>
    <d v="2025-01-18T00:00:00"/>
    <d v="2025-01-21T00:00:00"/>
    <s v="F"/>
    <x v="1"/>
    <n v="2"/>
    <s v="California"/>
    <s v="Sonoma County"/>
    <n v="3"/>
    <x v="2"/>
    <x v="2"/>
  </r>
  <r>
    <s v="TX500394"/>
    <s v="Casual Dresses"/>
    <n v="2"/>
    <n v="69.3"/>
    <n v="138.6"/>
    <d v="2025-01-18T00:00:00"/>
    <d v="2025-01-21T00:00:00"/>
    <s v="M"/>
    <x v="1"/>
    <n v="3"/>
    <s v="California"/>
    <s v="Ventura County"/>
    <n v="3"/>
    <x v="2"/>
    <x v="1"/>
  </r>
  <r>
    <s v="TX500395"/>
    <s v="Sandals"/>
    <n v="5"/>
    <n v="81"/>
    <n v="405"/>
    <d v="2025-01-18T00:00:00"/>
    <d v="2025-01-24T00:00:00"/>
    <s v="M"/>
    <x v="3"/>
    <n v="4"/>
    <s v="California"/>
    <s v="Alameda County"/>
    <n v="6"/>
    <x v="2"/>
    <x v="1"/>
  </r>
  <r>
    <s v="TX500396"/>
    <s v="Crop Tops"/>
    <n v="3"/>
    <n v="41.5"/>
    <n v="124.5"/>
    <d v="2025-01-18T00:00:00"/>
    <d v="2025-01-20T00:00:00"/>
    <s v="O"/>
    <x v="1"/>
    <n v="4"/>
    <s v="California"/>
    <s v="Alameda County"/>
    <n v="2"/>
    <x v="2"/>
    <x v="3"/>
  </r>
  <r>
    <s v="TX500397"/>
    <s v="Leggings"/>
    <n v="2"/>
    <n v="69.7"/>
    <n v="139.4"/>
    <d v="2025-01-18T00:00:00"/>
    <d v="2025-01-23T00:00:00"/>
    <s v="M"/>
    <x v="1"/>
    <n v="4"/>
    <s v="California"/>
    <s v="Alameda County"/>
    <n v="5"/>
    <x v="2"/>
    <x v="1"/>
  </r>
  <r>
    <s v="TX500398"/>
    <s v="Sneakers"/>
    <n v="5"/>
    <n v="83.6"/>
    <n v="418"/>
    <d v="2025-01-18T00:00:00"/>
    <d v="2025-01-18T00:00:00"/>
    <s v="F"/>
    <x v="4"/>
    <n v="4"/>
    <s v="California"/>
    <s v="Contra Costa County"/>
    <n v="0"/>
    <x v="2"/>
    <x v="2"/>
  </r>
  <r>
    <s v="TX500399"/>
    <s v="T-Shirts"/>
    <n v="7"/>
    <n v="21.5"/>
    <n v="150.5"/>
    <d v="2025-01-18T00:00:00"/>
    <d v="2025-01-20T00:00:00"/>
    <s v="M"/>
    <x v="1"/>
    <n v="2"/>
    <s v="California"/>
    <s v="Kings County"/>
    <n v="2"/>
    <x v="2"/>
    <x v="1"/>
  </r>
  <r>
    <s v="TX500400"/>
    <s v="T-Shirts"/>
    <n v="8"/>
    <n v="28.6"/>
    <n v="228.8"/>
    <d v="2025-01-18T00:00:00"/>
    <d v="2025-01-19T00:00:00"/>
    <s v="M"/>
    <x v="0"/>
    <n v="4"/>
    <s v="California"/>
    <s v="Los Angeles County"/>
    <n v="1"/>
    <x v="2"/>
    <x v="1"/>
  </r>
  <r>
    <s v="TX500401"/>
    <s v="T-Shirts"/>
    <n v="6"/>
    <n v="18.8"/>
    <n v="112.80000000000001"/>
    <d v="2025-01-18T00:00:00"/>
    <d v="2025-01-21T00:00:00"/>
    <s v="M"/>
    <x v="3"/>
    <n v="5"/>
    <s v="California"/>
    <s v="Los Angeles County"/>
    <n v="3"/>
    <x v="2"/>
    <x v="1"/>
  </r>
  <r>
    <s v="TX500402"/>
    <s v="Bikinis"/>
    <n v="4"/>
    <n v="35.1"/>
    <n v="140.4"/>
    <d v="2025-01-18T00:00:00"/>
    <d v="2025-01-18T00:00:00"/>
    <s v="F"/>
    <x v="1"/>
    <n v="3"/>
    <s v="California"/>
    <s v="Los Angeles County"/>
    <n v="0"/>
    <x v="2"/>
    <x v="2"/>
  </r>
  <r>
    <s v="TX500403"/>
    <s v="Shorts"/>
    <n v="2"/>
    <n v="12.7"/>
    <n v="25.4"/>
    <d v="2025-01-18T00:00:00"/>
    <d v="2025-01-20T00:00:00"/>
    <s v="F"/>
    <x v="1"/>
    <n v="5"/>
    <s v="California"/>
    <s v="Los Angeles County"/>
    <n v="2"/>
    <x v="2"/>
    <x v="2"/>
  </r>
  <r>
    <s v="TX500404"/>
    <s v="T-Shirts"/>
    <n v="5"/>
    <n v="27.4"/>
    <n v="137"/>
    <d v="2025-01-18T00:00:00"/>
    <d v="2025-01-20T00:00:00"/>
    <s v="O"/>
    <x v="0"/>
    <n v="4"/>
    <s v="California"/>
    <s v="Los Angeles County"/>
    <n v="2"/>
    <x v="2"/>
    <x v="3"/>
  </r>
  <r>
    <s v="TX500405"/>
    <s v="Bikinis"/>
    <n v="2"/>
    <n v="61.3"/>
    <n v="122.6"/>
    <d v="2025-01-18T00:00:00"/>
    <d v="2025-01-19T00:00:00"/>
    <s v="F"/>
    <x v="1"/>
    <n v="4"/>
    <s v="California"/>
    <s v="Sacramento County"/>
    <n v="1"/>
    <x v="2"/>
    <x v="2"/>
  </r>
  <r>
    <s v="TX500406"/>
    <s v="T-Shirts"/>
    <n v="2"/>
    <n v="64.7"/>
    <n v="129.4"/>
    <d v="2025-01-18T00:00:00"/>
    <d v="2025-01-20T00:00:00"/>
    <s v="F"/>
    <x v="3"/>
    <n v="5"/>
    <s v="California"/>
    <s v="Sacramento County"/>
    <n v="2"/>
    <x v="2"/>
    <x v="2"/>
  </r>
  <r>
    <s v="TX500407"/>
    <s v="Hoodies &amp; Sweatshirts"/>
    <n v="4"/>
    <n v="91.4"/>
    <n v="365.6"/>
    <d v="2025-01-18T00:00:00"/>
    <d v="2025-01-20T00:00:00"/>
    <s v="F"/>
    <x v="0"/>
    <n v="4"/>
    <s v="California"/>
    <s v="San Diego County"/>
    <n v="2"/>
    <x v="2"/>
    <x v="2"/>
  </r>
  <r>
    <s v="TX500408"/>
    <s v="Shorts"/>
    <n v="2"/>
    <n v="33.1"/>
    <n v="66.2"/>
    <d v="2025-01-19T00:00:00"/>
    <d v="2025-01-20T00:00:00"/>
    <s v="M"/>
    <x v="0"/>
    <n v="5"/>
    <s v="California"/>
    <s v="San Diego County"/>
    <n v="1"/>
    <x v="2"/>
    <x v="1"/>
  </r>
  <r>
    <s v="TX500409"/>
    <s v="Workout Tops"/>
    <n v="2"/>
    <n v="105.6"/>
    <n v="211.2"/>
    <d v="2025-01-19T00:00:00"/>
    <d v="2025-01-20T00:00:00"/>
    <s v="M"/>
    <x v="2"/>
    <n v="3"/>
    <s v="California"/>
    <s v="San Diego County"/>
    <n v="1"/>
    <x v="2"/>
    <x v="1"/>
  </r>
  <r>
    <s v="TX500410"/>
    <s v="Bikinis"/>
    <n v="3"/>
    <n v="46.4"/>
    <n v="139.19999999999999"/>
    <d v="2025-01-19T00:00:00"/>
    <d v="2025-01-20T00:00:00"/>
    <s v="M"/>
    <x v="2"/>
    <n v="4"/>
    <s v="California"/>
    <s v="San Mateo County"/>
    <n v="1"/>
    <x v="2"/>
    <x v="1"/>
  </r>
  <r>
    <s v="TX500411"/>
    <s v="Sundresses"/>
    <n v="14"/>
    <n v="35.299999999999997"/>
    <n v="494.19999999999993"/>
    <d v="2025-01-19T00:00:00"/>
    <d v="2025-01-22T00:00:00"/>
    <s v="F"/>
    <x v="4"/>
    <n v="3"/>
    <s v="California"/>
    <s v="Santa Clara County"/>
    <n v="3"/>
    <x v="2"/>
    <x v="2"/>
  </r>
  <r>
    <s v="TX500412"/>
    <s v="Shorts"/>
    <n v="2"/>
    <n v="16.100000000000001"/>
    <n v="32.200000000000003"/>
    <d v="2025-01-19T00:00:00"/>
    <d v="2025-01-21T00:00:00"/>
    <s v="M"/>
    <x v="3"/>
    <n v="5"/>
    <s v="California"/>
    <s v="Santa Cruz County"/>
    <n v="2"/>
    <x v="2"/>
    <x v="1"/>
  </r>
  <r>
    <s v="TX500413"/>
    <s v="Graphic Tees"/>
    <n v="2"/>
    <n v="27.9"/>
    <n v="55.8"/>
    <d v="2025-01-19T00:00:00"/>
    <d v="2025-01-22T00:00:00"/>
    <s v="M"/>
    <x v="0"/>
    <n v="4"/>
    <s v="California"/>
    <s v="Ventura County"/>
    <n v="3"/>
    <x v="2"/>
    <x v="1"/>
  </r>
  <r>
    <s v="TX500414"/>
    <s v="T-Shirts"/>
    <n v="1"/>
    <n v="47.1"/>
    <n v="47.1"/>
    <d v="2025-01-19T00:00:00"/>
    <d v="2025-01-27T00:00:00"/>
    <s v="F"/>
    <x v="1"/>
    <n v="4"/>
    <s v="California"/>
    <s v="Fresno County"/>
    <n v="8"/>
    <x v="2"/>
    <x v="2"/>
  </r>
  <r>
    <s v="TX500415"/>
    <s v="Jeans"/>
    <n v="2"/>
    <n v="85"/>
    <n v="170"/>
    <d v="2025-01-19T00:00:00"/>
    <d v="2025-01-22T00:00:00"/>
    <s v=""/>
    <x v="2"/>
    <n v="5"/>
    <s v="California"/>
    <s v="Kern County"/>
    <n v="3"/>
    <x v="2"/>
    <x v="0"/>
  </r>
  <r>
    <s v="TX500416"/>
    <s v="Leggings"/>
    <n v="2"/>
    <n v="89"/>
    <n v="178"/>
    <d v="2025-01-19T00:00:00"/>
    <d v="2025-01-21T00:00:00"/>
    <s v="F"/>
    <x v="0"/>
    <n v="4"/>
    <s v="California"/>
    <s v="Los Angeles County"/>
    <n v="2"/>
    <x v="2"/>
    <x v="2"/>
  </r>
  <r>
    <s v="TX500417"/>
    <s v="Sunglasses"/>
    <n v="3"/>
    <n v="36.6"/>
    <n v="109.80000000000001"/>
    <d v="2025-01-19T00:00:00"/>
    <d v="2025-01-20T00:00:00"/>
    <s v="O"/>
    <x v="3"/>
    <n v="5"/>
    <s v="California"/>
    <s v="Los Angeles County"/>
    <n v="1"/>
    <x v="2"/>
    <x v="3"/>
  </r>
  <r>
    <s v="TX500418"/>
    <s v="Jeans"/>
    <n v="7"/>
    <n v="43.5"/>
    <n v="304.5"/>
    <d v="2025-01-19T00:00:00"/>
    <d v="2025-01-20T00:00:00"/>
    <s v="M"/>
    <x v="1"/>
    <n v="5"/>
    <s v="California"/>
    <s v="Los Angeles County"/>
    <n v="1"/>
    <x v="2"/>
    <x v="1"/>
  </r>
  <r>
    <s v="TX500419"/>
    <s v="Sundresses"/>
    <n v="19"/>
    <n v="30.5"/>
    <n v="579.5"/>
    <d v="2025-01-19T00:00:00"/>
    <d v="2025-01-19T00:00:00"/>
    <s v="F"/>
    <x v="3"/>
    <n v="4"/>
    <s v="California"/>
    <s v="Los Angeles County"/>
    <n v="0"/>
    <x v="2"/>
    <x v="2"/>
  </r>
  <r>
    <s v="TX500420"/>
    <s v="Tank Tops"/>
    <n v="2"/>
    <n v="107.7"/>
    <n v="215.4"/>
    <d v="2025-01-19T00:00:00"/>
    <d v="2025-01-23T00:00:00"/>
    <s v="M"/>
    <x v="3"/>
    <n v="2"/>
    <s v="California"/>
    <s v="Los Angeles County"/>
    <n v="4"/>
    <x v="2"/>
    <x v="1"/>
  </r>
  <r>
    <s v="TX500421"/>
    <s v="Pajama Sets"/>
    <n v="26"/>
    <n v="57.1"/>
    <n v="1484.6000000000001"/>
    <d v="2025-01-19T00:00:00"/>
    <d v="2025-01-20T00:00:00"/>
    <s v="M"/>
    <x v="1"/>
    <n v="4"/>
    <s v="California"/>
    <s v="Los Angeles County"/>
    <n v="1"/>
    <x v="2"/>
    <x v="1"/>
  </r>
  <r>
    <s v="TX500422"/>
    <s v="Sneakers"/>
    <n v="10"/>
    <n v="111.7"/>
    <n v="1117"/>
    <d v="2025-01-19T00:00:00"/>
    <d v="2025-01-20T00:00:00"/>
    <s v="F"/>
    <x v="4"/>
    <n v="5"/>
    <s v="California"/>
    <s v="Los Angeles County"/>
    <n v="1"/>
    <x v="2"/>
    <x v="2"/>
  </r>
  <r>
    <s v="TX500423"/>
    <s v="Leggings"/>
    <n v="7"/>
    <n v="44.3"/>
    <n v="310.09999999999997"/>
    <d v="2025-01-19T00:00:00"/>
    <d v="2025-01-22T00:00:00"/>
    <s v="M"/>
    <x v="3"/>
    <n v="5"/>
    <s v="California"/>
    <s v="Los Angeles County"/>
    <n v="3"/>
    <x v="2"/>
    <x v="1"/>
  </r>
  <r>
    <s v="TX500424"/>
    <s v="Sneakers"/>
    <n v="8"/>
    <n v="95.8"/>
    <n v="766.4"/>
    <d v="2025-01-19T00:00:00"/>
    <d v="2025-01-25T00:00:00"/>
    <s v="O"/>
    <x v="0"/>
    <n v="4"/>
    <s v="California"/>
    <s v="Los Angeles County"/>
    <n v="6"/>
    <x v="2"/>
    <x v="3"/>
  </r>
  <r>
    <s v="TX500425"/>
    <s v="Bikinis"/>
    <n v="7"/>
    <n v="22.6"/>
    <n v="158.20000000000002"/>
    <d v="2025-01-19T00:00:00"/>
    <d v="2025-01-22T00:00:00"/>
    <s v="F"/>
    <x v="3"/>
    <n v="3"/>
    <s v="California"/>
    <s v="Los Angeles County"/>
    <n v="3"/>
    <x v="2"/>
    <x v="2"/>
  </r>
  <r>
    <s v="TX500426"/>
    <s v="T-Shirts"/>
    <n v="8"/>
    <n v="25.6"/>
    <n v="204.8"/>
    <d v="2025-01-19T00:00:00"/>
    <d v="2025-01-21T00:00:00"/>
    <s v="F"/>
    <x v="4"/>
    <n v="4"/>
    <s v="California"/>
    <s v="Los Angeles County"/>
    <n v="2"/>
    <x v="2"/>
    <x v="2"/>
  </r>
  <r>
    <s v="TX500427"/>
    <s v="Jeans"/>
    <n v="16"/>
    <n v="54.3"/>
    <n v="868.8"/>
    <d v="2025-01-19T00:00:00"/>
    <d v="2025-01-22T00:00:00"/>
    <s v="F"/>
    <x v="4"/>
    <n v="4"/>
    <s v="California"/>
    <s v="Los Angeles County"/>
    <n v="3"/>
    <x v="2"/>
    <x v="2"/>
  </r>
  <r>
    <s v="TX500428"/>
    <s v="Leggings"/>
    <n v="13"/>
    <n v="51.3"/>
    <n v="666.9"/>
    <d v="2025-01-19T00:00:00"/>
    <d v="2025-01-21T00:00:00"/>
    <s v="M"/>
    <x v="0"/>
    <n v="5"/>
    <s v="California"/>
    <s v="Los Angeles County"/>
    <n v="2"/>
    <x v="2"/>
    <x v="1"/>
  </r>
  <r>
    <s v="TX500429"/>
    <s v="Shorts"/>
    <n v="8"/>
    <n v="25.6"/>
    <n v="204.8"/>
    <d v="2025-01-19T00:00:00"/>
    <d v="2025-01-20T00:00:00"/>
    <s v="F"/>
    <x v="1"/>
    <n v="3"/>
    <s v="California"/>
    <s v="Los Angeles County"/>
    <n v="1"/>
    <x v="2"/>
    <x v="2"/>
  </r>
  <r>
    <s v="TX500430"/>
    <s v="Shorts"/>
    <n v="2"/>
    <n v="15.6"/>
    <n v="31.2"/>
    <d v="2025-01-19T00:00:00"/>
    <d v="2025-01-20T00:00:00"/>
    <s v="F"/>
    <x v="2"/>
    <n v="5"/>
    <s v="California"/>
    <s v="Los Angeles County"/>
    <n v="1"/>
    <x v="2"/>
    <x v="2"/>
  </r>
  <r>
    <s v="TX500431"/>
    <s v="T-Shirts"/>
    <n v="3"/>
    <n v="30.3"/>
    <n v="90.9"/>
    <d v="2025-01-19T00:00:00"/>
    <d v="2025-01-23T00:00:00"/>
    <s v="F"/>
    <x v="0"/>
    <n v="3"/>
    <s v="California"/>
    <s v="Los Angeles County"/>
    <n v="4"/>
    <x v="2"/>
    <x v="2"/>
  </r>
  <r>
    <s v="TX500432"/>
    <s v="Casual Dresses"/>
    <n v="2"/>
    <n v="30.3"/>
    <n v="60.6"/>
    <d v="2025-01-19T00:00:00"/>
    <d v="2025-01-24T00:00:00"/>
    <s v="F"/>
    <x v="0"/>
    <n v="5"/>
    <s v="California"/>
    <s v="Madera County"/>
    <n v="5"/>
    <x v="2"/>
    <x v="2"/>
  </r>
  <r>
    <s v="TX500433"/>
    <s v="Bikinis"/>
    <n v="3"/>
    <n v="53"/>
    <n v="159"/>
    <d v="2025-01-19T00:00:00"/>
    <d v="2025-01-26T00:00:00"/>
    <s v="F"/>
    <x v="2"/>
    <n v="4"/>
    <s v="California"/>
    <s v="Merced County"/>
    <n v="7"/>
    <x v="2"/>
    <x v="2"/>
  </r>
  <r>
    <s v="TX500434"/>
    <s v="Sandals"/>
    <n v="18"/>
    <n v="59.9"/>
    <n v="1078.2"/>
    <d v="2025-01-19T00:00:00"/>
    <d v="2025-01-22T00:00:00"/>
    <s v="M"/>
    <x v="2"/>
    <n v="2"/>
    <s v="California"/>
    <s v="Orange County"/>
    <n v="3"/>
    <x v="2"/>
    <x v="1"/>
  </r>
  <r>
    <s v="TX500435"/>
    <s v="Sundresses"/>
    <n v="2"/>
    <n v="45.7"/>
    <n v="91.4"/>
    <d v="2025-01-19T00:00:00"/>
    <d v="2025-01-20T00:00:00"/>
    <s v="F"/>
    <x v="1"/>
    <n v="5"/>
    <s v="California"/>
    <s v="Sacramento County"/>
    <n v="1"/>
    <x v="2"/>
    <x v="2"/>
  </r>
  <r>
    <s v="TX500436"/>
    <s v="T-Shirts"/>
    <n v="4"/>
    <n v="46.1"/>
    <n v="184.4"/>
    <d v="2025-01-19T00:00:00"/>
    <d v="2025-01-20T00:00:00"/>
    <s v="M"/>
    <x v="0"/>
    <n v="4"/>
    <s v="California"/>
    <s v="Sacramento County"/>
    <n v="1"/>
    <x v="2"/>
    <x v="1"/>
  </r>
  <r>
    <s v="TX500437"/>
    <s v="T-Shirts"/>
    <n v="3"/>
    <n v="17.5"/>
    <n v="52.5"/>
    <d v="2025-01-19T00:00:00"/>
    <d v="2025-01-20T00:00:00"/>
    <s v="F"/>
    <x v="0"/>
    <n v="5"/>
    <s v="California"/>
    <s v="San Diego County"/>
    <n v="1"/>
    <x v="2"/>
    <x v="2"/>
  </r>
  <r>
    <s v="TX500438"/>
    <s v="Bikinis"/>
    <n v="3"/>
    <n v="36.5"/>
    <n v="109.5"/>
    <d v="2025-01-19T00:00:00"/>
    <d v="2025-01-30T00:00:00"/>
    <s v="M"/>
    <x v="2"/>
    <n v="4"/>
    <s v="California"/>
    <s v="San Diego County"/>
    <n v="11"/>
    <x v="2"/>
    <x v="1"/>
  </r>
  <r>
    <s v="TX500439"/>
    <s v="T-Shirts"/>
    <n v="2"/>
    <n v="47.5"/>
    <n v="95"/>
    <d v="2025-01-20T00:00:00"/>
    <d v="2025-01-22T00:00:00"/>
    <s v="F"/>
    <x v="1"/>
    <n v="4"/>
    <s v="California"/>
    <s v="San Diego County"/>
    <n v="2"/>
    <x v="3"/>
    <x v="2"/>
  </r>
  <r>
    <s v="TX500440"/>
    <s v="Jeans"/>
    <n v="5"/>
    <n v="45.6"/>
    <n v="228"/>
    <d v="2025-01-20T00:00:00"/>
    <d v="2025-01-22T00:00:00"/>
    <s v="F"/>
    <x v="0"/>
    <n v="5"/>
    <s v="California"/>
    <s v="San Diego County"/>
    <n v="2"/>
    <x v="3"/>
    <x v="2"/>
  </r>
  <r>
    <s v="TX500441"/>
    <s v="Sundresses"/>
    <n v="2"/>
    <n v="50.5"/>
    <n v="101"/>
    <d v="2025-01-20T00:00:00"/>
    <d v="2025-01-22T00:00:00"/>
    <s v="M"/>
    <x v="0"/>
    <n v="3"/>
    <s v="California"/>
    <s v="San Francisco"/>
    <n v="2"/>
    <x v="3"/>
    <x v="1"/>
  </r>
  <r>
    <s v="TX500442"/>
    <s v="Sneakers"/>
    <n v="10"/>
    <n v="99.8"/>
    <n v="998"/>
    <d v="2025-01-20T00:00:00"/>
    <d v="2025-01-23T00:00:00"/>
    <s v="F"/>
    <x v="2"/>
    <n v="3"/>
    <s v="California"/>
    <s v="San Francisco"/>
    <n v="3"/>
    <x v="3"/>
    <x v="2"/>
  </r>
  <r>
    <s v="TX500443"/>
    <s v="T-Shirts"/>
    <n v="15"/>
    <n v="19.2"/>
    <n v="288"/>
    <d v="2025-01-20T00:00:00"/>
    <d v="2025-01-22T00:00:00"/>
    <s v="O"/>
    <x v="4"/>
    <n v="3"/>
    <s v="California"/>
    <s v="San Joaquin County"/>
    <n v="2"/>
    <x v="3"/>
    <x v="3"/>
  </r>
  <r>
    <s v="TX500444"/>
    <s v="Pajama Sets"/>
    <n v="3"/>
    <n v="22.6"/>
    <n v="67.800000000000011"/>
    <d v="2025-01-20T00:00:00"/>
    <d v="2025-01-21T00:00:00"/>
    <s v="M"/>
    <x v="1"/>
    <n v="4"/>
    <s v="California"/>
    <s v="Santa Clara County"/>
    <n v="1"/>
    <x v="3"/>
    <x v="1"/>
  </r>
  <r>
    <s v="TX500445"/>
    <s v="Tank Tops"/>
    <n v="15"/>
    <n v="126.9"/>
    <n v="1903.5"/>
    <d v="2025-01-20T00:00:00"/>
    <d v="2025-01-22T00:00:00"/>
    <s v="F"/>
    <x v="0"/>
    <n v="5"/>
    <s v="California"/>
    <s v="Santa Clara County"/>
    <n v="2"/>
    <x v="3"/>
    <x v="2"/>
  </r>
  <r>
    <s v="TX500446"/>
    <s v="Sneakers"/>
    <n v="2"/>
    <n v="100.3"/>
    <n v="200.6"/>
    <d v="2025-01-20T00:00:00"/>
    <d v="2025-01-21T00:00:00"/>
    <s v="F"/>
    <x v="0"/>
    <n v="3"/>
    <s v="California"/>
    <s v="Santa Clara County"/>
    <n v="1"/>
    <x v="3"/>
    <x v="2"/>
  </r>
  <r>
    <s v="TX500447"/>
    <s v="Graphic Tees"/>
    <n v="18"/>
    <n v="24.6"/>
    <n v="442.8"/>
    <d v="2025-01-20T00:00:00"/>
    <d v="2025-01-21T00:00:00"/>
    <s v="F"/>
    <x v="4"/>
    <n v="4"/>
    <s v="California"/>
    <s v="Ventura County"/>
    <n v="1"/>
    <x v="3"/>
    <x v="2"/>
  </r>
  <r>
    <s v="TX500448"/>
    <s v="Jeans"/>
    <n v="2"/>
    <n v="47.3"/>
    <n v="94.6"/>
    <d v="2025-01-20T00:00:00"/>
    <d v="2025-01-21T00:00:00"/>
    <s v="M"/>
    <x v="1"/>
    <n v="5"/>
    <s v="California"/>
    <s v="Ventura County"/>
    <n v="1"/>
    <x v="3"/>
    <x v="1"/>
  </r>
  <r>
    <s v="TX500449"/>
    <s v="Jeans"/>
    <n v="7"/>
    <n v="40.799999999999997"/>
    <n v="285.59999999999997"/>
    <d v="2025-01-20T00:00:00"/>
    <d v="2025-01-23T00:00:00"/>
    <s v="F"/>
    <x v="2"/>
    <n v="5"/>
    <s v="California"/>
    <s v="Alameda County"/>
    <n v="3"/>
    <x v="3"/>
    <x v="2"/>
  </r>
  <r>
    <s v="TX500450"/>
    <s v="T-Shirts"/>
    <n v="8"/>
    <n v="49.2"/>
    <n v="393.6"/>
    <d v="2025-01-20T00:00:00"/>
    <d v="2025-01-22T00:00:00"/>
    <s v="F"/>
    <x v="0"/>
    <n v="4"/>
    <s v="California"/>
    <s v="Contra Costa County"/>
    <n v="2"/>
    <x v="3"/>
    <x v="2"/>
  </r>
  <r>
    <s v="TX500451"/>
    <s v="T-Shirts"/>
    <n v="1"/>
    <n v="28.5"/>
    <n v="28.5"/>
    <d v="2025-01-20T00:00:00"/>
    <d v="2025-01-22T00:00:00"/>
    <s v=""/>
    <x v="2"/>
    <n v="3"/>
    <s v="California"/>
    <s v="Los Angeles County"/>
    <n v="2"/>
    <x v="3"/>
    <x v="0"/>
  </r>
  <r>
    <s v="TX500452"/>
    <s v="Leggings"/>
    <n v="2"/>
    <n v="36.799999999999997"/>
    <n v="73.599999999999994"/>
    <d v="2025-01-20T00:00:00"/>
    <d v="2025-01-26T00:00:00"/>
    <s v="F"/>
    <x v="0"/>
    <n v="5"/>
    <s v="California"/>
    <s v="Los Angeles County"/>
    <n v="6"/>
    <x v="3"/>
    <x v="2"/>
  </r>
  <r>
    <s v="TX500453"/>
    <s v="Hoodies &amp; Sweatshirts"/>
    <n v="3"/>
    <n v="33.5"/>
    <n v="100.5"/>
    <d v="2025-01-20T00:00:00"/>
    <d v="2025-01-21T00:00:00"/>
    <s v="F"/>
    <x v="0"/>
    <n v="3"/>
    <s v="California"/>
    <s v="Los Angeles County"/>
    <n v="1"/>
    <x v="3"/>
    <x v="2"/>
  </r>
  <r>
    <s v="TX500454"/>
    <s v="Jeans"/>
    <n v="6"/>
    <n v="62.5"/>
    <n v="375"/>
    <d v="2025-01-20T00:00:00"/>
    <d v="2025-01-22T00:00:00"/>
    <s v="F"/>
    <x v="0"/>
    <n v="4"/>
    <s v="California"/>
    <s v="Los Angeles County"/>
    <n v="2"/>
    <x v="3"/>
    <x v="2"/>
  </r>
  <r>
    <s v="TX500455"/>
    <s v="T-Shirts"/>
    <n v="40"/>
    <n v="47.9"/>
    <n v="1916"/>
    <d v="2025-01-20T00:00:00"/>
    <d v="2025-01-21T00:00:00"/>
    <s v="F"/>
    <x v="3"/>
    <n v="4"/>
    <s v="California"/>
    <s v="Los Angeles County"/>
    <n v="1"/>
    <x v="3"/>
    <x v="2"/>
  </r>
  <r>
    <s v="TX500456"/>
    <s v="Jeans"/>
    <n v="6"/>
    <n v="92.9"/>
    <n v="557.40000000000009"/>
    <d v="2025-01-20T00:00:00"/>
    <d v="2025-01-31T00:00:00"/>
    <s v="F"/>
    <x v="0"/>
    <n v="2"/>
    <s v="California"/>
    <s v="Los Angeles County"/>
    <n v="11"/>
    <x v="3"/>
    <x v="2"/>
  </r>
  <r>
    <s v="TX500457"/>
    <s v="Casual Dresses"/>
    <n v="3"/>
    <n v="44.1"/>
    <n v="132.30000000000001"/>
    <d v="2025-01-20T00:00:00"/>
    <d v="2025-01-20T00:00:00"/>
    <s v="F"/>
    <x v="1"/>
    <n v="3"/>
    <s v="California"/>
    <s v="Marin County"/>
    <n v="0"/>
    <x v="3"/>
    <x v="2"/>
  </r>
  <r>
    <s v="TX500458"/>
    <s v="Shorts"/>
    <n v="1"/>
    <n v="11.4"/>
    <n v="11.4"/>
    <d v="2025-01-21T00:00:00"/>
    <d v="2025-01-23T00:00:00"/>
    <s v="F"/>
    <x v="2"/>
    <n v="4"/>
    <s v="California"/>
    <s v="Placer County"/>
    <n v="2"/>
    <x v="3"/>
    <x v="2"/>
  </r>
  <r>
    <s v="TX500459"/>
    <s v="Jeans"/>
    <n v="1"/>
    <n v="83.7"/>
    <n v="83.7"/>
    <d v="2025-01-21T00:00:00"/>
    <d v="2025-01-23T00:00:00"/>
    <s v="F"/>
    <x v="0"/>
    <n v="5"/>
    <s v="California"/>
    <s v="Sacramento County"/>
    <n v="2"/>
    <x v="3"/>
    <x v="2"/>
  </r>
  <r>
    <s v="TX500460"/>
    <s v="Bikinis"/>
    <n v="2"/>
    <n v="23.2"/>
    <n v="46.4"/>
    <d v="2025-01-21T00:00:00"/>
    <d v="2025-01-22T00:00:00"/>
    <s v="M"/>
    <x v="2"/>
    <n v="4"/>
    <s v="California"/>
    <s v="San Diego County"/>
    <n v="1"/>
    <x v="3"/>
    <x v="1"/>
  </r>
  <r>
    <s v="TX500461"/>
    <s v="Sneakers"/>
    <n v="1"/>
    <n v="162.1"/>
    <n v="162.1"/>
    <d v="2025-01-21T00:00:00"/>
    <d v="2025-01-24T00:00:00"/>
    <s v="F"/>
    <x v="0"/>
    <n v="5"/>
    <s v="California"/>
    <s v="San Mateo County"/>
    <n v="3"/>
    <x v="3"/>
    <x v="2"/>
  </r>
  <r>
    <s v="TX500462"/>
    <s v="Jeans"/>
    <n v="4"/>
    <n v="49.2"/>
    <n v="196.8"/>
    <d v="2025-01-21T00:00:00"/>
    <d v="2025-01-25T00:00:00"/>
    <s v="M"/>
    <x v="1"/>
    <n v="4"/>
    <s v="California"/>
    <s v="San Mateo County"/>
    <n v="4"/>
    <x v="3"/>
    <x v="1"/>
  </r>
  <r>
    <s v="TX500463"/>
    <s v="Tank Tops"/>
    <n v="2"/>
    <n v="61"/>
    <n v="122"/>
    <d v="2025-01-21T00:00:00"/>
    <d v="2025-01-22T00:00:00"/>
    <s v="M"/>
    <x v="3"/>
    <n v="4"/>
    <s v="California"/>
    <s v="Santa Barbara County"/>
    <n v="1"/>
    <x v="3"/>
    <x v="1"/>
  </r>
  <r>
    <s v="TX500464"/>
    <s v="Sneakers"/>
    <n v="10"/>
    <n v="53.1"/>
    <n v="531"/>
    <d v="2025-01-21T00:00:00"/>
    <d v="2025-01-23T00:00:00"/>
    <s v="M"/>
    <x v="0"/>
    <n v="4"/>
    <s v="California"/>
    <s v="Santa Clara County"/>
    <n v="2"/>
    <x v="3"/>
    <x v="1"/>
  </r>
  <r>
    <s v="TX500465"/>
    <s v="Graphic Tees"/>
    <n v="2"/>
    <n v="22.4"/>
    <n v="44.8"/>
    <d v="2025-01-21T00:00:00"/>
    <d v="2025-01-23T00:00:00"/>
    <s v=""/>
    <x v="1"/>
    <n v="5"/>
    <s v="California"/>
    <s v="Ventura County"/>
    <n v="2"/>
    <x v="3"/>
    <x v="0"/>
  </r>
  <r>
    <s v="TX500466"/>
    <s v="Tank Tops"/>
    <n v="5"/>
    <n v="75.3"/>
    <n v="376.5"/>
    <d v="2025-01-21T00:00:00"/>
    <d v="2025-01-22T00:00:00"/>
    <s v="M"/>
    <x v="0"/>
    <n v="4"/>
    <s v="California"/>
    <s v="Alameda County"/>
    <n v="1"/>
    <x v="3"/>
    <x v="1"/>
  </r>
  <r>
    <s v="TX500467"/>
    <s v="Jeans"/>
    <n v="1"/>
    <n v="48.5"/>
    <n v="48.5"/>
    <d v="2025-01-21T00:00:00"/>
    <d v="2025-01-22T00:00:00"/>
    <s v="F"/>
    <x v="0"/>
    <n v="3"/>
    <s v="California"/>
    <s v="Alameda County"/>
    <n v="1"/>
    <x v="3"/>
    <x v="2"/>
  </r>
  <r>
    <s v="TX500468"/>
    <s v="Jeans"/>
    <n v="1"/>
    <n v="42.6"/>
    <n v="42.6"/>
    <d v="2025-01-21T00:00:00"/>
    <d v="2025-01-25T00:00:00"/>
    <s v="F"/>
    <x v="3"/>
    <n v="4"/>
    <s v="California"/>
    <s v="Contra Costa County"/>
    <n v="4"/>
    <x v="3"/>
    <x v="2"/>
  </r>
  <r>
    <s v="TX500469"/>
    <s v="Sandals"/>
    <n v="5"/>
    <n v="49"/>
    <n v="245"/>
    <d v="2025-01-21T00:00:00"/>
    <d v="2025-01-22T00:00:00"/>
    <s v="M"/>
    <x v="0"/>
    <n v="4"/>
    <s v="California"/>
    <s v="Kern County"/>
    <n v="1"/>
    <x v="3"/>
    <x v="1"/>
  </r>
  <r>
    <s v="TX500470"/>
    <s v="T-Shirts"/>
    <n v="3"/>
    <n v="31.3"/>
    <n v="93.9"/>
    <d v="2025-01-21T00:00:00"/>
    <d v="2025-01-22T00:00:00"/>
    <s v="M"/>
    <x v="2"/>
    <n v="3"/>
    <s v="California"/>
    <s v="Los Angeles County"/>
    <n v="1"/>
    <x v="3"/>
    <x v="1"/>
  </r>
  <r>
    <s v="TX500471"/>
    <s v="Sneakers"/>
    <n v="2"/>
    <n v="85.4"/>
    <n v="170.8"/>
    <d v="2025-01-21T00:00:00"/>
    <d v="2025-01-22T00:00:00"/>
    <s v="F"/>
    <x v="2"/>
    <n v="4"/>
    <s v="California"/>
    <s v="Los Angeles County"/>
    <n v="1"/>
    <x v="3"/>
    <x v="2"/>
  </r>
  <r>
    <s v="TX500472"/>
    <s v="T-Shirts"/>
    <n v="4"/>
    <n v="40"/>
    <n v="160"/>
    <d v="2025-01-21T00:00:00"/>
    <d v="2025-01-22T00:00:00"/>
    <s v="O"/>
    <x v="0"/>
    <n v="5"/>
    <s v="California"/>
    <s v="Los Angeles County"/>
    <n v="1"/>
    <x v="3"/>
    <x v="3"/>
  </r>
  <r>
    <s v="TX500473"/>
    <s v="Sandals"/>
    <n v="2"/>
    <n v="38.5"/>
    <n v="77"/>
    <d v="2025-01-21T00:00:00"/>
    <d v="2025-01-24T00:00:00"/>
    <s v="M"/>
    <x v="1"/>
    <n v="5"/>
    <s v="California"/>
    <s v="Los Angeles County"/>
    <n v="3"/>
    <x v="3"/>
    <x v="1"/>
  </r>
  <r>
    <s v="TX500474"/>
    <s v="Sneakers"/>
    <n v="2"/>
    <n v="57.8"/>
    <n v="115.6"/>
    <d v="2025-01-21T00:00:00"/>
    <d v="2025-01-22T00:00:00"/>
    <s v=""/>
    <x v="0"/>
    <n v="4"/>
    <s v="California"/>
    <s v="Los Angeles County"/>
    <n v="1"/>
    <x v="3"/>
    <x v="0"/>
  </r>
  <r>
    <s v="TX500475"/>
    <s v="T-Shirts"/>
    <n v="1"/>
    <n v="19.2"/>
    <n v="19.2"/>
    <d v="2025-01-21T00:00:00"/>
    <d v="2025-01-22T00:00:00"/>
    <s v="F"/>
    <x v="0"/>
    <n v="2"/>
    <s v="California"/>
    <s v="Los Angeles County"/>
    <n v="1"/>
    <x v="3"/>
    <x v="2"/>
  </r>
  <r>
    <s v="TX500476"/>
    <s v="Jeans"/>
    <n v="6"/>
    <n v="114.8"/>
    <n v="688.8"/>
    <d v="2025-01-21T00:00:00"/>
    <d v="2025-01-24T00:00:00"/>
    <s v="M"/>
    <x v="1"/>
    <n v="3"/>
    <s v="California"/>
    <s v="Los Angeles County"/>
    <n v="3"/>
    <x v="3"/>
    <x v="1"/>
  </r>
  <r>
    <s v="TX500477"/>
    <s v="Bikinis"/>
    <n v="7"/>
    <n v="48.4"/>
    <n v="338.8"/>
    <d v="2025-01-21T00:00:00"/>
    <d v="2025-01-24T00:00:00"/>
    <s v="F"/>
    <x v="3"/>
    <n v="3"/>
    <s v="California"/>
    <s v="Los Angeles County"/>
    <n v="3"/>
    <x v="3"/>
    <x v="2"/>
  </r>
  <r>
    <s v="TX500478"/>
    <s v="Sundresses"/>
    <n v="5"/>
    <n v="73.2"/>
    <n v="366"/>
    <d v="2025-01-21T00:00:00"/>
    <d v="2025-01-22T00:00:00"/>
    <s v="F"/>
    <x v="1"/>
    <n v="2"/>
    <s v="California"/>
    <s v="Los Angeles County"/>
    <n v="1"/>
    <x v="3"/>
    <x v="2"/>
  </r>
  <r>
    <s v="TX500479"/>
    <s v="Crop Tops"/>
    <n v="2"/>
    <n v="48.6"/>
    <n v="97.2"/>
    <d v="2025-01-21T00:00:00"/>
    <d v="2025-01-25T00:00:00"/>
    <s v="F"/>
    <x v="3"/>
    <n v="4"/>
    <s v="California"/>
    <s v="Los Angeles County"/>
    <n v="4"/>
    <x v="3"/>
    <x v="2"/>
  </r>
  <r>
    <s v="TX500480"/>
    <s v="Shorts"/>
    <n v="6"/>
    <n v="48.7"/>
    <n v="292.20000000000005"/>
    <d v="2025-01-21T00:00:00"/>
    <d v="2025-01-22T00:00:00"/>
    <s v="M"/>
    <x v="0"/>
    <n v="4"/>
    <s v="California"/>
    <s v="Los Angeles County"/>
    <n v="1"/>
    <x v="3"/>
    <x v="1"/>
  </r>
  <r>
    <s v="TX500481"/>
    <s v="Graphic Tees"/>
    <n v="2"/>
    <n v="32.200000000000003"/>
    <n v="64.400000000000006"/>
    <d v="2025-01-21T00:00:00"/>
    <d v="2025-01-24T00:00:00"/>
    <s v="M"/>
    <x v="2"/>
    <n v="5"/>
    <s v="California"/>
    <s v="Los Angeles County"/>
    <n v="3"/>
    <x v="3"/>
    <x v="1"/>
  </r>
  <r>
    <s v="TX500482"/>
    <s v="Crop Tops"/>
    <n v="8"/>
    <n v="25.8"/>
    <n v="206.4"/>
    <d v="2025-01-21T00:00:00"/>
    <d v="2025-01-22T00:00:00"/>
    <s v="M"/>
    <x v="0"/>
    <n v="4"/>
    <s v="California"/>
    <s v="Madera County"/>
    <n v="1"/>
    <x v="3"/>
    <x v="1"/>
  </r>
  <r>
    <s v="TX500483"/>
    <s v="Jeans"/>
    <n v="2"/>
    <n v="94.8"/>
    <n v="189.6"/>
    <d v="2025-01-22T00:00:00"/>
    <d v="2025-01-25T00:00:00"/>
    <s v="F"/>
    <x v="1"/>
    <n v="3"/>
    <s v="California"/>
    <s v="Orange County"/>
    <n v="3"/>
    <x v="3"/>
    <x v="2"/>
  </r>
  <r>
    <s v="TX500484"/>
    <s v="Crop Tops"/>
    <n v="25"/>
    <n v="56.8"/>
    <n v="1420"/>
    <d v="2025-01-22T00:00:00"/>
    <d v="2025-01-25T00:00:00"/>
    <s v="M"/>
    <x v="0"/>
    <n v="4"/>
    <s v="California"/>
    <s v="Orange County"/>
    <n v="3"/>
    <x v="3"/>
    <x v="1"/>
  </r>
  <r>
    <s v="TX500485"/>
    <s v="T-Shirts"/>
    <n v="16"/>
    <n v="18.3"/>
    <n v="292.8"/>
    <d v="2025-01-22T00:00:00"/>
    <d v="2025-01-29T00:00:00"/>
    <s v="F"/>
    <x v="2"/>
    <n v="5"/>
    <s v="California"/>
    <s v="Riverside County"/>
    <n v="7"/>
    <x v="3"/>
    <x v="2"/>
  </r>
  <r>
    <s v="TX500486"/>
    <s v="Shorts"/>
    <n v="3"/>
    <n v="16.8"/>
    <n v="50.400000000000006"/>
    <d v="2025-01-22T00:00:00"/>
    <d v="2025-01-27T00:00:00"/>
    <s v="F"/>
    <x v="2"/>
    <n v="5"/>
    <s v="California"/>
    <s v="San Diego County"/>
    <n v="5"/>
    <x v="3"/>
    <x v="2"/>
  </r>
  <r>
    <s v="TX500487"/>
    <s v="Sandals"/>
    <n v="11"/>
    <n v="35.799999999999997"/>
    <n v="393.79999999999995"/>
    <d v="2025-01-22T00:00:00"/>
    <d v="2025-01-23T00:00:00"/>
    <s v="M"/>
    <x v="1"/>
    <n v="4"/>
    <s v="California"/>
    <s v="San Francisco"/>
    <n v="1"/>
    <x v="3"/>
    <x v="1"/>
  </r>
  <r>
    <s v="TX500488"/>
    <s v="Leggings"/>
    <n v="1"/>
    <n v="64.900000000000006"/>
    <n v="64.900000000000006"/>
    <d v="2025-01-22T00:00:00"/>
    <d v="2025-01-23T00:00:00"/>
    <s v="M"/>
    <x v="0"/>
    <n v="3"/>
    <s v="California"/>
    <s v="San Francisco"/>
    <n v="1"/>
    <x v="3"/>
    <x v="1"/>
  </r>
  <r>
    <s v="TX500489"/>
    <s v="Leggings"/>
    <n v="1"/>
    <n v="28.5"/>
    <n v="28.5"/>
    <d v="2025-01-22T00:00:00"/>
    <d v="2025-01-24T00:00:00"/>
    <s v=""/>
    <x v="1"/>
    <n v="4"/>
    <s v="California"/>
    <s v="San Mateo County"/>
    <n v="2"/>
    <x v="3"/>
    <x v="0"/>
  </r>
  <r>
    <s v="TX500490"/>
    <s v="Leggings"/>
    <n v="2"/>
    <n v="103.5"/>
    <n v="207"/>
    <d v="2025-01-22T00:00:00"/>
    <d v="2025-01-24T00:00:00"/>
    <s v="F"/>
    <x v="1"/>
    <n v="4"/>
    <s v="California"/>
    <s v="Santa Barbara County"/>
    <n v="2"/>
    <x v="3"/>
    <x v="2"/>
  </r>
  <r>
    <s v="TX500491"/>
    <s v="Graphic Tees"/>
    <n v="2"/>
    <n v="41.2"/>
    <n v="82.4"/>
    <d v="2025-01-22T00:00:00"/>
    <d v="2025-01-23T00:00:00"/>
    <s v="F"/>
    <x v="1"/>
    <n v="4"/>
    <s v="California"/>
    <s v="Santa Barbara County"/>
    <n v="1"/>
    <x v="3"/>
    <x v="2"/>
  </r>
  <r>
    <s v="TX500492"/>
    <s v="Sundresses"/>
    <n v="1"/>
    <n v="37.799999999999997"/>
    <n v="37.799999999999997"/>
    <d v="2025-01-22T00:00:00"/>
    <d v="2025-01-24T00:00:00"/>
    <s v="F"/>
    <x v="3"/>
    <n v="1"/>
    <s v="California"/>
    <s v="Santa Clara County"/>
    <n v="2"/>
    <x v="3"/>
    <x v="2"/>
  </r>
  <r>
    <s v="TX500493"/>
    <s v="T-Shirts"/>
    <n v="2"/>
    <n v="42.6"/>
    <n v="85.2"/>
    <d v="2025-01-22T00:00:00"/>
    <d v="2025-01-24T00:00:00"/>
    <s v="F"/>
    <x v="4"/>
    <n v="4"/>
    <s v="California"/>
    <s v="Santa Clara County"/>
    <n v="2"/>
    <x v="3"/>
    <x v="2"/>
  </r>
  <r>
    <s v="TX500494"/>
    <s v="T-Shirts"/>
    <n v="10"/>
    <n v="15.2"/>
    <n v="152"/>
    <d v="2025-01-22T00:00:00"/>
    <d v="2025-01-24T00:00:00"/>
    <s v="F"/>
    <x v="2"/>
    <n v="4"/>
    <s v="California"/>
    <s v="Santa Clara County"/>
    <n v="2"/>
    <x v="3"/>
    <x v="2"/>
  </r>
  <r>
    <s v="TX500495"/>
    <s v="Hoodies &amp; Sweatshirts"/>
    <n v="4"/>
    <n v="83.4"/>
    <n v="333.6"/>
    <d v="2025-01-22T00:00:00"/>
    <d v="2025-01-23T00:00:00"/>
    <s v="F"/>
    <x v="2"/>
    <n v="3"/>
    <s v="California"/>
    <s v="Sonoma County"/>
    <n v="1"/>
    <x v="3"/>
    <x v="2"/>
  </r>
  <r>
    <s v="TX500496"/>
    <s v="Jewelry"/>
    <n v="2"/>
    <n v="27.7"/>
    <n v="55.4"/>
    <d v="2025-01-22T00:00:00"/>
    <d v="2025-01-23T00:00:00"/>
    <s v="F"/>
    <x v="0"/>
    <n v="3"/>
    <s v="California"/>
    <s v="Ventura County"/>
    <n v="1"/>
    <x v="3"/>
    <x v="2"/>
  </r>
  <r>
    <s v="TX500497"/>
    <s v="Bikinis"/>
    <n v="12"/>
    <n v="20.8"/>
    <n v="249.60000000000002"/>
    <d v="2025-01-22T00:00:00"/>
    <d v="2025-01-23T00:00:00"/>
    <s v="M"/>
    <x v="3"/>
    <n v="4"/>
    <s v="California"/>
    <s v="Ventura County"/>
    <n v="1"/>
    <x v="3"/>
    <x v="1"/>
  </r>
  <r>
    <s v="TX500498"/>
    <s v="Maxi Dresses"/>
    <n v="2"/>
    <n v="72.7"/>
    <n v="145.4"/>
    <d v="2025-01-22T00:00:00"/>
    <d v="2025-01-26T00:00:00"/>
    <s v="F"/>
    <x v="4"/>
    <n v="5"/>
    <s v="California"/>
    <s v="Humboldt County"/>
    <n v="4"/>
    <x v="3"/>
    <x v="2"/>
  </r>
  <r>
    <s v="TX500499"/>
    <s v="Bikinis"/>
    <n v="4"/>
    <n v="38.6"/>
    <n v="154.4"/>
    <d v="2025-01-22T00:00:00"/>
    <d v="2025-01-23T00:00:00"/>
    <s v="M"/>
    <x v="0"/>
    <n v="5"/>
    <s v="California"/>
    <s v="Kern County"/>
    <n v="1"/>
    <x v="3"/>
    <x v="1"/>
  </r>
  <r>
    <s v="TX500500"/>
    <s v="T-Shirts"/>
    <n v="7"/>
    <n v="33.1"/>
    <n v="231.70000000000002"/>
    <d v="2025-01-22T00:00:00"/>
    <d v="2025-01-23T00:00:00"/>
    <s v="O"/>
    <x v="4"/>
    <n v="1"/>
    <s v="California"/>
    <s v="Los Angeles County"/>
    <n v="1"/>
    <x v="3"/>
    <x v="3"/>
  </r>
  <r>
    <s v="TX500501"/>
    <s v="Bikinis"/>
    <n v="2"/>
    <n v="30.5"/>
    <n v="61"/>
    <d v="2025-01-22T00:00:00"/>
    <d v="2025-01-22T00:00:00"/>
    <s v=""/>
    <x v="1"/>
    <n v="3"/>
    <s v="California"/>
    <s v="Los Angeles County"/>
    <n v="0"/>
    <x v="3"/>
    <x v="0"/>
  </r>
  <r>
    <s v="TX500502"/>
    <s v="Sundresses"/>
    <n v="2"/>
    <n v="69.599999999999994"/>
    <n v="139.19999999999999"/>
    <d v="2025-01-22T00:00:00"/>
    <d v="2025-01-23T00:00:00"/>
    <s v="M"/>
    <x v="0"/>
    <n v="3"/>
    <s v="California"/>
    <s v="Los Angeles County"/>
    <n v="1"/>
    <x v="3"/>
    <x v="1"/>
  </r>
  <r>
    <s v="TX500503"/>
    <s v="Maxi Dresses"/>
    <n v="1"/>
    <n v="42.4"/>
    <n v="42.4"/>
    <d v="2025-01-22T00:00:00"/>
    <d v="2025-01-26T00:00:00"/>
    <s v="F"/>
    <x v="1"/>
    <n v="4"/>
    <s v="California"/>
    <s v="Los Angeles County"/>
    <n v="4"/>
    <x v="3"/>
    <x v="2"/>
  </r>
  <r>
    <s v="TX500504"/>
    <s v="Pajama Sets"/>
    <n v="1"/>
    <n v="32.200000000000003"/>
    <n v="32.200000000000003"/>
    <d v="2025-01-22T00:00:00"/>
    <d v="2025-01-25T00:00:00"/>
    <s v="F"/>
    <x v="2"/>
    <n v="3"/>
    <s v="California"/>
    <s v="Los Angeles County"/>
    <n v="3"/>
    <x v="3"/>
    <x v="2"/>
  </r>
  <r>
    <s v="TX500505"/>
    <s v="Jeans"/>
    <n v="2"/>
    <n v="41.5"/>
    <n v="83"/>
    <d v="2025-01-22T00:00:00"/>
    <d v="2025-01-25T00:00:00"/>
    <s v="F"/>
    <x v="0"/>
    <n v="5"/>
    <s v="California"/>
    <s v="Los Angeles County"/>
    <n v="3"/>
    <x v="3"/>
    <x v="2"/>
  </r>
  <r>
    <s v="TX500506"/>
    <s v="Sunglasses"/>
    <n v="9"/>
    <n v="58.9"/>
    <n v="530.1"/>
    <d v="2025-01-22T00:00:00"/>
    <d v="2025-01-26T00:00:00"/>
    <s v="F"/>
    <x v="3"/>
    <n v="4"/>
    <s v="California"/>
    <s v="Los Angeles County"/>
    <n v="4"/>
    <x v="3"/>
    <x v="2"/>
  </r>
  <r>
    <s v="TX500507"/>
    <s v="Sneakers"/>
    <n v="1"/>
    <n v="57.1"/>
    <n v="57.1"/>
    <d v="2025-01-22T00:00:00"/>
    <d v="2025-01-25T00:00:00"/>
    <s v="F"/>
    <x v="1"/>
    <n v="4"/>
    <s v="California"/>
    <s v="Los Angeles County"/>
    <n v="3"/>
    <x v="3"/>
    <x v="2"/>
  </r>
  <r>
    <s v="TX500508"/>
    <s v="Jeans"/>
    <n v="1"/>
    <n v="57.2"/>
    <n v="57.2"/>
    <d v="2025-01-22T00:00:00"/>
    <d v="2025-01-24T00:00:00"/>
    <s v="M"/>
    <x v="1"/>
    <n v="4"/>
    <s v="California"/>
    <s v="Los Angeles County"/>
    <n v="2"/>
    <x v="3"/>
    <x v="1"/>
  </r>
  <r>
    <s v="TX500509"/>
    <s v="T-Shirts"/>
    <n v="2"/>
    <n v="35.1"/>
    <n v="70.2"/>
    <d v="2025-01-22T00:00:00"/>
    <d v="2025-01-23T00:00:00"/>
    <s v="M"/>
    <x v="1"/>
    <n v="4"/>
    <s v="California"/>
    <s v="Sacramento County"/>
    <n v="1"/>
    <x v="3"/>
    <x v="1"/>
  </r>
  <r>
    <s v="TX500510"/>
    <s v="Tank Tops"/>
    <n v="1"/>
    <n v="52.1"/>
    <n v="52.1"/>
    <d v="2025-01-22T00:00:00"/>
    <d v="2025-01-24T00:00:00"/>
    <s v="F"/>
    <x v="4"/>
    <n v="3"/>
    <s v="California"/>
    <s v="San Diego County"/>
    <n v="2"/>
    <x v="3"/>
    <x v="2"/>
  </r>
  <r>
    <s v="TX500511"/>
    <s v="Tote Bags"/>
    <n v="3"/>
    <n v="59.8"/>
    <n v="179.39999999999998"/>
    <d v="2025-01-22T00:00:00"/>
    <d v="2025-01-24T00:00:00"/>
    <s v="F"/>
    <x v="4"/>
    <n v="3"/>
    <s v="California"/>
    <s v="San Diego County"/>
    <n v="2"/>
    <x v="3"/>
    <x v="2"/>
  </r>
  <r>
    <s v="TX500512"/>
    <s v="Workout Tops"/>
    <n v="4"/>
    <n v="83.3"/>
    <n v="333.2"/>
    <d v="2025-01-22T00:00:00"/>
    <d v="2025-01-22T00:00:00"/>
    <s v=""/>
    <x v="2"/>
    <n v="4"/>
    <s v="California"/>
    <s v="San Diego County"/>
    <n v="0"/>
    <x v="3"/>
    <x v="0"/>
  </r>
  <r>
    <s v="TX500513"/>
    <s v="Crop Tops"/>
    <n v="12"/>
    <n v="41.3"/>
    <n v="495.59999999999997"/>
    <d v="2025-01-22T00:00:00"/>
    <d v="2025-01-23T00:00:00"/>
    <s v="F"/>
    <x v="1"/>
    <n v="4"/>
    <s v="California"/>
    <s v="San Diego County"/>
    <n v="1"/>
    <x v="3"/>
    <x v="2"/>
  </r>
  <r>
    <s v="TX500514"/>
    <s v="T-Shirts"/>
    <n v="5"/>
    <n v="16"/>
    <n v="80"/>
    <d v="2025-01-22T00:00:00"/>
    <d v="2025-01-24T00:00:00"/>
    <s v="M"/>
    <x v="4"/>
    <n v="3"/>
    <s v="California"/>
    <s v="San Mateo County"/>
    <n v="2"/>
    <x v="3"/>
    <x v="1"/>
  </r>
  <r>
    <s v="TX500515"/>
    <s v="Bikinis"/>
    <n v="2"/>
    <n v="20.8"/>
    <n v="41.6"/>
    <d v="2025-01-23T00:00:00"/>
    <d v="2025-01-25T00:00:00"/>
    <s v="M"/>
    <x v="0"/>
    <n v="5"/>
    <s v="California"/>
    <s v="Santa Clara County"/>
    <n v="2"/>
    <x v="3"/>
    <x v="1"/>
  </r>
  <r>
    <s v="TX500516"/>
    <s v="T-Shirts"/>
    <n v="28"/>
    <n v="27.1"/>
    <n v="758.80000000000007"/>
    <d v="2025-01-23T00:00:00"/>
    <d v="2025-01-24T00:00:00"/>
    <s v=""/>
    <x v="3"/>
    <n v="5"/>
    <s v="California"/>
    <s v="Santa Clara County"/>
    <n v="1"/>
    <x v="3"/>
    <x v="0"/>
  </r>
  <r>
    <s v="TX500517"/>
    <s v="Bikinis"/>
    <n v="2"/>
    <n v="38.9"/>
    <n v="77.8"/>
    <d v="2025-01-23T00:00:00"/>
    <d v="2025-01-25T00:00:00"/>
    <s v="F"/>
    <x v="0"/>
    <n v="4"/>
    <s v="California"/>
    <s v="Sonoma County"/>
    <n v="2"/>
    <x v="3"/>
    <x v="2"/>
  </r>
  <r>
    <s v="TX500518"/>
    <s v="Shorts"/>
    <n v="2"/>
    <n v="10.8"/>
    <n v="21.6"/>
    <d v="2025-01-23T00:00:00"/>
    <d v="2025-01-26T00:00:00"/>
    <s v="F"/>
    <x v="1"/>
    <n v="5"/>
    <s v="California"/>
    <s v="Trinity County"/>
    <n v="3"/>
    <x v="3"/>
    <x v="2"/>
  </r>
  <r>
    <s v="TX500519"/>
    <s v="Graphic Tees"/>
    <n v="13"/>
    <n v="48.4"/>
    <n v="629.19999999999993"/>
    <d v="2025-01-23T00:00:00"/>
    <d v="2025-01-27T00:00:00"/>
    <s v="F"/>
    <x v="0"/>
    <n v="4"/>
    <s v="California"/>
    <s v="Alameda County"/>
    <n v="4"/>
    <x v="3"/>
    <x v="2"/>
  </r>
  <r>
    <s v="TX500520"/>
    <s v="Graphic Tees"/>
    <n v="3"/>
    <n v="29.2"/>
    <n v="87.6"/>
    <d v="2025-01-23T00:00:00"/>
    <d v="2025-01-26T00:00:00"/>
    <s v="F"/>
    <x v="1"/>
    <n v="3"/>
    <s v="California"/>
    <s v="Fresno County"/>
    <n v="3"/>
    <x v="3"/>
    <x v="2"/>
  </r>
  <r>
    <s v="TX500521"/>
    <s v="Graphic Tees"/>
    <n v="2"/>
    <n v="25.1"/>
    <n v="50.2"/>
    <d v="2025-01-23T00:00:00"/>
    <d v="2025-01-24T00:00:00"/>
    <s v="M"/>
    <x v="0"/>
    <n v="3"/>
    <s v="California"/>
    <s v="Fresno County"/>
    <n v="1"/>
    <x v="3"/>
    <x v="1"/>
  </r>
  <r>
    <s v="TX500522"/>
    <s v="Hoodies &amp; Sweatshirts"/>
    <n v="3"/>
    <n v="65.599999999999994"/>
    <n v="196.79999999999998"/>
    <d v="2025-01-23T00:00:00"/>
    <d v="2025-01-23T00:00:00"/>
    <s v="F"/>
    <x v="2"/>
    <n v="3"/>
    <s v="California"/>
    <s v="Los Angeles County"/>
    <n v="0"/>
    <x v="3"/>
    <x v="2"/>
  </r>
  <r>
    <s v="TX500523"/>
    <s v="Sneakers"/>
    <n v="2"/>
    <n v="57.3"/>
    <n v="114.6"/>
    <d v="2025-01-23T00:00:00"/>
    <d v="2025-01-23T00:00:00"/>
    <s v=""/>
    <x v="0"/>
    <n v="4"/>
    <s v="California"/>
    <s v="Los Angeles County"/>
    <n v="0"/>
    <x v="3"/>
    <x v="0"/>
  </r>
  <r>
    <s v="TX500524"/>
    <s v="Sundresses"/>
    <n v="4"/>
    <n v="22.4"/>
    <n v="89.6"/>
    <d v="2025-01-23T00:00:00"/>
    <d v="2025-01-24T00:00:00"/>
    <s v="F"/>
    <x v="2"/>
    <n v="5"/>
    <s v="California"/>
    <s v="Los Angeles County"/>
    <n v="1"/>
    <x v="3"/>
    <x v="2"/>
  </r>
  <r>
    <s v="TX500525"/>
    <s v="Casual Dresses"/>
    <n v="9"/>
    <n v="45.7"/>
    <n v="411.3"/>
    <d v="2025-01-23T00:00:00"/>
    <d v="2025-01-24T00:00:00"/>
    <s v="F"/>
    <x v="0"/>
    <n v="4"/>
    <s v="California"/>
    <s v="Los Angeles County"/>
    <n v="1"/>
    <x v="3"/>
    <x v="2"/>
  </r>
  <r>
    <s v="TX500526"/>
    <s v="T-Shirts"/>
    <n v="2"/>
    <n v="29.3"/>
    <n v="58.6"/>
    <d v="2025-01-23T00:00:00"/>
    <d v="2025-01-24T00:00:00"/>
    <s v="M"/>
    <x v="1"/>
    <n v="4"/>
    <s v="California"/>
    <s v="Los Angeles County"/>
    <n v="1"/>
    <x v="3"/>
    <x v="1"/>
  </r>
  <r>
    <s v="TX500527"/>
    <s v="Leggings"/>
    <n v="22"/>
    <n v="74"/>
    <n v="1628"/>
    <d v="2025-01-23T00:00:00"/>
    <d v="2025-01-24T00:00:00"/>
    <s v="M"/>
    <x v="0"/>
    <n v="5"/>
    <s v="California"/>
    <s v="Los Angeles County"/>
    <n v="1"/>
    <x v="3"/>
    <x v="1"/>
  </r>
  <r>
    <s v="TX500528"/>
    <s v="Baseball Caps"/>
    <n v="2"/>
    <n v="39.200000000000003"/>
    <n v="78.400000000000006"/>
    <d v="2025-01-23T00:00:00"/>
    <d v="2025-01-25T00:00:00"/>
    <s v="F"/>
    <x v="1"/>
    <n v="4"/>
    <s v="California"/>
    <s v="Los Angeles County"/>
    <n v="2"/>
    <x v="3"/>
    <x v="2"/>
  </r>
  <r>
    <s v="TX500529"/>
    <s v="Graphic Tees"/>
    <n v="17"/>
    <n v="62.7"/>
    <n v="1065.9000000000001"/>
    <d v="2025-01-23T00:00:00"/>
    <d v="2025-01-24T00:00:00"/>
    <s v="F"/>
    <x v="2"/>
    <n v="3"/>
    <s v="California"/>
    <s v="Los Angeles County"/>
    <n v="1"/>
    <x v="3"/>
    <x v="2"/>
  </r>
  <r>
    <s v="TX500530"/>
    <s v="Bikinis"/>
    <n v="2"/>
    <n v="60.1"/>
    <n v="120.2"/>
    <d v="2025-01-23T00:00:00"/>
    <d v="2025-01-24T00:00:00"/>
    <s v="F"/>
    <x v="3"/>
    <n v="4"/>
    <s v="California"/>
    <s v="Los Angeles County"/>
    <n v="1"/>
    <x v="3"/>
    <x v="2"/>
  </r>
  <r>
    <s v="TX500531"/>
    <s v="Shorts"/>
    <n v="4"/>
    <n v="11.2"/>
    <n v="44.8"/>
    <d v="2025-01-23T00:00:00"/>
    <d v="2025-01-24T00:00:00"/>
    <s v="F"/>
    <x v="3"/>
    <n v="3"/>
    <s v="California"/>
    <s v="Los Angeles County"/>
    <n v="1"/>
    <x v="3"/>
    <x v="2"/>
  </r>
  <r>
    <s v="TX500532"/>
    <s v="T-Shirts"/>
    <n v="2"/>
    <n v="22.9"/>
    <n v="45.8"/>
    <d v="2025-01-23T00:00:00"/>
    <d v="2025-01-24T00:00:00"/>
    <s v="F"/>
    <x v="0"/>
    <n v="4"/>
    <s v="California"/>
    <s v="Sacramento County"/>
    <n v="1"/>
    <x v="3"/>
    <x v="2"/>
  </r>
  <r>
    <s v="TX500533"/>
    <s v="Tank Tops"/>
    <n v="2"/>
    <n v="37.6"/>
    <n v="75.2"/>
    <d v="2025-01-23T00:00:00"/>
    <d v="2025-01-26T00:00:00"/>
    <s v="F"/>
    <x v="0"/>
    <n v="4"/>
    <s v="California"/>
    <s v="Sacramento County"/>
    <n v="3"/>
    <x v="3"/>
    <x v="2"/>
  </r>
  <r>
    <s v="TX500534"/>
    <s v="Jeans"/>
    <n v="1"/>
    <n v="42.4"/>
    <n v="42.4"/>
    <d v="2025-01-23T00:00:00"/>
    <d v="2025-01-24T00:00:00"/>
    <s v="F"/>
    <x v="3"/>
    <n v="5"/>
    <s v="California"/>
    <s v="Sacramento County"/>
    <n v="1"/>
    <x v="3"/>
    <x v="2"/>
  </r>
  <r>
    <s v="TX500535"/>
    <s v="T-Shirts"/>
    <n v="2"/>
    <n v="19.600000000000001"/>
    <n v="39.200000000000003"/>
    <d v="2025-01-23T00:00:00"/>
    <d v="2025-01-27T00:00:00"/>
    <s v="F"/>
    <x v="2"/>
    <n v="4"/>
    <s v="California"/>
    <s v="San Bernardino County"/>
    <n v="4"/>
    <x v="3"/>
    <x v="2"/>
  </r>
  <r>
    <s v="TX500536"/>
    <s v="Sundresses"/>
    <n v="1"/>
    <n v="90.5"/>
    <n v="90.5"/>
    <d v="2025-01-23T00:00:00"/>
    <d v="2025-01-26T00:00:00"/>
    <s v="F"/>
    <x v="2"/>
    <n v="4"/>
    <s v="California"/>
    <s v="San Bernardino County"/>
    <n v="3"/>
    <x v="3"/>
    <x v="2"/>
  </r>
  <r>
    <s v="TX500537"/>
    <s v="Sunglasses"/>
    <n v="11"/>
    <n v="33.9"/>
    <n v="372.9"/>
    <d v="2025-01-23T00:00:00"/>
    <d v="2025-01-24T00:00:00"/>
    <s v="M"/>
    <x v="2"/>
    <n v="3"/>
    <s v="California"/>
    <s v="San Bernardino County"/>
    <n v="1"/>
    <x v="3"/>
    <x v="1"/>
  </r>
  <r>
    <s v="TX500538"/>
    <s v="Shorts"/>
    <n v="2"/>
    <n v="32.799999999999997"/>
    <n v="65.599999999999994"/>
    <d v="2025-01-23T00:00:00"/>
    <d v="2025-01-25T00:00:00"/>
    <s v="F"/>
    <x v="4"/>
    <n v="2"/>
    <s v="California"/>
    <s v="San Diego County"/>
    <n v="2"/>
    <x v="3"/>
    <x v="2"/>
  </r>
  <r>
    <s v="TX500539"/>
    <s v="Crop Tops"/>
    <n v="1"/>
    <n v="49.9"/>
    <n v="49.9"/>
    <d v="2025-01-23T00:00:00"/>
    <d v="2025-01-24T00:00:00"/>
    <s v="M"/>
    <x v="3"/>
    <n v="3"/>
    <s v="California"/>
    <s v="San Diego County"/>
    <n v="1"/>
    <x v="3"/>
    <x v="1"/>
  </r>
  <r>
    <s v="TX500540"/>
    <s v="Hoodies &amp; Sweatshirts"/>
    <n v="5"/>
    <n v="79.2"/>
    <n v="396"/>
    <d v="2025-01-23T00:00:00"/>
    <d v="2025-01-24T00:00:00"/>
    <s v="F"/>
    <x v="4"/>
    <n v="4"/>
    <s v="California"/>
    <s v="San Diego County"/>
    <n v="1"/>
    <x v="3"/>
    <x v="2"/>
  </r>
  <r>
    <s v="TX500541"/>
    <s v="T-Shirts"/>
    <n v="16"/>
    <n v="19.5"/>
    <n v="312"/>
    <d v="2025-01-23T00:00:00"/>
    <d v="2025-01-25T00:00:00"/>
    <s v="M"/>
    <x v="3"/>
    <n v="5"/>
    <s v="California"/>
    <s v="San Diego County"/>
    <n v="2"/>
    <x v="3"/>
    <x v="1"/>
  </r>
  <r>
    <s v="TX500542"/>
    <s v="T-Shirts"/>
    <n v="4"/>
    <n v="18"/>
    <n v="72"/>
    <d v="2025-01-23T00:00:00"/>
    <d v="2025-01-24T00:00:00"/>
    <s v="M"/>
    <x v="1"/>
    <n v="4"/>
    <s v="California"/>
    <s v="Santa Barbara County"/>
    <n v="1"/>
    <x v="3"/>
    <x v="1"/>
  </r>
  <r>
    <s v="TX500543"/>
    <s v="Sundresses"/>
    <n v="3"/>
    <n v="45.9"/>
    <n v="137.69999999999999"/>
    <d v="2025-01-23T00:00:00"/>
    <d v="2025-01-25T00:00:00"/>
    <s v="F"/>
    <x v="1"/>
    <n v="3"/>
    <s v="California"/>
    <s v="Santa Barbara County"/>
    <n v="2"/>
    <x v="3"/>
    <x v="2"/>
  </r>
  <r>
    <s v="TX500544"/>
    <s v="Maxi Dresses"/>
    <n v="1"/>
    <n v="41.2"/>
    <n v="41.2"/>
    <d v="2025-01-23T00:00:00"/>
    <d v="2025-01-25T00:00:00"/>
    <s v="F"/>
    <x v="1"/>
    <n v="5"/>
    <s v="California"/>
    <s v="Santa Clara County"/>
    <n v="2"/>
    <x v="3"/>
    <x v="2"/>
  </r>
  <r>
    <s v="TX500545"/>
    <s v="Sneakers"/>
    <n v="10"/>
    <n v="167.2"/>
    <n v="1672"/>
    <d v="2025-01-23T00:00:00"/>
    <d v="2025-01-25T00:00:00"/>
    <s v="F"/>
    <x v="2"/>
    <n v="5"/>
    <s v="California"/>
    <s v="Santa Cruz County"/>
    <n v="2"/>
    <x v="3"/>
    <x v="2"/>
  </r>
  <r>
    <s v="TX500546"/>
    <s v="Jeans"/>
    <n v="30"/>
    <n v="74.5"/>
    <n v="2235"/>
    <d v="2025-01-24T00:00:00"/>
    <d v="2025-01-27T00:00:00"/>
    <s v="F"/>
    <x v="1"/>
    <n v="5"/>
    <s v="California"/>
    <s v="Solano County"/>
    <n v="3"/>
    <x v="3"/>
    <x v="2"/>
  </r>
  <r>
    <s v="TX500547"/>
    <s v="Hoodies &amp; Sweatshirts"/>
    <n v="4"/>
    <n v="39.299999999999997"/>
    <n v="157.19999999999999"/>
    <d v="2025-01-24T00:00:00"/>
    <d v="2025-01-25T00:00:00"/>
    <s v=""/>
    <x v="2"/>
    <n v="4"/>
    <s v="California"/>
    <s v="Stanislaus County"/>
    <n v="1"/>
    <x v="3"/>
    <x v="0"/>
  </r>
  <r>
    <s v="TX500548"/>
    <s v="Sundresses"/>
    <n v="1"/>
    <n v="68.5"/>
    <n v="68.5"/>
    <d v="2025-01-24T00:00:00"/>
    <d v="2025-01-27T00:00:00"/>
    <s v="M"/>
    <x v="1"/>
    <n v="5"/>
    <s v="California"/>
    <s v="Tehama County"/>
    <n v="3"/>
    <x v="3"/>
    <x v="1"/>
  </r>
  <r>
    <s v="TX500549"/>
    <s v="Shorts"/>
    <n v="3"/>
    <n v="22.5"/>
    <n v="67.5"/>
    <d v="2025-01-24T00:00:00"/>
    <d v="2025-01-24T00:00:00"/>
    <s v="F"/>
    <x v="4"/>
    <n v="4"/>
    <s v="California"/>
    <s v="Ventura County"/>
    <n v="0"/>
    <x v="3"/>
    <x v="2"/>
  </r>
  <r>
    <s v="TX500550"/>
    <s v="Tank Tops"/>
    <n v="1"/>
    <n v="48"/>
    <n v="48"/>
    <d v="2025-01-24T00:00:00"/>
    <d v="2025-01-25T00:00:00"/>
    <s v="O"/>
    <x v="4"/>
    <n v="3"/>
    <s v="California"/>
    <s v="Amador County"/>
    <n v="1"/>
    <x v="3"/>
    <x v="3"/>
  </r>
  <r>
    <s v="TX500551"/>
    <s v="Jeans"/>
    <n v="1"/>
    <n v="94"/>
    <n v="94"/>
    <d v="2025-01-24T00:00:00"/>
    <d v="2025-01-25T00:00:00"/>
    <s v="M"/>
    <x v="3"/>
    <n v="3"/>
    <s v="California"/>
    <s v="Contra Costa County"/>
    <n v="1"/>
    <x v="3"/>
    <x v="1"/>
  </r>
  <r>
    <s v="TX500552"/>
    <s v="T-Shirts"/>
    <n v="3"/>
    <n v="21.9"/>
    <n v="65.699999999999989"/>
    <d v="2025-01-24T00:00:00"/>
    <d v="2025-01-25T00:00:00"/>
    <s v="F"/>
    <x v="0"/>
    <n v="4"/>
    <s v="California"/>
    <s v="Humboldt County"/>
    <n v="1"/>
    <x v="3"/>
    <x v="2"/>
  </r>
  <r>
    <s v="TX500553"/>
    <s v="Jeans"/>
    <n v="7"/>
    <n v="64.900000000000006"/>
    <n v="454.30000000000007"/>
    <d v="2025-01-24T00:00:00"/>
    <d v="2025-01-25T00:00:00"/>
    <s v="F"/>
    <x v="0"/>
    <n v="4"/>
    <s v="California"/>
    <s v="Los Angeles County"/>
    <n v="1"/>
    <x v="3"/>
    <x v="2"/>
  </r>
  <r>
    <s v="TX500554"/>
    <s v="Casual Dresses"/>
    <n v="1"/>
    <n v="52.9"/>
    <n v="52.9"/>
    <d v="2025-01-24T00:00:00"/>
    <d v="2025-01-24T00:00:00"/>
    <s v="F"/>
    <x v="1"/>
    <n v="3"/>
    <s v="California"/>
    <s v="Los Angeles County"/>
    <n v="0"/>
    <x v="3"/>
    <x v="2"/>
  </r>
  <r>
    <s v="TX500555"/>
    <s v="T-Shirts"/>
    <n v="3"/>
    <n v="25.5"/>
    <n v="76.5"/>
    <d v="2025-01-24T00:00:00"/>
    <d v="2025-01-25T00:00:00"/>
    <s v="F"/>
    <x v="1"/>
    <n v="5"/>
    <s v="California"/>
    <s v="Los Angeles County"/>
    <n v="1"/>
    <x v="3"/>
    <x v="2"/>
  </r>
  <r>
    <s v="TX500556"/>
    <s v="Jeans"/>
    <n v="3"/>
    <n v="51.9"/>
    <n v="155.69999999999999"/>
    <d v="2025-01-24T00:00:00"/>
    <d v="2025-01-25T00:00:00"/>
    <s v="F"/>
    <x v="3"/>
    <n v="4"/>
    <s v="California"/>
    <s v="Los Angeles County"/>
    <n v="1"/>
    <x v="3"/>
    <x v="2"/>
  </r>
  <r>
    <s v="TX500557"/>
    <s v="Sandals"/>
    <n v="1"/>
    <n v="46.3"/>
    <n v="46.3"/>
    <d v="2025-01-24T00:00:00"/>
    <d v="2025-01-27T00:00:00"/>
    <s v="F"/>
    <x v="4"/>
    <n v="4"/>
    <s v="California"/>
    <s v="Los Angeles County"/>
    <n v="3"/>
    <x v="3"/>
    <x v="2"/>
  </r>
  <r>
    <s v="TX500558"/>
    <s v="Jeans"/>
    <n v="2"/>
    <n v="68.2"/>
    <n v="136.4"/>
    <d v="2025-01-24T00:00:00"/>
    <d v="2025-01-26T00:00:00"/>
    <s v="F"/>
    <x v="3"/>
    <n v="4"/>
    <s v="California"/>
    <s v="Los Angeles County"/>
    <n v="2"/>
    <x v="3"/>
    <x v="2"/>
  </r>
  <r>
    <s v="TX500559"/>
    <s v="Tank Tops"/>
    <n v="1"/>
    <n v="40.299999999999997"/>
    <n v="40.299999999999997"/>
    <d v="2025-01-24T00:00:00"/>
    <d v="2025-01-25T00:00:00"/>
    <s v="M"/>
    <x v="0"/>
    <n v="3"/>
    <s v="California"/>
    <s v="Los Angeles County"/>
    <n v="1"/>
    <x v="3"/>
    <x v="1"/>
  </r>
  <r>
    <s v="TX500560"/>
    <s v="Sneakers"/>
    <n v="3"/>
    <n v="91.3"/>
    <n v="273.89999999999998"/>
    <d v="2025-01-24T00:00:00"/>
    <d v="2025-01-29T00:00:00"/>
    <s v="M"/>
    <x v="0"/>
    <n v="5"/>
    <s v="California"/>
    <s v="Sacramento County"/>
    <n v="5"/>
    <x v="3"/>
    <x v="1"/>
  </r>
  <r>
    <s v="TX500561"/>
    <s v="Shorts"/>
    <n v="3"/>
    <n v="11.9"/>
    <n v="35.700000000000003"/>
    <d v="2025-01-24T00:00:00"/>
    <d v="2025-01-25T00:00:00"/>
    <s v="F"/>
    <x v="0"/>
    <n v="3"/>
    <s v="California"/>
    <s v="Sacramento County"/>
    <n v="1"/>
    <x v="3"/>
    <x v="2"/>
  </r>
  <r>
    <s v="TX500562"/>
    <s v="Sneakers"/>
    <n v="2"/>
    <n v="63.5"/>
    <n v="127"/>
    <d v="2025-01-24T00:00:00"/>
    <d v="2025-01-26T00:00:00"/>
    <s v="M"/>
    <x v="1"/>
    <n v="4"/>
    <s v="California"/>
    <s v="Sacramento County"/>
    <n v="2"/>
    <x v="3"/>
    <x v="1"/>
  </r>
  <r>
    <s v="TX500563"/>
    <s v="Graphic Tees"/>
    <n v="2"/>
    <n v="27.1"/>
    <n v="54.2"/>
    <d v="2025-01-24T00:00:00"/>
    <d v="2025-01-27T00:00:00"/>
    <s v="M"/>
    <x v="2"/>
    <n v="5"/>
    <s v="California"/>
    <s v="Sacramento County"/>
    <n v="3"/>
    <x v="3"/>
    <x v="1"/>
  </r>
  <r>
    <s v="TX500564"/>
    <s v="Tank Tops"/>
    <n v="2"/>
    <n v="82.1"/>
    <n v="164.2"/>
    <d v="2025-01-25T00:00:00"/>
    <d v="2025-01-28T00:00:00"/>
    <s v="M"/>
    <x v="1"/>
    <n v="3"/>
    <s v="California"/>
    <s v="San Bernardino County"/>
    <n v="3"/>
    <x v="3"/>
    <x v="1"/>
  </r>
  <r>
    <s v="TX500565"/>
    <s v="Workout Tops"/>
    <n v="5"/>
    <n v="42.9"/>
    <n v="214.5"/>
    <d v="2025-01-25T00:00:00"/>
    <d v="2025-01-27T00:00:00"/>
    <s v="F"/>
    <x v="1"/>
    <n v="4"/>
    <s v="California"/>
    <s v="San Diego County"/>
    <n v="2"/>
    <x v="3"/>
    <x v="2"/>
  </r>
  <r>
    <s v="TX500566"/>
    <s v="T-Shirts"/>
    <n v="11"/>
    <n v="37.9"/>
    <n v="416.9"/>
    <d v="2025-01-25T00:00:00"/>
    <d v="2025-02-01T00:00:00"/>
    <s v="M"/>
    <x v="0"/>
    <n v="4"/>
    <s v="California"/>
    <s v="San Diego County"/>
    <n v="7"/>
    <x v="3"/>
    <x v="1"/>
  </r>
  <r>
    <s v="TX500567"/>
    <s v="Shorts"/>
    <n v="1"/>
    <n v="22.4"/>
    <n v="22.4"/>
    <d v="2025-01-25T00:00:00"/>
    <d v="2025-01-26T00:00:00"/>
    <s v="F"/>
    <x v="0"/>
    <n v="3"/>
    <s v="California"/>
    <s v="San Francisco"/>
    <n v="1"/>
    <x v="3"/>
    <x v="2"/>
  </r>
  <r>
    <s v="TX500568"/>
    <s v="Sneakers"/>
    <n v="13"/>
    <n v="79.900000000000006"/>
    <n v="1038.7"/>
    <d v="2025-01-25T00:00:00"/>
    <d v="2025-02-07T00:00:00"/>
    <s v="F"/>
    <x v="3"/>
    <n v="3"/>
    <s v="California"/>
    <s v="Santa Clara County"/>
    <n v="13"/>
    <x v="3"/>
    <x v="2"/>
  </r>
  <r>
    <s v="TX500569"/>
    <s v="Tank Tops"/>
    <n v="1"/>
    <n v="70.599999999999994"/>
    <n v="70.599999999999994"/>
    <d v="2025-01-25T00:00:00"/>
    <d v="2025-01-28T00:00:00"/>
    <s v="F"/>
    <x v="0"/>
    <n v="3"/>
    <s v="California"/>
    <s v="Santa Clara County"/>
    <n v="3"/>
    <x v="3"/>
    <x v="2"/>
  </r>
  <r>
    <s v="TX500570"/>
    <s v="Jeans"/>
    <n v="1"/>
    <n v="49.5"/>
    <n v="49.5"/>
    <d v="2025-01-25T00:00:00"/>
    <d v="2025-01-27T00:00:00"/>
    <s v="M"/>
    <x v="0"/>
    <n v="4"/>
    <s v="California"/>
    <s v="Ventura County"/>
    <n v="2"/>
    <x v="3"/>
    <x v="1"/>
  </r>
  <r>
    <s v="TX500571"/>
    <s v="Sneakers"/>
    <n v="2"/>
    <n v="96.6"/>
    <n v="193.2"/>
    <d v="2025-01-25T00:00:00"/>
    <d v="2025-01-27T00:00:00"/>
    <s v="M"/>
    <x v="0"/>
    <n v="4"/>
    <s v="California"/>
    <s v="Alameda County"/>
    <n v="2"/>
    <x v="3"/>
    <x v="1"/>
  </r>
  <r>
    <s v="TX500572"/>
    <s v="Jeans"/>
    <n v="2"/>
    <n v="52.8"/>
    <n v="105.6"/>
    <d v="2025-01-25T00:00:00"/>
    <d v="2025-01-26T00:00:00"/>
    <s v="F"/>
    <x v="1"/>
    <n v="3"/>
    <s v="California"/>
    <s v="Alameda County"/>
    <n v="1"/>
    <x v="3"/>
    <x v="2"/>
  </r>
  <r>
    <s v="TX500573"/>
    <s v="Sneakers"/>
    <n v="1"/>
    <n v="101.7"/>
    <n v="101.7"/>
    <d v="2025-01-25T00:00:00"/>
    <d v="2025-01-26T00:00:00"/>
    <s v="M"/>
    <x v="0"/>
    <n v="4"/>
    <s v="California"/>
    <s v="Contra Costa County"/>
    <n v="1"/>
    <x v="3"/>
    <x v="1"/>
  </r>
  <r>
    <s v="TX500574"/>
    <s v="Graphic Tees"/>
    <n v="5"/>
    <n v="26.9"/>
    <n v="134.5"/>
    <d v="2025-01-25T00:00:00"/>
    <d v="2025-01-30T00:00:00"/>
    <s v="F"/>
    <x v="1"/>
    <n v="3"/>
    <s v="California"/>
    <s v="Kern County"/>
    <n v="5"/>
    <x v="3"/>
    <x v="2"/>
  </r>
  <r>
    <s v="TX500575"/>
    <s v="Sneakers"/>
    <n v="4"/>
    <n v="211"/>
    <n v="844"/>
    <d v="2025-01-25T00:00:00"/>
    <d v="2025-01-25T00:00:00"/>
    <s v="F"/>
    <x v="1"/>
    <n v="3"/>
    <s v="California"/>
    <s v="Los Angeles County"/>
    <n v="0"/>
    <x v="3"/>
    <x v="2"/>
  </r>
  <r>
    <s v="TX500576"/>
    <s v="Shorts"/>
    <n v="4"/>
    <n v="21.1"/>
    <n v="84.4"/>
    <d v="2025-01-25T00:00:00"/>
    <d v="2025-01-28T00:00:00"/>
    <s v="M"/>
    <x v="4"/>
    <n v="4"/>
    <s v="California"/>
    <s v="Los Angeles County"/>
    <n v="3"/>
    <x v="3"/>
    <x v="1"/>
  </r>
  <r>
    <s v="TX500577"/>
    <s v="Bikinis"/>
    <n v="1"/>
    <n v="26.6"/>
    <n v="26.6"/>
    <d v="2025-01-25T00:00:00"/>
    <d v="2025-01-27T00:00:00"/>
    <s v="M"/>
    <x v="0"/>
    <n v="2"/>
    <s v="California"/>
    <s v="Los Angeles County"/>
    <n v="2"/>
    <x v="3"/>
    <x v="1"/>
  </r>
  <r>
    <s v="TX500578"/>
    <s v="Casual Dresses"/>
    <n v="4"/>
    <n v="51.2"/>
    <n v="204.8"/>
    <d v="2025-01-25T00:00:00"/>
    <d v="2025-01-26T00:00:00"/>
    <s v="F"/>
    <x v="3"/>
    <n v="4"/>
    <s v="California"/>
    <s v="Mono County"/>
    <n v="1"/>
    <x v="3"/>
    <x v="2"/>
  </r>
  <r>
    <s v="TX500579"/>
    <s v="Shorts"/>
    <n v="5"/>
    <n v="10.6"/>
    <n v="53"/>
    <d v="2025-01-25T00:00:00"/>
    <d v="2025-01-29T00:00:00"/>
    <s v="F"/>
    <x v="0"/>
    <n v="4"/>
    <s v="California"/>
    <s v="San Diego County"/>
    <n v="4"/>
    <x v="3"/>
    <x v="2"/>
  </r>
  <r>
    <s v="TX500580"/>
    <s v="Jeans"/>
    <n v="3"/>
    <n v="43.4"/>
    <n v="130.19999999999999"/>
    <d v="2025-01-25T00:00:00"/>
    <d v="2025-01-28T00:00:00"/>
    <s v="F"/>
    <x v="4"/>
    <n v="4"/>
    <s v="California"/>
    <s v="San Diego County"/>
    <n v="3"/>
    <x v="3"/>
    <x v="2"/>
  </r>
  <r>
    <s v="TX500581"/>
    <s v="Casual Dresses"/>
    <n v="1"/>
    <n v="80"/>
    <n v="80"/>
    <d v="2025-01-25T00:00:00"/>
    <d v="2025-01-25T00:00:00"/>
    <s v="F"/>
    <x v="0"/>
    <n v="5"/>
    <s v="California"/>
    <s v="San Diego County"/>
    <n v="0"/>
    <x v="3"/>
    <x v="2"/>
  </r>
  <r>
    <s v="TX500582"/>
    <s v="Bikinis"/>
    <n v="4"/>
    <n v="64.7"/>
    <n v="258.8"/>
    <d v="2025-01-25T00:00:00"/>
    <d v="2025-01-27T00:00:00"/>
    <s v="F"/>
    <x v="1"/>
    <n v="2"/>
    <s v="California"/>
    <s v="San Diego County"/>
    <n v="2"/>
    <x v="3"/>
    <x v="2"/>
  </r>
  <r>
    <s v="TX500583"/>
    <s v="T-Shirts"/>
    <n v="11"/>
    <n v="26.3"/>
    <n v="289.3"/>
    <d v="2025-01-26T00:00:00"/>
    <d v="2025-01-26T00:00:00"/>
    <s v="F"/>
    <x v="4"/>
    <n v="3"/>
    <s v="California"/>
    <s v="San Joaquin County"/>
    <n v="0"/>
    <x v="3"/>
    <x v="2"/>
  </r>
  <r>
    <s v="TX500584"/>
    <s v="Bikinis"/>
    <n v="1"/>
    <n v="28.5"/>
    <n v="28.5"/>
    <d v="2025-01-26T00:00:00"/>
    <d v="2025-01-26T00:00:00"/>
    <s v="M"/>
    <x v="0"/>
    <n v="3"/>
    <s v="California"/>
    <s v="San Mateo County"/>
    <n v="0"/>
    <x v="3"/>
    <x v="1"/>
  </r>
  <r>
    <s v="TX500585"/>
    <s v="Pajama Sets"/>
    <n v="1"/>
    <n v="47.8"/>
    <n v="47.8"/>
    <d v="2025-01-26T00:00:00"/>
    <d v="2025-01-28T00:00:00"/>
    <s v="F"/>
    <x v="0"/>
    <n v="3"/>
    <s v="California"/>
    <s v="San Mateo County"/>
    <n v="2"/>
    <x v="3"/>
    <x v="2"/>
  </r>
  <r>
    <s v="TX500586"/>
    <s v="Bikinis"/>
    <n v="3"/>
    <n v="42.8"/>
    <n v="128.39999999999998"/>
    <d v="2025-01-26T00:00:00"/>
    <d v="2025-01-29T00:00:00"/>
    <s v="F"/>
    <x v="4"/>
    <n v="3"/>
    <s v="California"/>
    <s v="Santa Clara County"/>
    <n v="3"/>
    <x v="3"/>
    <x v="2"/>
  </r>
  <r>
    <s v="TX500587"/>
    <s v="Jeans"/>
    <n v="5"/>
    <n v="46.8"/>
    <n v="234"/>
    <d v="2025-01-26T00:00:00"/>
    <d v="2025-01-31T00:00:00"/>
    <s v="F"/>
    <x v="1"/>
    <n v="5"/>
    <s v="California"/>
    <s v="Santa Clara County"/>
    <n v="5"/>
    <x v="3"/>
    <x v="2"/>
  </r>
  <r>
    <s v="TX500588"/>
    <s v="Tank Tops"/>
    <n v="10"/>
    <n v="64.099999999999994"/>
    <n v="641"/>
    <d v="2025-01-26T00:00:00"/>
    <d v="2025-01-27T00:00:00"/>
    <s v="M"/>
    <x v="1"/>
    <n v="4"/>
    <s v="California"/>
    <s v="Santa Clara County"/>
    <n v="1"/>
    <x v="3"/>
    <x v="1"/>
  </r>
  <r>
    <s v="TX500589"/>
    <s v="Sneakers"/>
    <n v="1"/>
    <n v="89.1"/>
    <n v="89.1"/>
    <d v="2025-01-26T00:00:00"/>
    <d v="2025-01-27T00:00:00"/>
    <s v="F"/>
    <x v="0"/>
    <n v="3"/>
    <s v="California"/>
    <s v="Tulare County"/>
    <n v="1"/>
    <x v="3"/>
    <x v="2"/>
  </r>
  <r>
    <s v="TX500590"/>
    <s v="Sneakers"/>
    <n v="3"/>
    <n v="83.1"/>
    <n v="249.29999999999998"/>
    <d v="2025-01-26T00:00:00"/>
    <d v="2025-01-27T00:00:00"/>
    <s v="F"/>
    <x v="2"/>
    <n v="3"/>
    <s v="California"/>
    <s v="Ventura County"/>
    <n v="1"/>
    <x v="3"/>
    <x v="2"/>
  </r>
  <r>
    <s v="TX500591"/>
    <s v="T-Shirts"/>
    <n v="3"/>
    <n v="40.9"/>
    <n v="122.69999999999999"/>
    <d v="2025-01-26T00:00:00"/>
    <d v="2025-01-27T00:00:00"/>
    <s v="M"/>
    <x v="0"/>
    <n v="4"/>
    <s v="California"/>
    <s v="Contra Costa County"/>
    <n v="1"/>
    <x v="3"/>
    <x v="1"/>
  </r>
  <r>
    <s v="TX500592"/>
    <s v="Sneakers"/>
    <n v="2"/>
    <n v="125.7"/>
    <n v="251.4"/>
    <d v="2025-01-26T00:00:00"/>
    <d v="2025-01-27T00:00:00"/>
    <s v="F"/>
    <x v="3"/>
    <n v="4"/>
    <s v="California"/>
    <s v="Fresno County"/>
    <n v="1"/>
    <x v="3"/>
    <x v="2"/>
  </r>
  <r>
    <s v="TX500593"/>
    <s v="Workout Tops"/>
    <n v="2"/>
    <n v="30.9"/>
    <n v="61.8"/>
    <d v="2025-01-26T00:00:00"/>
    <d v="2025-01-26T00:00:00"/>
    <s v="F"/>
    <x v="2"/>
    <n v="5"/>
    <s v="California"/>
    <s v="Kern County"/>
    <n v="0"/>
    <x v="3"/>
    <x v="2"/>
  </r>
  <r>
    <s v="TX500594"/>
    <s v="T-Shirts"/>
    <n v="2"/>
    <n v="18.3"/>
    <n v="36.6"/>
    <d v="2025-01-26T00:00:00"/>
    <d v="2025-01-27T00:00:00"/>
    <s v="F"/>
    <x v="1"/>
    <n v="4"/>
    <s v="California"/>
    <s v="Los Angeles County"/>
    <n v="1"/>
    <x v="3"/>
    <x v="2"/>
  </r>
  <r>
    <s v="TX500595"/>
    <s v="Graphic Tees"/>
    <n v="2"/>
    <n v="56.5"/>
    <n v="113"/>
    <d v="2025-01-26T00:00:00"/>
    <d v="2025-01-30T00:00:00"/>
    <s v="M"/>
    <x v="2"/>
    <n v="5"/>
    <s v="California"/>
    <s v="Los Angeles County"/>
    <n v="4"/>
    <x v="3"/>
    <x v="1"/>
  </r>
  <r>
    <s v="TX500596"/>
    <s v="Bikinis"/>
    <n v="7"/>
    <n v="29.9"/>
    <n v="209.29999999999998"/>
    <d v="2025-01-26T00:00:00"/>
    <d v="2025-01-28T00:00:00"/>
    <s v="M"/>
    <x v="4"/>
    <n v="5"/>
    <s v="California"/>
    <s v="Los Angeles County"/>
    <n v="2"/>
    <x v="3"/>
    <x v="1"/>
  </r>
  <r>
    <s v="TX500597"/>
    <s v="Sandals"/>
    <n v="2"/>
    <n v="50.4"/>
    <n v="100.8"/>
    <d v="2025-01-26T00:00:00"/>
    <d v="2025-01-27T00:00:00"/>
    <s v="F"/>
    <x v="2"/>
    <n v="4"/>
    <s v="California"/>
    <s v="Los Angeles County"/>
    <n v="1"/>
    <x v="3"/>
    <x v="2"/>
  </r>
  <r>
    <s v="TX500598"/>
    <s v="Sneakers"/>
    <n v="1"/>
    <n v="85.8"/>
    <n v="85.8"/>
    <d v="2025-01-26T00:00:00"/>
    <d v="2025-01-26T00:00:00"/>
    <s v="F"/>
    <x v="2"/>
    <n v="5"/>
    <s v="California"/>
    <s v="Los Angeles County"/>
    <n v="0"/>
    <x v="3"/>
    <x v="2"/>
  </r>
  <r>
    <s v="TX500599"/>
    <s v="Graphic Tees"/>
    <n v="16"/>
    <n v="66.599999999999994"/>
    <n v="1065.5999999999999"/>
    <d v="2025-01-26T00:00:00"/>
    <d v="2025-01-28T00:00:00"/>
    <s v="M"/>
    <x v="1"/>
    <n v="4"/>
    <s v="California"/>
    <s v="Los Angeles County"/>
    <n v="2"/>
    <x v="3"/>
    <x v="1"/>
  </r>
  <r>
    <s v="TX500600"/>
    <s v="Jeans"/>
    <n v="4"/>
    <n v="70.3"/>
    <n v="281.2"/>
    <d v="2025-01-26T00:00:00"/>
    <d v="2025-01-27T00:00:00"/>
    <s v="F"/>
    <x v="0"/>
    <n v="3"/>
    <s v="California"/>
    <s v="Los Angeles County"/>
    <n v="1"/>
    <x v="3"/>
    <x v="2"/>
  </r>
  <r>
    <s v="TX500601"/>
    <s v="T-Shirts"/>
    <n v="4"/>
    <n v="31"/>
    <n v="124"/>
    <d v="2025-01-26T00:00:00"/>
    <d v="2025-01-29T00:00:00"/>
    <s v="M"/>
    <x v="0"/>
    <n v="5"/>
    <s v="California"/>
    <s v="Los Angeles County"/>
    <n v="3"/>
    <x v="3"/>
    <x v="1"/>
  </r>
  <r>
    <s v="TX500602"/>
    <s v="Hoodies &amp; Sweatshirts"/>
    <n v="6"/>
    <n v="81.599999999999994"/>
    <n v="489.59999999999997"/>
    <d v="2025-01-26T00:00:00"/>
    <d v="2025-01-27T00:00:00"/>
    <s v="F"/>
    <x v="1"/>
    <n v="3"/>
    <s v="California"/>
    <s v="Madera County"/>
    <n v="1"/>
    <x v="3"/>
    <x v="2"/>
  </r>
  <r>
    <s v="TX500603"/>
    <s v="Tank Tops"/>
    <n v="25"/>
    <n v="58.3"/>
    <n v="1457.5"/>
    <d v="2025-01-26T00:00:00"/>
    <d v="2025-01-27T00:00:00"/>
    <s v="F"/>
    <x v="0"/>
    <n v="4"/>
    <s v="California"/>
    <s v="Napa County"/>
    <n v="1"/>
    <x v="3"/>
    <x v="2"/>
  </r>
  <r>
    <s v="TX500604"/>
    <s v="Tank Tops"/>
    <n v="4"/>
    <n v="35.1"/>
    <n v="140.4"/>
    <d v="2025-01-26T00:00:00"/>
    <d v="2025-01-28T00:00:00"/>
    <s v="M"/>
    <x v="0"/>
    <n v="5"/>
    <s v="California"/>
    <s v="San Diego County"/>
    <n v="2"/>
    <x v="3"/>
    <x v="1"/>
  </r>
  <r>
    <s v="TX500605"/>
    <s v="Sneakers"/>
    <n v="1"/>
    <n v="80.2"/>
    <n v="80.2"/>
    <d v="2025-01-26T00:00:00"/>
    <d v="2025-01-27T00:00:00"/>
    <s v="M"/>
    <x v="3"/>
    <n v="5"/>
    <s v="California"/>
    <s v="San Diego County"/>
    <n v="1"/>
    <x v="3"/>
    <x v="1"/>
  </r>
  <r>
    <s v="TX500606"/>
    <s v="Baseball Caps"/>
    <n v="3"/>
    <n v="39.200000000000003"/>
    <n v="117.60000000000001"/>
    <d v="2025-01-26T00:00:00"/>
    <d v="2025-01-28T00:00:00"/>
    <s v="F"/>
    <x v="1"/>
    <n v="4"/>
    <s v="California"/>
    <s v="San Mateo County"/>
    <n v="2"/>
    <x v="3"/>
    <x v="2"/>
  </r>
  <r>
    <s v="TX500607"/>
    <s v="Shorts"/>
    <n v="2"/>
    <n v="15.4"/>
    <n v="30.8"/>
    <d v="2025-01-26T00:00:00"/>
    <d v="2025-01-26T00:00:00"/>
    <s v="F"/>
    <x v="3"/>
    <n v="4"/>
    <s v="California"/>
    <s v="Sierra County"/>
    <n v="0"/>
    <x v="3"/>
    <x v="2"/>
  </r>
  <r>
    <s v="TX500608"/>
    <s v="Workout Tops"/>
    <n v="3"/>
    <n v="65.400000000000006"/>
    <n v="196.20000000000002"/>
    <d v="2025-01-26T00:00:00"/>
    <d v="2025-01-29T00:00:00"/>
    <s v="M"/>
    <x v="3"/>
    <n v="4"/>
    <s v="California"/>
    <s v="Sonoma County"/>
    <n v="3"/>
    <x v="3"/>
    <x v="1"/>
  </r>
  <r>
    <s v="TX500609"/>
    <s v="Tank Tops"/>
    <n v="8"/>
    <n v="63.2"/>
    <n v="505.6"/>
    <d v="2025-01-26T00:00:00"/>
    <d v="2025-01-28T00:00:00"/>
    <s v="F"/>
    <x v="1"/>
    <n v="4"/>
    <s v="California"/>
    <s v="Stanislaus County"/>
    <n v="2"/>
    <x v="3"/>
    <x v="2"/>
  </r>
  <r>
    <s v="TX500610"/>
    <s v="Tank Tops"/>
    <n v="6"/>
    <n v="35.700000000000003"/>
    <n v="214.20000000000002"/>
    <d v="2025-01-26T00:00:00"/>
    <d v="2025-01-30T00:00:00"/>
    <s v="F"/>
    <x v="4"/>
    <n v="3"/>
    <s v="California"/>
    <s v="Stanislaus County"/>
    <n v="4"/>
    <x v="3"/>
    <x v="2"/>
  </r>
  <r>
    <s v="TX500611"/>
    <s v="Shorts"/>
    <n v="20"/>
    <n v="26.2"/>
    <n v="524"/>
    <d v="2025-01-26T00:00:00"/>
    <d v="2025-01-27T00:00:00"/>
    <s v="F"/>
    <x v="3"/>
    <n v="4"/>
    <s v="California"/>
    <s v="Alameda County"/>
    <n v="1"/>
    <x v="3"/>
    <x v="2"/>
  </r>
  <r>
    <s v="TX500612"/>
    <s v="Hoodies &amp; Sweatshirts"/>
    <n v="2"/>
    <n v="31"/>
    <n v="62"/>
    <d v="2025-01-26T00:00:00"/>
    <d v="2025-01-27T00:00:00"/>
    <s v="F"/>
    <x v="0"/>
    <n v="5"/>
    <s v="California"/>
    <s v="Contra Costa County"/>
    <n v="1"/>
    <x v="3"/>
    <x v="2"/>
  </r>
  <r>
    <s v="TX500613"/>
    <s v="T-Shirts"/>
    <n v="4"/>
    <n v="37.700000000000003"/>
    <n v="150.80000000000001"/>
    <d v="2025-01-26T00:00:00"/>
    <d v="2025-01-27T00:00:00"/>
    <s v="F"/>
    <x v="1"/>
    <n v="4"/>
    <s v="California"/>
    <s v="Kern County"/>
    <n v="1"/>
    <x v="3"/>
    <x v="2"/>
  </r>
  <r>
    <s v="TX500614"/>
    <s v="Bikinis"/>
    <n v="34"/>
    <n v="43.6"/>
    <n v="1482.4"/>
    <d v="2025-01-26T00:00:00"/>
    <d v="2025-01-28T00:00:00"/>
    <s v="F"/>
    <x v="4"/>
    <n v="3"/>
    <s v="California"/>
    <s v="Los Angeles County"/>
    <n v="2"/>
    <x v="3"/>
    <x v="2"/>
  </r>
  <r>
    <s v="TX500615"/>
    <s v="Sundresses"/>
    <n v="4"/>
    <n v="26.5"/>
    <n v="106"/>
    <d v="2025-01-26T00:00:00"/>
    <d v="2025-01-28T00:00:00"/>
    <s v="M"/>
    <x v="0"/>
    <n v="2"/>
    <s v="California"/>
    <s v="Los Angeles County"/>
    <n v="2"/>
    <x v="3"/>
    <x v="1"/>
  </r>
  <r>
    <s v="TX500616"/>
    <s v="Shorts"/>
    <n v="2"/>
    <n v="34.6"/>
    <n v="69.2"/>
    <d v="2025-01-26T00:00:00"/>
    <d v="2025-01-27T00:00:00"/>
    <s v="M"/>
    <x v="4"/>
    <n v="3"/>
    <s v="California"/>
    <s v="Los Angeles County"/>
    <n v="1"/>
    <x v="3"/>
    <x v="1"/>
  </r>
  <r>
    <s v="TX500617"/>
    <s v="T-Shirts"/>
    <n v="2"/>
    <n v="58.2"/>
    <n v="116.4"/>
    <d v="2025-01-26T00:00:00"/>
    <d v="2025-01-27T00:00:00"/>
    <s v="M"/>
    <x v="2"/>
    <n v="5"/>
    <s v="California"/>
    <s v="Los Angeles County"/>
    <n v="1"/>
    <x v="3"/>
    <x v="1"/>
  </r>
  <r>
    <s v="TX500618"/>
    <s v="Hoodies &amp; Sweatshirts"/>
    <n v="1"/>
    <n v="30.2"/>
    <n v="30.2"/>
    <d v="2025-01-27T00:00:00"/>
    <d v="2025-01-28T00:00:00"/>
    <s v="F"/>
    <x v="2"/>
    <n v="3"/>
    <s v="California"/>
    <s v="Los Angeles County"/>
    <n v="1"/>
    <x v="4"/>
    <x v="2"/>
  </r>
  <r>
    <s v="TX500619"/>
    <s v="Tank Tops"/>
    <n v="10"/>
    <n v="53.2"/>
    <n v="532"/>
    <d v="2025-01-27T00:00:00"/>
    <d v="2025-01-28T00:00:00"/>
    <s v="M"/>
    <x v="0"/>
    <n v="5"/>
    <s v="California"/>
    <s v="Placer County"/>
    <n v="1"/>
    <x v="4"/>
    <x v="1"/>
  </r>
  <r>
    <s v="TX500620"/>
    <s v="Casual Dresses"/>
    <n v="6"/>
    <n v="51.1"/>
    <n v="306.60000000000002"/>
    <d v="2025-01-27T00:00:00"/>
    <d v="2025-01-27T00:00:00"/>
    <s v="M"/>
    <x v="1"/>
    <n v="5"/>
    <s v="California"/>
    <s v="Placer County"/>
    <n v="0"/>
    <x v="4"/>
    <x v="1"/>
  </r>
  <r>
    <s v="TX500621"/>
    <s v="Tank Tops"/>
    <n v="1"/>
    <n v="105.4"/>
    <n v="105.4"/>
    <d v="2025-01-27T00:00:00"/>
    <d v="2025-01-31T00:00:00"/>
    <s v="F"/>
    <x v="1"/>
    <n v="5"/>
    <s v="California"/>
    <s v="Riverside County"/>
    <n v="4"/>
    <x v="4"/>
    <x v="2"/>
  </r>
  <r>
    <s v="TX500622"/>
    <s v="Hoodies &amp; Sweatshirts"/>
    <n v="1"/>
    <n v="57.7"/>
    <n v="57.7"/>
    <d v="2025-01-27T00:00:00"/>
    <d v="2025-01-27T00:00:00"/>
    <s v="M"/>
    <x v="0"/>
    <n v="2"/>
    <s v="California"/>
    <s v="San Diego County"/>
    <n v="0"/>
    <x v="4"/>
    <x v="1"/>
  </r>
  <r>
    <s v="TX500623"/>
    <s v="Crop Tops"/>
    <n v="2"/>
    <n v="72.400000000000006"/>
    <n v="144.80000000000001"/>
    <d v="2025-01-27T00:00:00"/>
    <d v="2025-02-01T00:00:00"/>
    <s v="F"/>
    <x v="0"/>
    <n v="4"/>
    <s v="California"/>
    <s v="San Francisco"/>
    <n v="5"/>
    <x v="4"/>
    <x v="2"/>
  </r>
  <r>
    <s v="TX500624"/>
    <s v="Jeans"/>
    <n v="2"/>
    <n v="62.5"/>
    <n v="125"/>
    <d v="2025-01-27T00:00:00"/>
    <d v="2025-01-28T00:00:00"/>
    <s v=""/>
    <x v="0"/>
    <n v="5"/>
    <s v="California"/>
    <s v="Santa Clara County"/>
    <n v="1"/>
    <x v="4"/>
    <x v="0"/>
  </r>
  <r>
    <s v="TX500625"/>
    <s v="Shorts"/>
    <n v="22"/>
    <n v="11.6"/>
    <n v="255.2"/>
    <d v="2025-01-27T00:00:00"/>
    <d v="2025-01-29T00:00:00"/>
    <s v="F"/>
    <x v="3"/>
    <n v="5"/>
    <s v="California"/>
    <s v="Sonoma County"/>
    <n v="2"/>
    <x v="4"/>
    <x v="2"/>
  </r>
  <r>
    <s v="TX500626"/>
    <s v="Bikinis"/>
    <n v="10"/>
    <n v="39.6"/>
    <n v="396"/>
    <d v="2025-01-27T00:00:00"/>
    <d v="2025-01-29T00:00:00"/>
    <s v="F"/>
    <x v="2"/>
    <n v="5"/>
    <s v="California"/>
    <s v="Sonoma County"/>
    <n v="2"/>
    <x v="4"/>
    <x v="2"/>
  </r>
  <r>
    <s v="TX500627"/>
    <s v="T-Shirts"/>
    <n v="2"/>
    <n v="40.1"/>
    <n v="80.2"/>
    <d v="2025-01-27T00:00:00"/>
    <d v="2025-01-28T00:00:00"/>
    <s v="F"/>
    <x v="2"/>
    <n v="4"/>
    <s v="California"/>
    <s v="Sonoma County"/>
    <n v="1"/>
    <x v="4"/>
    <x v="2"/>
  </r>
  <r>
    <s v="TX500628"/>
    <s v="T-Shirts"/>
    <n v="3"/>
    <n v="18.600000000000001"/>
    <n v="55.800000000000004"/>
    <d v="2025-01-27T00:00:00"/>
    <d v="2025-01-28T00:00:00"/>
    <s v="F"/>
    <x v="2"/>
    <n v="4"/>
    <s v="California"/>
    <s v="Alameda County"/>
    <n v="1"/>
    <x v="4"/>
    <x v="2"/>
  </r>
  <r>
    <s v="TX500629"/>
    <s v="Graphic Tees"/>
    <n v="1"/>
    <n v="58.8"/>
    <n v="58.8"/>
    <d v="2025-01-27T00:00:00"/>
    <d v="2025-01-29T00:00:00"/>
    <s v="F"/>
    <x v="0"/>
    <n v="3"/>
    <s v="California"/>
    <s v="Alameda County"/>
    <n v="2"/>
    <x v="4"/>
    <x v="2"/>
  </r>
  <r>
    <s v="TX500630"/>
    <s v="T-Shirts"/>
    <n v="2"/>
    <n v="22.1"/>
    <n v="44.2"/>
    <d v="2025-01-27T00:00:00"/>
    <d v="2025-01-30T00:00:00"/>
    <s v="M"/>
    <x v="1"/>
    <n v="5"/>
    <s v="California"/>
    <s v="Alameda County"/>
    <n v="3"/>
    <x v="4"/>
    <x v="1"/>
  </r>
  <r>
    <s v="TX500631"/>
    <s v="Sneakers"/>
    <n v="1"/>
    <n v="114.9"/>
    <n v="114.9"/>
    <d v="2025-01-28T00:00:00"/>
    <d v="2025-01-29T00:00:00"/>
    <s v="F"/>
    <x v="1"/>
    <n v="3"/>
    <s v="California"/>
    <s v="Kern County"/>
    <n v="1"/>
    <x v="4"/>
    <x v="2"/>
  </r>
  <r>
    <s v="TX500632"/>
    <s v="Sundresses"/>
    <n v="5"/>
    <n v="75.8"/>
    <n v="379"/>
    <d v="2025-01-28T00:00:00"/>
    <d v="2025-01-29T00:00:00"/>
    <s v="M"/>
    <x v="0"/>
    <n v="5"/>
    <s v="California"/>
    <s v="Los Angeles County"/>
    <n v="1"/>
    <x v="4"/>
    <x v="1"/>
  </r>
  <r>
    <s v="TX500633"/>
    <s v="Baseball Caps"/>
    <n v="5"/>
    <n v="20.6"/>
    <n v="103"/>
    <d v="2025-01-28T00:00:00"/>
    <d v="2025-01-29T00:00:00"/>
    <s v="M"/>
    <x v="2"/>
    <n v="5"/>
    <s v="California"/>
    <s v="Los Angeles County"/>
    <n v="1"/>
    <x v="4"/>
    <x v="1"/>
  </r>
  <r>
    <s v="TX500634"/>
    <s v="Pajama Sets"/>
    <n v="3"/>
    <n v="67.900000000000006"/>
    <n v="203.70000000000002"/>
    <d v="2025-01-28T00:00:00"/>
    <d v="2025-01-29T00:00:00"/>
    <s v="F"/>
    <x v="1"/>
    <n v="3"/>
    <s v="California"/>
    <s v="Los Angeles County"/>
    <n v="1"/>
    <x v="4"/>
    <x v="2"/>
  </r>
  <r>
    <s v="TX500635"/>
    <s v="Shorts"/>
    <n v="5"/>
    <n v="27"/>
    <n v="135"/>
    <d v="2025-01-28T00:00:00"/>
    <d v="2025-02-04T00:00:00"/>
    <s v="F"/>
    <x v="0"/>
    <n v="5"/>
    <s v="California"/>
    <s v="Los Angeles County"/>
    <n v="7"/>
    <x v="4"/>
    <x v="2"/>
  </r>
  <r>
    <s v="TX500636"/>
    <s v="Tote Bags"/>
    <n v="1"/>
    <n v="50.6"/>
    <n v="50.6"/>
    <d v="2025-01-28T00:00:00"/>
    <d v="2025-01-28T00:00:00"/>
    <s v="M"/>
    <x v="0"/>
    <n v="3"/>
    <s v="California"/>
    <s v="Los Angeles County"/>
    <n v="0"/>
    <x v="4"/>
    <x v="1"/>
  </r>
  <r>
    <s v="TX500637"/>
    <s v="Graphic Tees"/>
    <n v="5"/>
    <n v="22.1"/>
    <n v="110.5"/>
    <d v="2025-01-28T00:00:00"/>
    <d v="2025-02-02T00:00:00"/>
    <s v="M"/>
    <x v="0"/>
    <n v="4"/>
    <s v="California"/>
    <s v="Los Angeles County"/>
    <n v="5"/>
    <x v="4"/>
    <x v="1"/>
  </r>
  <r>
    <s v="TX500638"/>
    <s v="T-Shirts"/>
    <n v="3"/>
    <n v="42.9"/>
    <n v="128.69999999999999"/>
    <d v="2025-01-28T00:00:00"/>
    <d v="2025-01-30T00:00:00"/>
    <s v="F"/>
    <x v="0"/>
    <n v="4"/>
    <s v="California"/>
    <s v="Los Angeles County"/>
    <n v="2"/>
    <x v="4"/>
    <x v="2"/>
  </r>
  <r>
    <s v="TX500639"/>
    <s v="Tank Tops"/>
    <n v="11"/>
    <n v="62.4"/>
    <n v="686.4"/>
    <d v="2025-01-28T00:00:00"/>
    <d v="2025-01-30T00:00:00"/>
    <s v="F"/>
    <x v="2"/>
    <n v="4"/>
    <s v="California"/>
    <s v="Los Angeles County"/>
    <n v="2"/>
    <x v="4"/>
    <x v="2"/>
  </r>
  <r>
    <s v="TX500640"/>
    <s v="Tote Bags"/>
    <n v="9"/>
    <n v="36.4"/>
    <n v="327.59999999999997"/>
    <d v="2025-01-28T00:00:00"/>
    <d v="2025-01-30T00:00:00"/>
    <s v="F"/>
    <x v="0"/>
    <n v="5"/>
    <s v="California"/>
    <s v="Los Angeles County"/>
    <n v="2"/>
    <x v="4"/>
    <x v="2"/>
  </r>
  <r>
    <s v="TX500641"/>
    <s v="Shorts"/>
    <n v="2"/>
    <n v="22.5"/>
    <n v="45"/>
    <d v="2025-01-28T00:00:00"/>
    <d v="2025-01-31T00:00:00"/>
    <s v="M"/>
    <x v="0"/>
    <n v="4"/>
    <s v="California"/>
    <s v="Los Angeles County"/>
    <n v="3"/>
    <x v="4"/>
    <x v="1"/>
  </r>
  <r>
    <s v="TX500642"/>
    <s v="Jeans"/>
    <n v="4"/>
    <n v="70.8"/>
    <n v="283.2"/>
    <d v="2025-01-28T00:00:00"/>
    <d v="2025-01-30T00:00:00"/>
    <s v="F"/>
    <x v="4"/>
    <n v="4"/>
    <s v="California"/>
    <s v="Los Angeles County"/>
    <n v="2"/>
    <x v="4"/>
    <x v="2"/>
  </r>
  <r>
    <s v="TX500643"/>
    <s v="Jeans"/>
    <n v="5"/>
    <n v="56.6"/>
    <n v="283"/>
    <d v="2025-01-28T00:00:00"/>
    <d v="2025-01-30T00:00:00"/>
    <s v="M"/>
    <x v="0"/>
    <n v="3"/>
    <s v="California"/>
    <s v="Nevada County"/>
    <n v="2"/>
    <x v="4"/>
    <x v="1"/>
  </r>
  <r>
    <s v="TX500644"/>
    <s v="Jeans"/>
    <n v="2"/>
    <n v="47.9"/>
    <n v="95.8"/>
    <d v="2025-01-28T00:00:00"/>
    <d v="2025-01-29T00:00:00"/>
    <s v="F"/>
    <x v="0"/>
    <n v="4"/>
    <s v="California"/>
    <s v="Sacramento County"/>
    <n v="1"/>
    <x v="4"/>
    <x v="2"/>
  </r>
  <r>
    <s v="TX500645"/>
    <s v="Jeans"/>
    <n v="8"/>
    <n v="78.400000000000006"/>
    <n v="627.20000000000005"/>
    <d v="2025-01-28T00:00:00"/>
    <d v="2025-01-30T00:00:00"/>
    <s v="F"/>
    <x v="1"/>
    <n v="4"/>
    <s v="California"/>
    <s v="Sacramento County"/>
    <n v="2"/>
    <x v="4"/>
    <x v="2"/>
  </r>
  <r>
    <s v="TX500646"/>
    <s v="Sneakers"/>
    <n v="14"/>
    <n v="122.1"/>
    <n v="1709.3999999999999"/>
    <d v="2025-01-28T00:00:00"/>
    <d v="2025-02-02T00:00:00"/>
    <s v="F"/>
    <x v="0"/>
    <n v="5"/>
    <s v="California"/>
    <s v="Sacramento County"/>
    <n v="5"/>
    <x v="4"/>
    <x v="2"/>
  </r>
  <r>
    <s v="TX500647"/>
    <s v="Sneakers"/>
    <n v="2"/>
    <n v="83.7"/>
    <n v="167.4"/>
    <d v="2025-01-29T00:00:00"/>
    <d v="2025-01-29T00:00:00"/>
    <s v=""/>
    <x v="1"/>
    <n v="5"/>
    <s v="California"/>
    <s v="San Bernardino County"/>
    <n v="0"/>
    <x v="4"/>
    <x v="0"/>
  </r>
  <r>
    <s v="TX500648"/>
    <s v="Workout Tops"/>
    <n v="4"/>
    <n v="97.9"/>
    <n v="391.6"/>
    <d v="2025-01-29T00:00:00"/>
    <d v="2025-02-02T00:00:00"/>
    <s v="F"/>
    <x v="3"/>
    <n v="5"/>
    <s v="California"/>
    <s v="San Bernardino County"/>
    <n v="4"/>
    <x v="4"/>
    <x v="2"/>
  </r>
  <r>
    <s v="TX500649"/>
    <s v="Baseball Caps"/>
    <n v="1"/>
    <n v="15"/>
    <n v="15"/>
    <d v="2025-01-29T00:00:00"/>
    <d v="2025-02-03T00:00:00"/>
    <s v="F"/>
    <x v="3"/>
    <n v="4"/>
    <s v="California"/>
    <s v="San Diego County"/>
    <n v="5"/>
    <x v="4"/>
    <x v="2"/>
  </r>
  <r>
    <s v="TX500650"/>
    <s v="Casual Dresses"/>
    <n v="3"/>
    <n v="94.6"/>
    <n v="283.79999999999995"/>
    <d v="2025-01-29T00:00:00"/>
    <d v="2025-01-30T00:00:00"/>
    <s v="M"/>
    <x v="2"/>
    <n v="3"/>
    <s v="California"/>
    <s v="San Diego County"/>
    <n v="1"/>
    <x v="4"/>
    <x v="1"/>
  </r>
  <r>
    <s v="TX500651"/>
    <s v="Shorts"/>
    <n v="6"/>
    <n v="19.7"/>
    <n v="118.19999999999999"/>
    <d v="2025-01-29T00:00:00"/>
    <d v="2025-02-09T00:00:00"/>
    <s v="F"/>
    <x v="0"/>
    <n v="5"/>
    <s v="California"/>
    <s v="San Diego County"/>
    <n v="11"/>
    <x v="4"/>
    <x v="2"/>
  </r>
  <r>
    <s v="TX500652"/>
    <s v="Hoodies &amp; Sweatshirts"/>
    <n v="1"/>
    <n v="46.7"/>
    <n v="46.7"/>
    <d v="2025-01-29T00:00:00"/>
    <d v="2025-02-01T00:00:00"/>
    <s v="F"/>
    <x v="2"/>
    <n v="4"/>
    <s v="California"/>
    <s v="San Francisco"/>
    <n v="3"/>
    <x v="4"/>
    <x v="2"/>
  </r>
  <r>
    <s v="TX500653"/>
    <s v="Tank Tops"/>
    <n v="4"/>
    <n v="43"/>
    <n v="172"/>
    <d v="2025-01-29T00:00:00"/>
    <d v="2025-01-30T00:00:00"/>
    <s v="M"/>
    <x v="2"/>
    <n v="5"/>
    <s v="California"/>
    <s v="San Francisco"/>
    <n v="1"/>
    <x v="4"/>
    <x v="1"/>
  </r>
  <r>
    <s v="TX500654"/>
    <s v="Jeans"/>
    <n v="3"/>
    <n v="68.2"/>
    <n v="204.60000000000002"/>
    <d v="2025-01-29T00:00:00"/>
    <d v="2025-02-04T00:00:00"/>
    <s v="F"/>
    <x v="0"/>
    <n v="4"/>
    <s v="California"/>
    <s v="San Mateo County"/>
    <n v="6"/>
    <x v="4"/>
    <x v="2"/>
  </r>
  <r>
    <s v="TX500655"/>
    <s v="Bikinis"/>
    <n v="10"/>
    <n v="24.3"/>
    <n v="243"/>
    <d v="2025-01-29T00:00:00"/>
    <d v="2025-01-30T00:00:00"/>
    <s v="M"/>
    <x v="0"/>
    <n v="5"/>
    <s v="California"/>
    <s v="Santa Barbara County"/>
    <n v="1"/>
    <x v="4"/>
    <x v="1"/>
  </r>
  <r>
    <s v="TX500656"/>
    <s v="Hoodies &amp; Sweatshirts"/>
    <n v="2"/>
    <n v="86.8"/>
    <n v="173.6"/>
    <d v="2025-01-29T00:00:00"/>
    <d v="2025-02-02T00:00:00"/>
    <s v="F"/>
    <x v="4"/>
    <n v="5"/>
    <s v="California"/>
    <s v="Santa Clara County"/>
    <n v="4"/>
    <x v="4"/>
    <x v="2"/>
  </r>
  <r>
    <s v="TX500657"/>
    <s v="Shorts"/>
    <n v="2"/>
    <n v="15.8"/>
    <n v="31.6"/>
    <d v="2025-01-29T00:00:00"/>
    <d v="2025-01-31T00:00:00"/>
    <s v="M"/>
    <x v="1"/>
    <n v="4"/>
    <s v="California"/>
    <s v="Santa Clara County"/>
    <n v="2"/>
    <x v="4"/>
    <x v="1"/>
  </r>
  <r>
    <s v="TX500658"/>
    <s v="Sneakers"/>
    <n v="4"/>
    <n v="61.6"/>
    <n v="246.4"/>
    <d v="2025-01-29T00:00:00"/>
    <d v="2025-01-30T00:00:00"/>
    <s v="M"/>
    <x v="2"/>
    <n v="4"/>
    <s v="California"/>
    <s v="Santa Clara County"/>
    <n v="1"/>
    <x v="4"/>
    <x v="1"/>
  </r>
  <r>
    <s v="TX500659"/>
    <s v="Jeans"/>
    <n v="3"/>
    <n v="48.7"/>
    <n v="146.10000000000002"/>
    <d v="2025-01-29T00:00:00"/>
    <d v="2025-02-04T00:00:00"/>
    <s v="F"/>
    <x v="1"/>
    <n v="5"/>
    <s v="California"/>
    <s v="Trinity County"/>
    <n v="6"/>
    <x v="4"/>
    <x v="2"/>
  </r>
  <r>
    <s v="TX500660"/>
    <s v="T-Shirts"/>
    <n v="4"/>
    <n v="24.3"/>
    <n v="97.2"/>
    <d v="2025-01-29T00:00:00"/>
    <d v="2025-01-31T00:00:00"/>
    <s v="F"/>
    <x v="1"/>
    <n v="5"/>
    <s v="California"/>
    <s v="Alameda County"/>
    <n v="2"/>
    <x v="4"/>
    <x v="2"/>
  </r>
  <r>
    <s v="TX500661"/>
    <s v="Sneakers"/>
    <n v="2"/>
    <n v="130.69999999999999"/>
    <n v="261.39999999999998"/>
    <d v="2025-01-29T00:00:00"/>
    <d v="2025-01-30T00:00:00"/>
    <s v="F"/>
    <x v="2"/>
    <n v="4"/>
    <s v="California"/>
    <s v="Humboldt County"/>
    <n v="1"/>
    <x v="4"/>
    <x v="2"/>
  </r>
  <r>
    <s v="TX500662"/>
    <s v="Bikinis"/>
    <n v="1"/>
    <n v="26"/>
    <n v="26"/>
    <d v="2025-01-29T00:00:00"/>
    <d v="2025-01-31T00:00:00"/>
    <s v="M"/>
    <x v="0"/>
    <n v="4"/>
    <s v="California"/>
    <s v="Los Angeles County"/>
    <n v="2"/>
    <x v="4"/>
    <x v="1"/>
  </r>
  <r>
    <s v="TX500663"/>
    <s v="Sneakers"/>
    <n v="5"/>
    <n v="94.4"/>
    <n v="472"/>
    <d v="2025-01-29T00:00:00"/>
    <d v="2025-01-30T00:00:00"/>
    <s v="F"/>
    <x v="0"/>
    <n v="4"/>
    <s v="California"/>
    <s v="Los Angeles County"/>
    <n v="1"/>
    <x v="4"/>
    <x v="2"/>
  </r>
  <r>
    <s v="TX500664"/>
    <s v="Shorts"/>
    <n v="6"/>
    <n v="23.7"/>
    <n v="142.19999999999999"/>
    <d v="2025-01-29T00:00:00"/>
    <d v="2025-01-31T00:00:00"/>
    <s v="M"/>
    <x v="2"/>
    <n v="5"/>
    <s v="California"/>
    <s v="Los Angeles County"/>
    <n v="2"/>
    <x v="4"/>
    <x v="1"/>
  </r>
  <r>
    <s v="TX500665"/>
    <s v="Sundresses"/>
    <n v="12"/>
    <n v="37.4"/>
    <n v="448.79999999999995"/>
    <d v="2025-01-29T00:00:00"/>
    <d v="2025-01-31T00:00:00"/>
    <s v="M"/>
    <x v="2"/>
    <n v="4"/>
    <s v="California"/>
    <s v="Los Angeles County"/>
    <n v="2"/>
    <x v="4"/>
    <x v="1"/>
  </r>
  <r>
    <s v="TX500666"/>
    <s v="Tank Tops"/>
    <n v="36"/>
    <n v="55.2"/>
    <n v="1987.2"/>
    <d v="2025-01-29T00:00:00"/>
    <d v="2025-01-29T00:00:00"/>
    <s v="F"/>
    <x v="3"/>
    <n v="3"/>
    <s v="California"/>
    <s v="Los Angeles County"/>
    <n v="0"/>
    <x v="4"/>
    <x v="2"/>
  </r>
  <r>
    <s v="TX500667"/>
    <s v="Sneakers"/>
    <n v="9"/>
    <n v="57.1"/>
    <n v="513.9"/>
    <d v="2025-01-29T00:00:00"/>
    <d v="2025-01-31T00:00:00"/>
    <s v="M"/>
    <x v="0"/>
    <n v="5"/>
    <s v="California"/>
    <s v="Los Angeles County"/>
    <n v="2"/>
    <x v="4"/>
    <x v="1"/>
  </r>
  <r>
    <s v="TX500668"/>
    <s v="Casual Dresses"/>
    <n v="1"/>
    <n v="55.3"/>
    <n v="55.3"/>
    <d v="2025-01-29T00:00:00"/>
    <d v="2025-01-30T00:00:00"/>
    <s v="F"/>
    <x v="2"/>
    <n v="5"/>
    <s v="California"/>
    <s v="Los Angeles County"/>
    <n v="1"/>
    <x v="4"/>
    <x v="2"/>
  </r>
  <r>
    <s v="TX500669"/>
    <s v="Crop Tops"/>
    <n v="7"/>
    <n v="23.9"/>
    <n v="167.29999999999998"/>
    <d v="2025-01-29T00:00:00"/>
    <d v="2025-01-30T00:00:00"/>
    <s v="F"/>
    <x v="4"/>
    <n v="3"/>
    <s v="California"/>
    <s v="Los Angeles County"/>
    <n v="1"/>
    <x v="4"/>
    <x v="2"/>
  </r>
  <r>
    <s v="TX500670"/>
    <s v="Shorts"/>
    <n v="1"/>
    <n v="34.1"/>
    <n v="34.1"/>
    <d v="2025-01-29T00:00:00"/>
    <d v="2025-02-05T00:00:00"/>
    <s v="F"/>
    <x v="2"/>
    <n v="4"/>
    <s v="California"/>
    <s v="Los Angeles County"/>
    <n v="7"/>
    <x v="4"/>
    <x v="2"/>
  </r>
  <r>
    <s v="TX500671"/>
    <s v="Casual Dresses"/>
    <n v="4"/>
    <n v="38.5"/>
    <n v="154"/>
    <d v="2025-01-29T00:00:00"/>
    <d v="2025-02-09T00:00:00"/>
    <s v="F"/>
    <x v="0"/>
    <n v="4"/>
    <s v="California"/>
    <s v="Los Angeles County"/>
    <n v="11"/>
    <x v="4"/>
    <x v="2"/>
  </r>
  <r>
    <s v="TX500672"/>
    <s v="Hoodies &amp; Sweatshirts"/>
    <n v="2"/>
    <n v="105"/>
    <n v="210"/>
    <d v="2025-01-29T00:00:00"/>
    <d v="2025-02-04T00:00:00"/>
    <s v="F"/>
    <x v="0"/>
    <n v="5"/>
    <s v="California"/>
    <s v="Los Angeles County"/>
    <n v="6"/>
    <x v="4"/>
    <x v="2"/>
  </r>
  <r>
    <s v="TX500673"/>
    <s v="T-Shirts"/>
    <n v="5"/>
    <n v="45.2"/>
    <n v="226"/>
    <d v="2025-01-29T00:00:00"/>
    <d v="2025-01-31T00:00:00"/>
    <s v="F"/>
    <x v="0"/>
    <n v="5"/>
    <s v="California"/>
    <s v="Los Angeles County"/>
    <n v="2"/>
    <x v="4"/>
    <x v="2"/>
  </r>
  <r>
    <s v="TX500674"/>
    <s v="Pajama Sets"/>
    <n v="3"/>
    <n v="24.8"/>
    <n v="74.400000000000006"/>
    <d v="2025-01-29T00:00:00"/>
    <d v="2025-01-29T00:00:00"/>
    <s v=""/>
    <x v="0"/>
    <n v="3"/>
    <s v="California"/>
    <s v="Los Angeles County"/>
    <n v="0"/>
    <x v="4"/>
    <x v="0"/>
  </r>
  <r>
    <s v="TX500675"/>
    <s v="Maxi Dresses"/>
    <n v="4"/>
    <n v="43.8"/>
    <n v="175.2"/>
    <d v="2025-01-29T00:00:00"/>
    <d v="2025-02-05T00:00:00"/>
    <s v="F"/>
    <x v="1"/>
    <n v="5"/>
    <s v="California"/>
    <s v="Sacramento County"/>
    <n v="7"/>
    <x v="4"/>
    <x v="2"/>
  </r>
  <r>
    <s v="TX500676"/>
    <s v="Tank Tops"/>
    <n v="1"/>
    <n v="75"/>
    <n v="75"/>
    <d v="2025-01-29T00:00:00"/>
    <d v="2025-01-31T00:00:00"/>
    <s v="F"/>
    <x v="4"/>
    <n v="3"/>
    <s v="California"/>
    <s v="Sacramento County"/>
    <n v="2"/>
    <x v="4"/>
    <x v="2"/>
  </r>
  <r>
    <s v="TX500677"/>
    <s v="Sneakers"/>
    <n v="1"/>
    <n v="169.9"/>
    <n v="169.9"/>
    <d v="2025-01-29T00:00:00"/>
    <d v="2025-01-30T00:00:00"/>
    <s v="M"/>
    <x v="2"/>
    <n v="4"/>
    <s v="California"/>
    <s v="Sacramento County"/>
    <n v="1"/>
    <x v="4"/>
    <x v="1"/>
  </r>
  <r>
    <s v="TX500678"/>
    <s v="Sundresses"/>
    <n v="2"/>
    <n v="72.2"/>
    <n v="144.4"/>
    <d v="2025-01-29T00:00:00"/>
    <d v="2025-01-31T00:00:00"/>
    <s v="F"/>
    <x v="4"/>
    <n v="3"/>
    <s v="California"/>
    <s v="Sacramento County"/>
    <n v="2"/>
    <x v="4"/>
    <x v="2"/>
  </r>
  <r>
    <s v="TX500679"/>
    <s v="Shorts"/>
    <n v="1"/>
    <n v="20"/>
    <n v="20"/>
    <d v="2025-01-30T00:00:00"/>
    <d v="2025-02-02T00:00:00"/>
    <s v="F"/>
    <x v="2"/>
    <n v="3"/>
    <s v="California"/>
    <s v="San Bernardino County"/>
    <n v="3"/>
    <x v="4"/>
    <x v="2"/>
  </r>
  <r>
    <s v="TX500680"/>
    <s v="Sundresses"/>
    <n v="2"/>
    <n v="40.799999999999997"/>
    <n v="81.599999999999994"/>
    <d v="2025-01-30T00:00:00"/>
    <d v="2025-02-01T00:00:00"/>
    <s v="F"/>
    <x v="3"/>
    <n v="5"/>
    <s v="California"/>
    <s v="San Diego County"/>
    <n v="2"/>
    <x v="4"/>
    <x v="2"/>
  </r>
  <r>
    <s v="TX500681"/>
    <s v="Bikinis"/>
    <n v="4"/>
    <n v="58"/>
    <n v="232"/>
    <d v="2025-01-30T00:00:00"/>
    <d v="2025-02-03T00:00:00"/>
    <s v="F"/>
    <x v="0"/>
    <n v="4"/>
    <s v="California"/>
    <s v="San Diego County"/>
    <n v="4"/>
    <x v="4"/>
    <x v="2"/>
  </r>
  <r>
    <s v="TX500682"/>
    <s v="Casual Dresses"/>
    <n v="2"/>
    <n v="43.1"/>
    <n v="86.2"/>
    <d v="2025-01-30T00:00:00"/>
    <d v="2025-01-31T00:00:00"/>
    <s v="F"/>
    <x v="1"/>
    <n v="5"/>
    <s v="California"/>
    <s v="San Diego County"/>
    <n v="1"/>
    <x v="4"/>
    <x v="2"/>
  </r>
  <r>
    <s v="TX500683"/>
    <s v="Jeans"/>
    <n v="9"/>
    <n v="74.7"/>
    <n v="672.30000000000007"/>
    <d v="2025-01-30T00:00:00"/>
    <d v="2025-02-01T00:00:00"/>
    <s v="M"/>
    <x v="0"/>
    <n v="5"/>
    <s v="California"/>
    <s v="San Diego County"/>
    <n v="2"/>
    <x v="4"/>
    <x v="1"/>
  </r>
  <r>
    <s v="TX500684"/>
    <s v="Jeans"/>
    <n v="1"/>
    <n v="128.19999999999999"/>
    <n v="128.19999999999999"/>
    <d v="2025-01-30T00:00:00"/>
    <d v="2025-01-30T00:00:00"/>
    <s v="M"/>
    <x v="1"/>
    <n v="4"/>
    <s v="California"/>
    <s v="San Diego County"/>
    <n v="0"/>
    <x v="4"/>
    <x v="1"/>
  </r>
  <r>
    <s v="TX500685"/>
    <s v="Baseball Caps"/>
    <n v="4"/>
    <n v="26.7"/>
    <n v="106.8"/>
    <d v="2025-01-30T00:00:00"/>
    <d v="2025-01-31T00:00:00"/>
    <s v="M"/>
    <x v="1"/>
    <n v="4"/>
    <s v="California"/>
    <s v="San Diego County"/>
    <n v="1"/>
    <x v="4"/>
    <x v="1"/>
  </r>
  <r>
    <s v="TX500686"/>
    <s v="Pajama Sets"/>
    <n v="6"/>
    <n v="31.5"/>
    <n v="189"/>
    <d v="2025-01-30T00:00:00"/>
    <d v="2025-01-31T00:00:00"/>
    <s v="F"/>
    <x v="2"/>
    <n v="4"/>
    <s v="California"/>
    <s v="San Francisco"/>
    <n v="1"/>
    <x v="4"/>
    <x v="2"/>
  </r>
  <r>
    <s v="TX500687"/>
    <s v="Workout Tops"/>
    <n v="7"/>
    <n v="64.7"/>
    <n v="452.90000000000003"/>
    <d v="2025-01-30T00:00:00"/>
    <d v="2025-01-31T00:00:00"/>
    <s v="F"/>
    <x v="0"/>
    <n v="5"/>
    <s v="California"/>
    <s v="San Mateo County"/>
    <n v="1"/>
    <x v="4"/>
    <x v="2"/>
  </r>
  <r>
    <s v="TX500688"/>
    <s v="Sandals"/>
    <n v="2"/>
    <n v="55.6"/>
    <n v="111.2"/>
    <d v="2025-01-30T00:00:00"/>
    <d v="2025-02-02T00:00:00"/>
    <s v="F"/>
    <x v="3"/>
    <n v="4"/>
    <s v="California"/>
    <s v="Santa Clara County"/>
    <n v="3"/>
    <x v="4"/>
    <x v="2"/>
  </r>
  <r>
    <s v="TX500689"/>
    <s v="Workout Tops"/>
    <n v="2"/>
    <n v="36.200000000000003"/>
    <n v="72.400000000000006"/>
    <d v="2025-01-30T00:00:00"/>
    <d v="2025-01-31T00:00:00"/>
    <s v="F"/>
    <x v="3"/>
    <n v="4"/>
    <s v="California"/>
    <s v="Santa Clara County"/>
    <n v="1"/>
    <x v="4"/>
    <x v="2"/>
  </r>
  <r>
    <s v="TX500690"/>
    <s v="Shorts"/>
    <n v="1"/>
    <n v="26.6"/>
    <n v="26.6"/>
    <d v="2025-01-30T00:00:00"/>
    <d v="2025-01-31T00:00:00"/>
    <s v=""/>
    <x v="1"/>
    <n v="3"/>
    <s v="California"/>
    <s v="Stanislaus County"/>
    <n v="1"/>
    <x v="4"/>
    <x v="0"/>
  </r>
  <r>
    <s v="TX500691"/>
    <s v="Bikinis"/>
    <n v="4"/>
    <n v="31.5"/>
    <n v="126"/>
    <d v="2025-01-30T00:00:00"/>
    <d v="2025-02-01T00:00:00"/>
    <s v="M"/>
    <x v="0"/>
    <n v="4"/>
    <s v="California"/>
    <s v="Sutter County"/>
    <n v="2"/>
    <x v="4"/>
    <x v="1"/>
  </r>
  <r>
    <s v="TX500692"/>
    <s v="Bikinis"/>
    <n v="1"/>
    <n v="27"/>
    <n v="27"/>
    <d v="2025-01-30T00:00:00"/>
    <d v="2025-02-01T00:00:00"/>
    <s v="F"/>
    <x v="1"/>
    <n v="5"/>
    <s v="California"/>
    <s v="Ventura County"/>
    <n v="2"/>
    <x v="4"/>
    <x v="2"/>
  </r>
  <r>
    <s v="TX500693"/>
    <s v="Graphic Tees"/>
    <n v="1"/>
    <n v="32"/>
    <n v="32"/>
    <d v="2025-01-30T00:00:00"/>
    <d v="2025-02-02T00:00:00"/>
    <s v="M"/>
    <x v="3"/>
    <n v="4"/>
    <s v="California"/>
    <s v="Alameda County"/>
    <n v="3"/>
    <x v="4"/>
    <x v="1"/>
  </r>
  <r>
    <s v="TX500694"/>
    <s v="Tank Tops"/>
    <n v="3"/>
    <n v="48.1"/>
    <n v="144.30000000000001"/>
    <d v="2025-01-30T00:00:00"/>
    <d v="2025-02-01T00:00:00"/>
    <s v="M"/>
    <x v="2"/>
    <n v="3"/>
    <s v="California"/>
    <s v="Contra Costa County"/>
    <n v="2"/>
    <x v="4"/>
    <x v="1"/>
  </r>
  <r>
    <s v="TX500695"/>
    <s v="Sundresses"/>
    <n v="2"/>
    <n v="43.4"/>
    <n v="86.8"/>
    <d v="2025-01-30T00:00:00"/>
    <d v="2025-01-31T00:00:00"/>
    <s v="M"/>
    <x v="1"/>
    <n v="3"/>
    <s v="California"/>
    <s v="Kern County"/>
    <n v="1"/>
    <x v="4"/>
    <x v="1"/>
  </r>
  <r>
    <s v="TX500696"/>
    <s v="Jeans"/>
    <n v="2"/>
    <n v="42.6"/>
    <n v="85.2"/>
    <d v="2025-01-30T00:00:00"/>
    <d v="2025-02-02T00:00:00"/>
    <s v="F"/>
    <x v="3"/>
    <n v="4"/>
    <s v="California"/>
    <s v="Kern County"/>
    <n v="3"/>
    <x v="4"/>
    <x v="2"/>
  </r>
  <r>
    <s v="TX500697"/>
    <s v="T-Shirts"/>
    <n v="2"/>
    <n v="15.9"/>
    <n v="31.8"/>
    <d v="2025-01-30T00:00:00"/>
    <d v="2025-01-31T00:00:00"/>
    <s v="F"/>
    <x v="0"/>
    <n v="4"/>
    <s v="California"/>
    <s v="Kings County"/>
    <n v="1"/>
    <x v="4"/>
    <x v="2"/>
  </r>
  <r>
    <s v="TX500698"/>
    <s v="Sundresses"/>
    <n v="2"/>
    <n v="63.2"/>
    <n v="126.4"/>
    <d v="2025-01-30T00:00:00"/>
    <d v="2025-01-31T00:00:00"/>
    <s v="M"/>
    <x v="1"/>
    <n v="4"/>
    <s v="California"/>
    <s v="Los Angeles County"/>
    <n v="1"/>
    <x v="4"/>
    <x v="1"/>
  </r>
  <r>
    <s v="TX500699"/>
    <s v="Hoodies &amp; Sweatshirts"/>
    <n v="4"/>
    <n v="64.8"/>
    <n v="259.2"/>
    <d v="2025-01-30T00:00:00"/>
    <d v="2025-02-01T00:00:00"/>
    <s v=""/>
    <x v="4"/>
    <n v="3"/>
    <s v="California"/>
    <s v="Los Angeles County"/>
    <n v="2"/>
    <x v="4"/>
    <x v="0"/>
  </r>
  <r>
    <s v="TX500700"/>
    <s v="Hoodies &amp; Sweatshirts"/>
    <n v="3"/>
    <n v="79.8"/>
    <n v="239.39999999999998"/>
    <d v="2025-01-30T00:00:00"/>
    <d v="2025-01-31T00:00:00"/>
    <s v="M"/>
    <x v="0"/>
    <n v="4"/>
    <s v="California"/>
    <s v="Los Angeles County"/>
    <n v="1"/>
    <x v="4"/>
    <x v="1"/>
  </r>
  <r>
    <s v="TX500701"/>
    <s v="Sundresses"/>
    <n v="1"/>
    <n v="54.4"/>
    <n v="54.4"/>
    <d v="2025-01-30T00:00:00"/>
    <d v="2025-02-01T00:00:00"/>
    <s v="F"/>
    <x v="4"/>
    <n v="5"/>
    <s v="California"/>
    <s v="Los Angeles County"/>
    <n v="2"/>
    <x v="4"/>
    <x v="2"/>
  </r>
  <r>
    <s v="TX500702"/>
    <s v="Jeans"/>
    <n v="1"/>
    <n v="87.3"/>
    <n v="87.3"/>
    <d v="2025-01-30T00:00:00"/>
    <d v="2025-01-31T00:00:00"/>
    <s v="M"/>
    <x v="1"/>
    <n v="4"/>
    <s v="California"/>
    <s v="Los Angeles County"/>
    <n v="1"/>
    <x v="4"/>
    <x v="1"/>
  </r>
  <r>
    <s v="TX500703"/>
    <s v="T-Shirts"/>
    <n v="4"/>
    <n v="32.4"/>
    <n v="129.6"/>
    <d v="2025-01-30T00:00:00"/>
    <d v="2025-01-30T00:00:00"/>
    <s v="M"/>
    <x v="1"/>
    <n v="4"/>
    <s v="California"/>
    <s v="Los Angeles County"/>
    <n v="0"/>
    <x v="4"/>
    <x v="1"/>
  </r>
  <r>
    <s v="TX500704"/>
    <s v="Sneakers"/>
    <n v="1"/>
    <n v="177.4"/>
    <n v="177.4"/>
    <d v="2025-01-30T00:00:00"/>
    <d v="2025-02-03T00:00:00"/>
    <s v="M"/>
    <x v="0"/>
    <n v="5"/>
    <s v="California"/>
    <s v="Los Angeles County"/>
    <n v="4"/>
    <x v="4"/>
    <x v="1"/>
  </r>
  <r>
    <s v="TX500705"/>
    <s v="Hoodies &amp; Sweatshirts"/>
    <n v="2"/>
    <n v="70.099999999999994"/>
    <n v="140.19999999999999"/>
    <d v="2025-01-30T00:00:00"/>
    <d v="2025-01-31T00:00:00"/>
    <s v="M"/>
    <x v="3"/>
    <n v="3"/>
    <s v="California"/>
    <s v="Los Angeles County"/>
    <n v="1"/>
    <x v="4"/>
    <x v="1"/>
  </r>
  <r>
    <s v="TX500706"/>
    <s v="Sundresses"/>
    <n v="6"/>
    <n v="51.1"/>
    <n v="306.60000000000002"/>
    <d v="2025-01-30T00:00:00"/>
    <d v="2025-01-31T00:00:00"/>
    <s v="F"/>
    <x v="0"/>
    <n v="4"/>
    <s v="California"/>
    <s v="Los Angeles County"/>
    <n v="1"/>
    <x v="4"/>
    <x v="2"/>
  </r>
  <r>
    <s v="TX500707"/>
    <s v="Sneakers"/>
    <n v="5"/>
    <n v="79.900000000000006"/>
    <n v="399.5"/>
    <d v="2025-01-30T00:00:00"/>
    <d v="2025-02-01T00:00:00"/>
    <s v="M"/>
    <x v="3"/>
    <n v="5"/>
    <s v="California"/>
    <s v="Merced County"/>
    <n v="2"/>
    <x v="4"/>
    <x v="1"/>
  </r>
  <r>
    <s v="TX500708"/>
    <s v="Jeans"/>
    <n v="1"/>
    <n v="57.6"/>
    <n v="57.6"/>
    <d v="2025-01-31T00:00:00"/>
    <d v="2025-02-05T00:00:00"/>
    <s v="M"/>
    <x v="0"/>
    <n v="5"/>
    <s v="California"/>
    <s v="Monterey County"/>
    <n v="5"/>
    <x v="4"/>
    <x v="1"/>
  </r>
  <r>
    <s v="TX500709"/>
    <s v="T-Shirts"/>
    <n v="10"/>
    <n v="59.7"/>
    <n v="597"/>
    <d v="2025-01-31T00:00:00"/>
    <d v="2025-02-04T00:00:00"/>
    <s v="M"/>
    <x v="2"/>
    <n v="4"/>
    <s v="California"/>
    <s v="Orange County"/>
    <n v="4"/>
    <x v="4"/>
    <x v="1"/>
  </r>
  <r>
    <s v="TX500710"/>
    <s v="T-Shirts"/>
    <n v="5"/>
    <n v="30"/>
    <n v="150"/>
    <d v="2025-01-31T00:00:00"/>
    <d v="2025-02-02T00:00:00"/>
    <s v="M"/>
    <x v="1"/>
    <n v="4"/>
    <s v="California"/>
    <s v="Sacramento County"/>
    <n v="2"/>
    <x v="4"/>
    <x v="1"/>
  </r>
  <r>
    <s v="TX500711"/>
    <s v="Bikinis"/>
    <n v="2"/>
    <n v="69.2"/>
    <n v="138.4"/>
    <d v="2025-01-31T00:00:00"/>
    <d v="2025-02-02T00:00:00"/>
    <s v=""/>
    <x v="2"/>
    <n v="3"/>
    <s v="California"/>
    <s v="Sacramento County"/>
    <n v="2"/>
    <x v="4"/>
    <x v="0"/>
  </r>
  <r>
    <s v="TX500712"/>
    <s v="Shorts"/>
    <n v="8"/>
    <n v="10.9"/>
    <n v="87.2"/>
    <d v="2025-01-31T00:00:00"/>
    <d v="2025-02-01T00:00:00"/>
    <s v="F"/>
    <x v="0"/>
    <n v="5"/>
    <s v="California"/>
    <s v="Sacramento County"/>
    <n v="1"/>
    <x v="4"/>
    <x v="2"/>
  </r>
  <r>
    <s v="TX500713"/>
    <s v="Sunglasses"/>
    <n v="2"/>
    <n v="48.6"/>
    <n v="97.2"/>
    <d v="2025-01-31T00:00:00"/>
    <d v="2025-02-04T00:00:00"/>
    <s v="M"/>
    <x v="1"/>
    <n v="5"/>
    <s v="California"/>
    <s v="Sacramento County"/>
    <n v="4"/>
    <x v="4"/>
    <x v="1"/>
  </r>
  <r>
    <s v="TX500714"/>
    <s v="Sneakers"/>
    <n v="2"/>
    <n v="61.1"/>
    <n v="122.2"/>
    <d v="2025-01-31T00:00:00"/>
    <d v="2025-02-03T00:00:00"/>
    <s v="F"/>
    <x v="1"/>
    <n v="5"/>
    <s v="California"/>
    <s v="San Bernardino County"/>
    <n v="3"/>
    <x v="4"/>
    <x v="2"/>
  </r>
  <r>
    <s v="TX500715"/>
    <s v="T-Shirts"/>
    <n v="2"/>
    <n v="23.2"/>
    <n v="46.4"/>
    <d v="2025-01-31T00:00:00"/>
    <d v="2025-02-01T00:00:00"/>
    <s v="M"/>
    <x v="3"/>
    <n v="5"/>
    <s v="California"/>
    <s v="San Diego County"/>
    <n v="1"/>
    <x v="4"/>
    <x v="1"/>
  </r>
  <r>
    <s v="TX500716"/>
    <s v="Casual Dresses"/>
    <n v="4"/>
    <n v="55.8"/>
    <n v="223.2"/>
    <d v="2025-01-31T00:00:00"/>
    <d v="2025-02-01T00:00:00"/>
    <s v="M"/>
    <x v="0"/>
    <n v="4"/>
    <s v="California"/>
    <s v="San Diego County"/>
    <n v="1"/>
    <x v="4"/>
    <x v="1"/>
  </r>
  <r>
    <s v="TX500717"/>
    <s v="Sundresses"/>
    <n v="4"/>
    <n v="24.8"/>
    <n v="99.2"/>
    <d v="2025-01-31T00:00:00"/>
    <d v="2025-02-01T00:00:00"/>
    <s v="F"/>
    <x v="0"/>
    <n v="5"/>
    <s v="California"/>
    <s v="San Diego County"/>
    <n v="1"/>
    <x v="4"/>
    <x v="2"/>
  </r>
  <r>
    <s v="TX500718"/>
    <s v="Bikinis"/>
    <n v="2"/>
    <n v="27.9"/>
    <n v="55.8"/>
    <d v="2025-01-31T00:00:00"/>
    <d v="2025-01-31T00:00:00"/>
    <s v="M"/>
    <x v="2"/>
    <n v="5"/>
    <s v="California"/>
    <s v="San Diego County"/>
    <n v="0"/>
    <x v="4"/>
    <x v="1"/>
  </r>
  <r>
    <s v="TX500719"/>
    <s v="Bikinis"/>
    <n v="6"/>
    <n v="51.1"/>
    <n v="306.60000000000002"/>
    <d v="2025-01-31T00:00:00"/>
    <d v="2025-01-31T00:00:00"/>
    <s v="F"/>
    <x v="3"/>
    <n v="4"/>
    <s v="California"/>
    <s v="San Diego County"/>
    <n v="0"/>
    <x v="4"/>
    <x v="2"/>
  </r>
  <r>
    <s v="TX500720"/>
    <s v="Pajama Sets"/>
    <n v="11"/>
    <n v="32.700000000000003"/>
    <n v="359.70000000000005"/>
    <d v="2025-01-31T00:00:00"/>
    <d v="2025-02-01T00:00:00"/>
    <s v="M"/>
    <x v="4"/>
    <n v="5"/>
    <s v="California"/>
    <s v="San Francisco"/>
    <n v="1"/>
    <x v="4"/>
    <x v="1"/>
  </r>
  <r>
    <s v="TX500721"/>
    <s v="T-Shirts"/>
    <n v="4"/>
    <n v="22.5"/>
    <n v="90"/>
    <d v="2025-01-31T00:00:00"/>
    <d v="2025-01-31T00:00:00"/>
    <s v="M"/>
    <x v="0"/>
    <n v="5"/>
    <s v="California"/>
    <s v="San Joaquin County"/>
    <n v="0"/>
    <x v="4"/>
    <x v="1"/>
  </r>
  <r>
    <s v="TX500722"/>
    <s v="Shorts"/>
    <n v="7"/>
    <n v="14.6"/>
    <n v="102.2"/>
    <d v="2025-01-31T00:00:00"/>
    <d v="2025-02-01T00:00:00"/>
    <s v="F"/>
    <x v="2"/>
    <n v="4"/>
    <s v="California"/>
    <s v="San Luis Obispo County"/>
    <n v="1"/>
    <x v="4"/>
    <x v="2"/>
  </r>
  <r>
    <s v="TX500723"/>
    <s v="Sandals"/>
    <n v="3"/>
    <n v="32.5"/>
    <n v="97.5"/>
    <d v="2025-01-31T00:00:00"/>
    <d v="2025-02-03T00:00:00"/>
    <s v="M"/>
    <x v="0"/>
    <n v="4"/>
    <s v="California"/>
    <s v="Santa Barbara County"/>
    <n v="3"/>
    <x v="4"/>
    <x v="1"/>
  </r>
  <r>
    <s v="TX500724"/>
    <s v="Leggings"/>
    <n v="1"/>
    <n v="78.099999999999994"/>
    <n v="78.099999999999994"/>
    <d v="2025-01-31T00:00:00"/>
    <d v="2025-02-03T00:00:00"/>
    <s v="M"/>
    <x v="0"/>
    <n v="5"/>
    <s v="California"/>
    <s v="Santa Clara County"/>
    <n v="3"/>
    <x v="4"/>
    <x v="1"/>
  </r>
  <r>
    <s v="TX500725"/>
    <s v="Casual Dresses"/>
    <n v="6"/>
    <n v="110.2"/>
    <n v="661.2"/>
    <d v="2025-01-31T00:00:00"/>
    <d v="2025-01-31T00:00:00"/>
    <s v="M"/>
    <x v="1"/>
    <n v="2"/>
    <s v="California"/>
    <s v="Ventura County"/>
    <n v="0"/>
    <x v="4"/>
    <x v="1"/>
  </r>
  <r>
    <s v="TX500726"/>
    <s v="Jeans"/>
    <n v="3"/>
    <n v="86.3"/>
    <n v="258.89999999999998"/>
    <d v="2025-01-31T00:00:00"/>
    <d v="2025-02-02T00:00:00"/>
    <s v="F"/>
    <x v="3"/>
    <n v="4"/>
    <s v="California"/>
    <s v="Alameda County"/>
    <n v="2"/>
    <x v="4"/>
    <x v="2"/>
  </r>
  <r>
    <s v="TX500727"/>
    <s v="Tank Tops"/>
    <n v="6"/>
    <n v="73.599999999999994"/>
    <n v="441.59999999999997"/>
    <d v="2025-01-31T00:00:00"/>
    <d v="2025-02-02T00:00:00"/>
    <s v="O"/>
    <x v="3"/>
    <n v="2"/>
    <s v="California"/>
    <s v="Humboldt County"/>
    <n v="2"/>
    <x v="4"/>
    <x v="3"/>
  </r>
  <r>
    <s v="TX500728"/>
    <s v="Jeans"/>
    <n v="13"/>
    <n v="67.7"/>
    <n v="880.1"/>
    <d v="2025-01-31T00:00:00"/>
    <d v="2025-02-02T00:00:00"/>
    <s v="F"/>
    <x v="0"/>
    <n v="5"/>
    <s v="California"/>
    <s v="Los Angeles County"/>
    <n v="2"/>
    <x v="4"/>
    <x v="2"/>
  </r>
  <r>
    <s v="TX500729"/>
    <s v="Hoodies &amp; Sweatshirts"/>
    <n v="6"/>
    <n v="142.19999999999999"/>
    <n v="853.19999999999993"/>
    <d v="2025-01-31T00:00:00"/>
    <d v="2025-02-01T00:00:00"/>
    <s v="F"/>
    <x v="2"/>
    <n v="2"/>
    <s v="California"/>
    <s v="Los Angeles County"/>
    <n v="1"/>
    <x v="4"/>
    <x v="2"/>
  </r>
  <r>
    <s v="TX500730"/>
    <s v="Tank Tops"/>
    <n v="9"/>
    <n v="45.8"/>
    <n v="412.2"/>
    <d v="2025-01-31T00:00:00"/>
    <d v="2025-02-02T00:00:00"/>
    <s v="F"/>
    <x v="1"/>
    <n v="5"/>
    <s v="California"/>
    <s v="Los Angeles County"/>
    <n v="2"/>
    <x v="4"/>
    <x v="2"/>
  </r>
  <r>
    <s v="TX500731"/>
    <s v="Bikinis"/>
    <n v="2"/>
    <n v="24.2"/>
    <n v="48.4"/>
    <d v="2025-02-01T00:00:00"/>
    <d v="2025-02-04T00:00:00"/>
    <s v="F"/>
    <x v="3"/>
    <n v="5"/>
    <s v="California"/>
    <s v="Los Angeles County"/>
    <n v="3"/>
    <x v="4"/>
    <x v="2"/>
  </r>
  <r>
    <s v="TX500732"/>
    <s v="Sneakers"/>
    <n v="3"/>
    <n v="144.9"/>
    <n v="434.70000000000005"/>
    <d v="2025-02-01T00:00:00"/>
    <d v="2025-02-02T00:00:00"/>
    <s v="O"/>
    <x v="2"/>
    <n v="5"/>
    <s v="California"/>
    <s v="Los Angeles County"/>
    <n v="1"/>
    <x v="4"/>
    <x v="3"/>
  </r>
  <r>
    <s v="TX500733"/>
    <s v="Maxi Dresses"/>
    <n v="5"/>
    <n v="32.799999999999997"/>
    <n v="164"/>
    <d v="2025-02-01T00:00:00"/>
    <d v="2025-02-04T00:00:00"/>
    <s v="F"/>
    <x v="2"/>
    <n v="4"/>
    <s v="California"/>
    <s v="Riverside County"/>
    <n v="3"/>
    <x v="4"/>
    <x v="2"/>
  </r>
  <r>
    <s v="TX500734"/>
    <s v="Hoodies &amp; Sweatshirts"/>
    <n v="10"/>
    <n v="35.700000000000003"/>
    <n v="357"/>
    <d v="2025-02-01T00:00:00"/>
    <d v="2025-02-01T00:00:00"/>
    <s v="F"/>
    <x v="0"/>
    <n v="3"/>
    <s v="California"/>
    <s v="Sacramento County"/>
    <n v="0"/>
    <x v="4"/>
    <x v="2"/>
  </r>
  <r>
    <s v="TX500735"/>
    <s v="Sundresses"/>
    <n v="2"/>
    <n v="54.6"/>
    <n v="109.2"/>
    <d v="2025-02-01T00:00:00"/>
    <d v="2025-02-02T00:00:00"/>
    <s v="F"/>
    <x v="2"/>
    <n v="4"/>
    <s v="California"/>
    <s v="Sacramento County"/>
    <n v="1"/>
    <x v="4"/>
    <x v="2"/>
  </r>
  <r>
    <s v="TX500736"/>
    <s v="T-Shirts"/>
    <n v="2"/>
    <n v="35.700000000000003"/>
    <n v="71.400000000000006"/>
    <d v="2025-02-01T00:00:00"/>
    <d v="2025-02-04T00:00:00"/>
    <s v=""/>
    <x v="0"/>
    <n v="3"/>
    <s v="California"/>
    <s v="Sacramento County"/>
    <n v="3"/>
    <x v="4"/>
    <x v="0"/>
  </r>
  <r>
    <s v="TX500737"/>
    <s v="Bikinis"/>
    <n v="2"/>
    <n v="52.4"/>
    <n v="104.8"/>
    <d v="2025-02-01T00:00:00"/>
    <d v="2025-02-01T00:00:00"/>
    <s v="F"/>
    <x v="0"/>
    <n v="1"/>
    <s v="California"/>
    <s v="Sacramento County"/>
    <n v="0"/>
    <x v="4"/>
    <x v="2"/>
  </r>
  <r>
    <s v="TX500738"/>
    <s v="T-Shirts"/>
    <n v="14"/>
    <n v="16.2"/>
    <n v="226.79999999999998"/>
    <d v="2025-02-01T00:00:00"/>
    <d v="2025-02-02T00:00:00"/>
    <s v=""/>
    <x v="0"/>
    <n v="3"/>
    <s v="California"/>
    <s v="San Diego County"/>
    <n v="1"/>
    <x v="4"/>
    <x v="0"/>
  </r>
  <r>
    <s v="TX500739"/>
    <s v="Jeans"/>
    <n v="47"/>
    <n v="42.8"/>
    <n v="2011.6"/>
    <d v="2025-02-01T00:00:00"/>
    <d v="2025-02-02T00:00:00"/>
    <s v="F"/>
    <x v="0"/>
    <n v="4"/>
    <s v="California"/>
    <s v="San Diego County"/>
    <n v="1"/>
    <x v="4"/>
    <x v="2"/>
  </r>
  <r>
    <s v="TX500740"/>
    <s v="Jeans"/>
    <n v="9"/>
    <n v="144.4"/>
    <n v="1299.6000000000001"/>
    <d v="2025-02-01T00:00:00"/>
    <d v="2025-02-04T00:00:00"/>
    <s v="F"/>
    <x v="4"/>
    <n v="4"/>
    <s v="California"/>
    <s v="San Diego County"/>
    <n v="3"/>
    <x v="4"/>
    <x v="2"/>
  </r>
  <r>
    <s v="TX500741"/>
    <s v="Workout Tops"/>
    <n v="36"/>
    <n v="30.6"/>
    <n v="1101.6000000000001"/>
    <d v="2025-02-01T00:00:00"/>
    <d v="2025-02-05T00:00:00"/>
    <s v="F"/>
    <x v="2"/>
    <n v="5"/>
    <s v="California"/>
    <s v="Santa Clara County"/>
    <n v="4"/>
    <x v="4"/>
    <x v="2"/>
  </r>
  <r>
    <s v="TX500742"/>
    <s v="Sneakers"/>
    <n v="2"/>
    <n v="117.5"/>
    <n v="235"/>
    <d v="2025-02-01T00:00:00"/>
    <d v="2025-02-02T00:00:00"/>
    <s v="M"/>
    <x v="0"/>
    <n v="4"/>
    <s v="California"/>
    <s v="Stanislaus County"/>
    <n v="1"/>
    <x v="4"/>
    <x v="1"/>
  </r>
  <r>
    <s v="TX500743"/>
    <s v="Jeans"/>
    <n v="2"/>
    <n v="105.7"/>
    <n v="211.4"/>
    <d v="2025-02-01T00:00:00"/>
    <d v="2025-02-02T00:00:00"/>
    <s v="F"/>
    <x v="2"/>
    <n v="5"/>
    <s v="California"/>
    <s v="Alameda County"/>
    <n v="1"/>
    <x v="4"/>
    <x v="2"/>
  </r>
  <r>
    <s v="TX500744"/>
    <s v="Workout Tops"/>
    <n v="3"/>
    <n v="133.69999999999999"/>
    <n v="401.09999999999997"/>
    <d v="2025-02-01T00:00:00"/>
    <d v="2025-02-02T00:00:00"/>
    <s v=""/>
    <x v="4"/>
    <n v="5"/>
    <s v="California"/>
    <s v="Alameda County"/>
    <n v="1"/>
    <x v="4"/>
    <x v="0"/>
  </r>
  <r>
    <s v="TX500745"/>
    <s v="Graphic Tees"/>
    <n v="5"/>
    <n v="46.8"/>
    <n v="234"/>
    <d v="2025-02-02T00:00:00"/>
    <d v="2025-02-10T00:00:00"/>
    <s v="F"/>
    <x v="0"/>
    <n v="3"/>
    <s v="California"/>
    <s v="Alameda County"/>
    <n v="8"/>
    <x v="4"/>
    <x v="2"/>
  </r>
  <r>
    <s v="TX500746"/>
    <s v="Bikinis"/>
    <n v="3"/>
    <n v="58.4"/>
    <n v="175.2"/>
    <d v="2025-02-02T00:00:00"/>
    <d v="2025-02-04T00:00:00"/>
    <s v="F"/>
    <x v="0"/>
    <n v="4"/>
    <s v="California"/>
    <s v="Contra Costa County"/>
    <n v="2"/>
    <x v="4"/>
    <x v="2"/>
  </r>
  <r>
    <s v="TX500747"/>
    <s v="Jeans"/>
    <n v="9"/>
    <n v="65.099999999999994"/>
    <n v="585.9"/>
    <d v="2025-02-02T00:00:00"/>
    <d v="2025-02-06T00:00:00"/>
    <s v="M"/>
    <x v="1"/>
    <n v="5"/>
    <s v="California"/>
    <s v="Kern County"/>
    <n v="4"/>
    <x v="4"/>
    <x v="1"/>
  </r>
  <r>
    <s v="TX500748"/>
    <s v="T-Shirts"/>
    <n v="1"/>
    <n v="18.600000000000001"/>
    <n v="18.600000000000001"/>
    <d v="2025-02-02T00:00:00"/>
    <d v="2025-02-05T00:00:00"/>
    <s v="F"/>
    <x v="0"/>
    <n v="2"/>
    <s v="California"/>
    <s v="Kern County"/>
    <n v="3"/>
    <x v="4"/>
    <x v="2"/>
  </r>
  <r>
    <s v="TX500749"/>
    <s v="Tank Tops"/>
    <n v="11"/>
    <n v="92.3"/>
    <n v="1015.3"/>
    <d v="2025-02-02T00:00:00"/>
    <d v="2025-02-04T00:00:00"/>
    <s v="M"/>
    <x v="1"/>
    <n v="4"/>
    <s v="California"/>
    <s v="Los Angeles County"/>
    <n v="2"/>
    <x v="4"/>
    <x v="1"/>
  </r>
  <r>
    <s v="TX500750"/>
    <s v="Jeans"/>
    <n v="3"/>
    <n v="81.7"/>
    <n v="245.10000000000002"/>
    <d v="2025-02-02T00:00:00"/>
    <d v="2025-02-03T00:00:00"/>
    <s v=""/>
    <x v="4"/>
    <n v="2"/>
    <s v="California"/>
    <s v="Los Angeles County"/>
    <n v="1"/>
    <x v="4"/>
    <x v="0"/>
  </r>
  <r>
    <s v="TX500751"/>
    <s v="T-Shirts"/>
    <n v="2"/>
    <n v="40.9"/>
    <n v="81.8"/>
    <d v="2025-02-02T00:00:00"/>
    <d v="2025-02-04T00:00:00"/>
    <s v="M"/>
    <x v="0"/>
    <n v="3"/>
    <s v="California"/>
    <s v="Los Angeles County"/>
    <n v="2"/>
    <x v="4"/>
    <x v="1"/>
  </r>
  <r>
    <s v="TX500752"/>
    <s v="Jeans"/>
    <n v="4"/>
    <n v="43.2"/>
    <n v="172.8"/>
    <d v="2025-02-02T00:00:00"/>
    <d v="2025-02-08T00:00:00"/>
    <s v="F"/>
    <x v="0"/>
    <n v="3"/>
    <s v="California"/>
    <s v="Los Angeles County"/>
    <n v="6"/>
    <x v="4"/>
    <x v="2"/>
  </r>
  <r>
    <s v="TX500753"/>
    <s v="T-Shirts"/>
    <n v="11"/>
    <n v="25.8"/>
    <n v="283.8"/>
    <d v="2025-02-02T00:00:00"/>
    <d v="2025-02-05T00:00:00"/>
    <s v="M"/>
    <x v="2"/>
    <n v="3"/>
    <s v="California"/>
    <s v="Los Angeles County"/>
    <n v="3"/>
    <x v="4"/>
    <x v="1"/>
  </r>
  <r>
    <s v="TX500754"/>
    <s v="Crop Tops"/>
    <n v="4"/>
    <n v="36.4"/>
    <n v="145.6"/>
    <d v="2025-02-02T00:00:00"/>
    <d v="2025-02-03T00:00:00"/>
    <s v="M"/>
    <x v="0"/>
    <n v="4"/>
    <s v="California"/>
    <s v="Los Angeles County"/>
    <n v="1"/>
    <x v="4"/>
    <x v="1"/>
  </r>
  <r>
    <s v="TX500755"/>
    <s v="Bikinis"/>
    <n v="1"/>
    <n v="59.1"/>
    <n v="59.1"/>
    <d v="2025-02-02T00:00:00"/>
    <d v="2025-02-03T00:00:00"/>
    <s v="F"/>
    <x v="2"/>
    <n v="4"/>
    <s v="California"/>
    <s v="San Bernardino County"/>
    <n v="1"/>
    <x v="4"/>
    <x v="2"/>
  </r>
  <r>
    <s v="TX500756"/>
    <s v="Sneakers"/>
    <n v="17"/>
    <n v="74.5"/>
    <n v="1266.5"/>
    <d v="2025-02-02T00:00:00"/>
    <d v="2025-02-04T00:00:00"/>
    <s v="M"/>
    <x v="4"/>
    <n v="4"/>
    <s v="California"/>
    <s v="Sonoma County"/>
    <n v="2"/>
    <x v="4"/>
    <x v="1"/>
  </r>
  <r>
    <s v="TX500757"/>
    <s v="Sandals"/>
    <n v="1"/>
    <n v="72.8"/>
    <n v="72.8"/>
    <d v="2025-02-02T00:00:00"/>
    <d v="2025-02-03T00:00:00"/>
    <s v="F"/>
    <x v="0"/>
    <n v="3"/>
    <s v="California"/>
    <s v="Stanislaus County"/>
    <n v="1"/>
    <x v="4"/>
    <x v="2"/>
  </r>
  <r>
    <s v="TX500758"/>
    <s v="Jeans"/>
    <n v="4"/>
    <n v="137.30000000000001"/>
    <n v="549.20000000000005"/>
    <d v="2025-02-02T00:00:00"/>
    <d v="2025-02-05T00:00:00"/>
    <s v="F"/>
    <x v="0"/>
    <n v="4"/>
    <s v="California"/>
    <s v="Ventura County"/>
    <n v="3"/>
    <x v="4"/>
    <x v="2"/>
  </r>
  <r>
    <s v="TX500759"/>
    <s v="Tank Tops"/>
    <n v="3"/>
    <n v="48.7"/>
    <n v="146.10000000000002"/>
    <d v="2025-02-02T00:00:00"/>
    <d v="2025-02-07T00:00:00"/>
    <s v="F"/>
    <x v="0"/>
    <n v="3"/>
    <s v="California"/>
    <s v="Alameda County"/>
    <n v="5"/>
    <x v="4"/>
    <x v="2"/>
  </r>
  <r>
    <s v="TX500760"/>
    <s v="Jeans"/>
    <n v="4"/>
    <n v="53.7"/>
    <n v="214.8"/>
    <d v="2025-02-02T00:00:00"/>
    <d v="2025-02-06T00:00:00"/>
    <s v="M"/>
    <x v="1"/>
    <n v="2"/>
    <s v="California"/>
    <s v="Fresno County"/>
    <n v="4"/>
    <x v="4"/>
    <x v="1"/>
  </r>
  <r>
    <s v="TX500761"/>
    <s v="Sneakers"/>
    <n v="7"/>
    <n v="100.9"/>
    <n v="706.30000000000007"/>
    <d v="2025-02-02T00:00:00"/>
    <d v="2025-02-04T00:00:00"/>
    <s v="F"/>
    <x v="0"/>
    <n v="3"/>
    <s v="California"/>
    <s v="Fresno County"/>
    <n v="2"/>
    <x v="4"/>
    <x v="2"/>
  </r>
  <r>
    <s v="TX500762"/>
    <s v="Bikinis"/>
    <n v="2"/>
    <n v="41.8"/>
    <n v="83.6"/>
    <d v="2025-02-02T00:00:00"/>
    <d v="2025-02-06T00:00:00"/>
    <s v="M"/>
    <x v="3"/>
    <n v="5"/>
    <s v="California"/>
    <s v="Kern County"/>
    <n v="4"/>
    <x v="4"/>
    <x v="1"/>
  </r>
  <r>
    <s v="TX500763"/>
    <s v="Graphic Tees"/>
    <n v="8"/>
    <n v="28.5"/>
    <n v="228"/>
    <d v="2025-02-02T00:00:00"/>
    <d v="2025-02-04T00:00:00"/>
    <s v="M"/>
    <x v="2"/>
    <n v="3"/>
    <s v="California"/>
    <s v="Los Angeles County"/>
    <n v="2"/>
    <x v="4"/>
    <x v="1"/>
  </r>
  <r>
    <s v="TX500764"/>
    <s v="Hoodies &amp; Sweatshirts"/>
    <n v="4"/>
    <n v="88.9"/>
    <n v="355.6"/>
    <d v="2025-02-02T00:00:00"/>
    <d v="2025-02-05T00:00:00"/>
    <s v="F"/>
    <x v="0"/>
    <n v="5"/>
    <s v="California"/>
    <s v="Los Angeles County"/>
    <n v="3"/>
    <x v="4"/>
    <x v="2"/>
  </r>
  <r>
    <s v="TX500765"/>
    <s v="Jeans"/>
    <n v="1"/>
    <n v="62.5"/>
    <n v="62.5"/>
    <d v="2025-02-02T00:00:00"/>
    <d v="2025-02-11T00:00:00"/>
    <s v="F"/>
    <x v="0"/>
    <n v="5"/>
    <s v="California"/>
    <s v="Los Angeles County"/>
    <n v="9"/>
    <x v="4"/>
    <x v="2"/>
  </r>
  <r>
    <s v="TX500766"/>
    <s v="Tank Tops"/>
    <n v="3"/>
    <n v="46.9"/>
    <n v="140.69999999999999"/>
    <d v="2025-02-02T00:00:00"/>
    <d v="2025-02-03T00:00:00"/>
    <s v="M"/>
    <x v="0"/>
    <n v="5"/>
    <s v="California"/>
    <s v="Los Angeles County"/>
    <n v="1"/>
    <x v="4"/>
    <x v="1"/>
  </r>
  <r>
    <s v="TX500767"/>
    <s v="T-Shirts"/>
    <n v="3"/>
    <n v="45"/>
    <n v="135"/>
    <d v="2025-02-02T00:00:00"/>
    <d v="2025-02-16T00:00:00"/>
    <s v="M"/>
    <x v="1"/>
    <n v="4"/>
    <s v="California"/>
    <s v="Los Angeles County"/>
    <n v="14"/>
    <x v="4"/>
    <x v="1"/>
  </r>
  <r>
    <s v="TX500768"/>
    <s v="Jeans"/>
    <n v="3"/>
    <n v="45.2"/>
    <n v="135.60000000000002"/>
    <d v="2025-02-02T00:00:00"/>
    <d v="2025-02-04T00:00:00"/>
    <s v="M"/>
    <x v="4"/>
    <n v="5"/>
    <s v="California"/>
    <s v="Los Angeles County"/>
    <n v="2"/>
    <x v="4"/>
    <x v="1"/>
  </r>
  <r>
    <s v="TX500769"/>
    <s v="Graphic Tees"/>
    <n v="2"/>
    <n v="60.1"/>
    <n v="120.2"/>
    <d v="2025-02-02T00:00:00"/>
    <d v="2025-02-03T00:00:00"/>
    <s v="F"/>
    <x v="0"/>
    <n v="5"/>
    <s v="California"/>
    <s v="Los Angeles County"/>
    <n v="1"/>
    <x v="4"/>
    <x v="2"/>
  </r>
  <r>
    <s v="TX500770"/>
    <s v="Casual Dresses"/>
    <n v="4"/>
    <n v="118.7"/>
    <n v="474.8"/>
    <d v="2025-02-02T00:00:00"/>
    <d v="2025-02-04T00:00:00"/>
    <s v="F"/>
    <x v="0"/>
    <n v="4"/>
    <s v="California"/>
    <s v="Los Angeles County"/>
    <n v="2"/>
    <x v="4"/>
    <x v="2"/>
  </r>
  <r>
    <s v="TX500771"/>
    <s v="Sundresses"/>
    <n v="1"/>
    <n v="57.8"/>
    <n v="57.8"/>
    <d v="2025-02-02T00:00:00"/>
    <d v="2025-02-11T00:00:00"/>
    <s v="F"/>
    <x v="1"/>
    <n v="4"/>
    <s v="California"/>
    <s v="Los Angeles County"/>
    <n v="9"/>
    <x v="4"/>
    <x v="2"/>
  </r>
  <r>
    <s v="TX500772"/>
    <s v="Graphic Tees"/>
    <n v="1"/>
    <n v="19.5"/>
    <n v="19.5"/>
    <d v="2025-02-02T00:00:00"/>
    <d v="2025-02-03T00:00:00"/>
    <s v="M"/>
    <x v="1"/>
    <n v="3"/>
    <s v="California"/>
    <s v="Los Angeles County"/>
    <n v="1"/>
    <x v="4"/>
    <x v="1"/>
  </r>
  <r>
    <s v="TX500773"/>
    <s v="Casual Dresses"/>
    <n v="1"/>
    <n v="42.6"/>
    <n v="42.6"/>
    <d v="2025-02-02T00:00:00"/>
    <d v="2025-02-03T00:00:00"/>
    <s v="M"/>
    <x v="0"/>
    <n v="3"/>
    <s v="California"/>
    <s v="Los Angeles County"/>
    <n v="1"/>
    <x v="4"/>
    <x v="1"/>
  </r>
  <r>
    <s v="TX500774"/>
    <s v="Jeans"/>
    <n v="2"/>
    <n v="74.8"/>
    <n v="149.6"/>
    <d v="2025-02-02T00:00:00"/>
    <d v="2025-02-03T00:00:00"/>
    <s v="F"/>
    <x v="3"/>
    <n v="5"/>
    <s v="California"/>
    <s v="Madera County"/>
    <n v="1"/>
    <x v="4"/>
    <x v="2"/>
  </r>
  <r>
    <s v="TX500775"/>
    <s v="T-Shirts"/>
    <n v="3"/>
    <n v="32.5"/>
    <n v="97.5"/>
    <d v="2025-02-02T00:00:00"/>
    <d v="2025-02-03T00:00:00"/>
    <s v="M"/>
    <x v="2"/>
    <n v="2"/>
    <s v="California"/>
    <s v="Napa County"/>
    <n v="1"/>
    <x v="4"/>
    <x v="1"/>
  </r>
  <r>
    <s v="TX500776"/>
    <s v="Sneakers"/>
    <n v="3"/>
    <n v="60.5"/>
    <n v="181.5"/>
    <d v="2025-02-02T00:00:00"/>
    <d v="2025-02-02T00:00:00"/>
    <s v="F"/>
    <x v="1"/>
    <n v="5"/>
    <s v="California"/>
    <s v="Orange County"/>
    <n v="0"/>
    <x v="4"/>
    <x v="2"/>
  </r>
  <r>
    <s v="TX500777"/>
    <s v="Tank Tops"/>
    <n v="7"/>
    <n v="57.2"/>
    <n v="400.40000000000003"/>
    <d v="2025-02-02T00:00:00"/>
    <d v="2025-02-04T00:00:00"/>
    <s v=""/>
    <x v="2"/>
    <n v="4"/>
    <s v="California"/>
    <s v="Orange County"/>
    <n v="2"/>
    <x v="4"/>
    <x v="0"/>
  </r>
  <r>
    <s v="TX500778"/>
    <s v="Sunglasses"/>
    <n v="2"/>
    <n v="112"/>
    <n v="224"/>
    <d v="2025-02-02T00:00:00"/>
    <d v="2025-02-03T00:00:00"/>
    <s v="F"/>
    <x v="1"/>
    <n v="3"/>
    <s v="California"/>
    <s v="Placer County"/>
    <n v="1"/>
    <x v="4"/>
    <x v="2"/>
  </r>
  <r>
    <s v="TX500779"/>
    <s v="Hoodies &amp; Sweatshirts"/>
    <n v="10"/>
    <n v="49"/>
    <n v="490"/>
    <d v="2025-02-02T00:00:00"/>
    <d v="2025-02-03T00:00:00"/>
    <s v="O"/>
    <x v="2"/>
    <n v="3"/>
    <s v="California"/>
    <s v="Sacramento County"/>
    <n v="1"/>
    <x v="4"/>
    <x v="3"/>
  </r>
  <r>
    <s v="TX500780"/>
    <s v="Shorts"/>
    <n v="2"/>
    <n v="33.700000000000003"/>
    <n v="67.400000000000006"/>
    <d v="2025-02-02T00:00:00"/>
    <d v="2025-02-06T00:00:00"/>
    <s v="F"/>
    <x v="3"/>
    <n v="4"/>
    <s v="California"/>
    <s v="Sacramento County"/>
    <n v="4"/>
    <x v="4"/>
    <x v="2"/>
  </r>
  <r>
    <s v="TX500781"/>
    <s v="Graphic Tees"/>
    <n v="3"/>
    <n v="35.6"/>
    <n v="106.80000000000001"/>
    <d v="2025-02-02T00:00:00"/>
    <d v="2025-02-05T00:00:00"/>
    <s v="F"/>
    <x v="0"/>
    <n v="5"/>
    <s v="California"/>
    <s v="Sacramento County"/>
    <n v="3"/>
    <x v="4"/>
    <x v="2"/>
  </r>
  <r>
    <s v="TX500782"/>
    <s v="Graphic Tees"/>
    <n v="35"/>
    <n v="30.4"/>
    <n v="1064"/>
    <d v="2025-02-03T00:00:00"/>
    <d v="2025-02-03T00:00:00"/>
    <s v="F"/>
    <x v="0"/>
    <n v="3"/>
    <s v="California"/>
    <s v="San Bernardino County"/>
    <n v="0"/>
    <x v="5"/>
    <x v="2"/>
  </r>
  <r>
    <s v="TX500783"/>
    <s v="Bikinis"/>
    <n v="12"/>
    <n v="50.2"/>
    <n v="602.40000000000009"/>
    <d v="2025-02-03T00:00:00"/>
    <d v="2025-02-04T00:00:00"/>
    <s v="M"/>
    <x v="4"/>
    <n v="4"/>
    <s v="California"/>
    <s v="San Diego County"/>
    <n v="1"/>
    <x v="5"/>
    <x v="1"/>
  </r>
  <r>
    <s v="TX500784"/>
    <s v="Tank Tops"/>
    <n v="2"/>
    <n v="43.7"/>
    <n v="87.4"/>
    <d v="2025-02-03T00:00:00"/>
    <d v="2025-02-05T00:00:00"/>
    <s v="F"/>
    <x v="0"/>
    <n v="4"/>
    <s v="California"/>
    <s v="San Diego County"/>
    <n v="2"/>
    <x v="5"/>
    <x v="2"/>
  </r>
  <r>
    <s v="TX500785"/>
    <s v="Bikinis"/>
    <n v="1"/>
    <n v="33.299999999999997"/>
    <n v="33.299999999999997"/>
    <d v="2025-02-03T00:00:00"/>
    <d v="2025-02-04T00:00:00"/>
    <s v="F"/>
    <x v="2"/>
    <n v="3"/>
    <s v="California"/>
    <s v="San Diego County"/>
    <n v="1"/>
    <x v="5"/>
    <x v="2"/>
  </r>
  <r>
    <s v="TX500786"/>
    <s v="T-Shirts"/>
    <n v="4"/>
    <n v="15.1"/>
    <n v="60.4"/>
    <d v="2025-02-03T00:00:00"/>
    <d v="2025-02-05T00:00:00"/>
    <s v="F"/>
    <x v="4"/>
    <n v="5"/>
    <s v="California"/>
    <s v="San Diego County"/>
    <n v="2"/>
    <x v="5"/>
    <x v="2"/>
  </r>
  <r>
    <s v="TX500787"/>
    <s v="Jeans"/>
    <n v="5"/>
    <n v="118.2"/>
    <n v="591"/>
    <d v="2025-02-03T00:00:00"/>
    <d v="2025-02-04T00:00:00"/>
    <s v="F"/>
    <x v="3"/>
    <n v="2"/>
    <s v="California"/>
    <s v="San Diego County"/>
    <n v="1"/>
    <x v="5"/>
    <x v="2"/>
  </r>
  <r>
    <s v="TX500788"/>
    <s v="Bikinis"/>
    <n v="3"/>
    <n v="28.9"/>
    <n v="86.699999999999989"/>
    <d v="2025-02-03T00:00:00"/>
    <d v="2025-02-05T00:00:00"/>
    <s v="F"/>
    <x v="2"/>
    <n v="3"/>
    <s v="California"/>
    <s v="San Diego County"/>
    <n v="2"/>
    <x v="5"/>
    <x v="2"/>
  </r>
  <r>
    <s v="TX500789"/>
    <s v="Graphic Tees"/>
    <n v="3"/>
    <n v="55.6"/>
    <n v="166.8"/>
    <d v="2025-02-03T00:00:00"/>
    <d v="2025-02-04T00:00:00"/>
    <s v="M"/>
    <x v="0"/>
    <n v="3"/>
    <s v="California"/>
    <s v="San Diego County"/>
    <n v="1"/>
    <x v="5"/>
    <x v="1"/>
  </r>
  <r>
    <s v="TX500790"/>
    <s v="Sundresses"/>
    <n v="4"/>
    <n v="25.6"/>
    <n v="102.4"/>
    <d v="2025-02-03T00:00:00"/>
    <d v="2025-02-05T00:00:00"/>
    <s v="F"/>
    <x v="0"/>
    <n v="3"/>
    <s v="California"/>
    <s v="San Diego County"/>
    <n v="2"/>
    <x v="5"/>
    <x v="2"/>
  </r>
  <r>
    <s v="TX500791"/>
    <s v="Hoodies &amp; Sweatshirts"/>
    <n v="3"/>
    <n v="31.3"/>
    <n v="93.9"/>
    <d v="2025-02-03T00:00:00"/>
    <d v="2025-02-04T00:00:00"/>
    <s v="M"/>
    <x v="0"/>
    <n v="4"/>
    <s v="California"/>
    <s v="San Francisco"/>
    <n v="1"/>
    <x v="5"/>
    <x v="1"/>
  </r>
  <r>
    <s v="TX500792"/>
    <s v="Shorts"/>
    <n v="3"/>
    <n v="22.1"/>
    <n v="66.300000000000011"/>
    <d v="2025-02-03T00:00:00"/>
    <d v="2025-02-07T00:00:00"/>
    <s v="M"/>
    <x v="0"/>
    <n v="4"/>
    <s v="California"/>
    <s v="San Francisco"/>
    <n v="4"/>
    <x v="5"/>
    <x v="1"/>
  </r>
  <r>
    <s v="TX500793"/>
    <s v="Sneakers"/>
    <n v="14"/>
    <n v="99.4"/>
    <n v="1391.6000000000001"/>
    <d v="2025-02-03T00:00:00"/>
    <d v="2025-02-04T00:00:00"/>
    <s v="M"/>
    <x v="1"/>
    <n v="4"/>
    <s v="California"/>
    <s v="Santa Clara County"/>
    <n v="1"/>
    <x v="5"/>
    <x v="1"/>
  </r>
  <r>
    <s v="TX500794"/>
    <s v="Hoodies &amp; Sweatshirts"/>
    <n v="6"/>
    <n v="66.599999999999994"/>
    <n v="399.59999999999997"/>
    <d v="2025-02-03T00:00:00"/>
    <d v="2025-02-04T00:00:00"/>
    <s v="F"/>
    <x v="0"/>
    <n v="4"/>
    <s v="California"/>
    <s v="Santa Clara County"/>
    <n v="1"/>
    <x v="5"/>
    <x v="2"/>
  </r>
  <r>
    <s v="TX500795"/>
    <s v="T-Shirts"/>
    <n v="2"/>
    <n v="22.6"/>
    <n v="45.2"/>
    <d v="2025-02-03T00:00:00"/>
    <d v="2025-02-06T00:00:00"/>
    <s v="M"/>
    <x v="0"/>
    <n v="4"/>
    <s v="California"/>
    <s v="Santa Clara County"/>
    <n v="3"/>
    <x v="5"/>
    <x v="1"/>
  </r>
  <r>
    <s v="TX500796"/>
    <s v="Sneakers"/>
    <n v="18"/>
    <n v="66.8"/>
    <n v="1202.3999999999999"/>
    <d v="2025-02-03T00:00:00"/>
    <d v="2025-02-04T00:00:00"/>
    <s v="F"/>
    <x v="0"/>
    <n v="2"/>
    <s v="California"/>
    <s v="Ventura County"/>
    <n v="1"/>
    <x v="5"/>
    <x v="2"/>
  </r>
  <r>
    <s v="TX500797"/>
    <s v="Shorts"/>
    <n v="4"/>
    <n v="20.8"/>
    <n v="83.2"/>
    <d v="2025-02-03T00:00:00"/>
    <d v="2025-02-10T00:00:00"/>
    <s v="M"/>
    <x v="1"/>
    <n v="2"/>
    <s v="California"/>
    <s v="Contra Costa County"/>
    <n v="7"/>
    <x v="5"/>
    <x v="1"/>
  </r>
  <r>
    <s v="TX500798"/>
    <s v="Sneakers"/>
    <n v="7"/>
    <n v="102.5"/>
    <n v="717.5"/>
    <d v="2025-02-03T00:00:00"/>
    <d v="2025-02-04T00:00:00"/>
    <s v="F"/>
    <x v="4"/>
    <n v="5"/>
    <s v="California"/>
    <s v="Los Angeles County"/>
    <n v="1"/>
    <x v="5"/>
    <x v="2"/>
  </r>
  <r>
    <s v="TX500799"/>
    <s v="Shorts"/>
    <n v="18"/>
    <n v="24.8"/>
    <n v="446.40000000000003"/>
    <d v="2025-02-03T00:00:00"/>
    <d v="2025-02-07T00:00:00"/>
    <s v="F"/>
    <x v="0"/>
    <n v="4"/>
    <s v="California"/>
    <s v="Los Angeles County"/>
    <n v="4"/>
    <x v="5"/>
    <x v="2"/>
  </r>
  <r>
    <s v="TX500800"/>
    <s v="Graphic Tees"/>
    <n v="31"/>
    <n v="31.4"/>
    <n v="973.4"/>
    <d v="2025-02-03T00:00:00"/>
    <d v="2025-02-04T00:00:00"/>
    <s v="F"/>
    <x v="3"/>
    <n v="4"/>
    <s v="California"/>
    <s v="Los Angeles County"/>
    <n v="1"/>
    <x v="5"/>
    <x v="2"/>
  </r>
  <r>
    <s v="TX500801"/>
    <s v="Sundresses"/>
    <n v="5"/>
    <n v="59.3"/>
    <n v="296.5"/>
    <d v="2025-02-03T00:00:00"/>
    <d v="2025-02-06T00:00:00"/>
    <s v="M"/>
    <x v="1"/>
    <n v="5"/>
    <s v="California"/>
    <s v="Marin County"/>
    <n v="3"/>
    <x v="5"/>
    <x v="1"/>
  </r>
  <r>
    <s v="TX500802"/>
    <s v="Maxi Dresses"/>
    <n v="6"/>
    <n v="39"/>
    <n v="234"/>
    <d v="2025-02-03T00:00:00"/>
    <d v="2025-02-06T00:00:00"/>
    <s v="M"/>
    <x v="1"/>
    <n v="4"/>
    <s v="California"/>
    <s v="Sacramento County"/>
    <n v="3"/>
    <x v="5"/>
    <x v="1"/>
  </r>
  <r>
    <s v="TX500803"/>
    <s v="Sandals"/>
    <n v="6"/>
    <n v="98.6"/>
    <n v="591.59999999999991"/>
    <d v="2025-02-03T00:00:00"/>
    <d v="2025-02-05T00:00:00"/>
    <s v="F"/>
    <x v="1"/>
    <n v="4"/>
    <s v="California"/>
    <s v="Sacramento County"/>
    <n v="2"/>
    <x v="5"/>
    <x v="2"/>
  </r>
  <r>
    <s v="TX500804"/>
    <s v="T-Shirts"/>
    <n v="1"/>
    <n v="20"/>
    <n v="20"/>
    <d v="2025-02-04T00:00:00"/>
    <d v="2025-02-05T00:00:00"/>
    <s v="M"/>
    <x v="3"/>
    <n v="5"/>
    <s v="California"/>
    <s v="San Diego County"/>
    <n v="1"/>
    <x v="5"/>
    <x v="1"/>
  </r>
  <r>
    <s v="TX500805"/>
    <s v="Tank Tops"/>
    <n v="2"/>
    <n v="42.9"/>
    <n v="85.8"/>
    <d v="2025-02-04T00:00:00"/>
    <d v="2025-02-06T00:00:00"/>
    <s v="F"/>
    <x v="0"/>
    <n v="5"/>
    <s v="California"/>
    <s v="San Diego County"/>
    <n v="2"/>
    <x v="5"/>
    <x v="2"/>
  </r>
  <r>
    <s v="TX500806"/>
    <s v="Hoodies &amp; Sweatshirts"/>
    <n v="7"/>
    <n v="55.6"/>
    <n v="389.2"/>
    <d v="2025-02-04T00:00:00"/>
    <d v="2025-02-06T00:00:00"/>
    <s v="F"/>
    <x v="2"/>
    <n v="3"/>
    <s v="California"/>
    <s v="San Diego County"/>
    <n v="2"/>
    <x v="5"/>
    <x v="2"/>
  </r>
  <r>
    <s v="TX500807"/>
    <s v="T-Shirts"/>
    <n v="4"/>
    <n v="19.2"/>
    <n v="76.8"/>
    <d v="2025-02-04T00:00:00"/>
    <d v="2025-02-09T00:00:00"/>
    <s v="F"/>
    <x v="0"/>
    <n v="4"/>
    <s v="California"/>
    <s v="San Luis Obispo County"/>
    <n v="5"/>
    <x v="5"/>
    <x v="2"/>
  </r>
  <r>
    <s v="TX500808"/>
    <s v="Sandals"/>
    <n v="2"/>
    <n v="28.8"/>
    <n v="57.6"/>
    <d v="2025-02-04T00:00:00"/>
    <d v="2025-02-06T00:00:00"/>
    <s v="M"/>
    <x v="1"/>
    <n v="4"/>
    <s v="California"/>
    <s v="Sonoma County"/>
    <n v="2"/>
    <x v="5"/>
    <x v="1"/>
  </r>
  <r>
    <s v="TX500809"/>
    <s v="Graphic Tees"/>
    <n v="1"/>
    <n v="29.7"/>
    <n v="29.7"/>
    <d v="2025-02-04T00:00:00"/>
    <d v="2025-02-06T00:00:00"/>
    <s v="F"/>
    <x v="2"/>
    <n v="2"/>
    <s v="California"/>
    <s v="Tulare County"/>
    <n v="2"/>
    <x v="5"/>
    <x v="2"/>
  </r>
  <r>
    <s v="TX500810"/>
    <s v="Jeans"/>
    <n v="6"/>
    <n v="63.3"/>
    <n v="379.79999999999995"/>
    <d v="2025-02-04T00:00:00"/>
    <d v="2025-02-05T00:00:00"/>
    <s v=""/>
    <x v="0"/>
    <n v="5"/>
    <s v="California"/>
    <s v="Alameda County"/>
    <n v="1"/>
    <x v="5"/>
    <x v="0"/>
  </r>
  <r>
    <s v="TX500811"/>
    <s v="Graphic Tees"/>
    <n v="1"/>
    <n v="46"/>
    <n v="46"/>
    <d v="2025-02-04T00:00:00"/>
    <d v="2025-02-05T00:00:00"/>
    <s v="F"/>
    <x v="0"/>
    <n v="5"/>
    <s v="California"/>
    <s v="Alameda County"/>
    <n v="1"/>
    <x v="5"/>
    <x v="2"/>
  </r>
  <r>
    <s v="TX500812"/>
    <s v="Maxi Dresses"/>
    <n v="3"/>
    <n v="38"/>
    <n v="114"/>
    <d v="2025-02-04T00:00:00"/>
    <d v="2025-02-06T00:00:00"/>
    <s v="F"/>
    <x v="1"/>
    <n v="5"/>
    <s v="California"/>
    <s v="Alameda County"/>
    <n v="2"/>
    <x v="5"/>
    <x v="2"/>
  </r>
  <r>
    <s v="TX500813"/>
    <s v="Bikinis"/>
    <n v="13"/>
    <n v="34.6"/>
    <n v="449.8"/>
    <d v="2025-02-04T00:00:00"/>
    <d v="2025-02-06T00:00:00"/>
    <s v="F"/>
    <x v="0"/>
    <n v="3"/>
    <s v="California"/>
    <s v="Alameda County"/>
    <n v="2"/>
    <x v="5"/>
    <x v="2"/>
  </r>
  <r>
    <s v="TX500814"/>
    <s v="Workout Tops"/>
    <n v="10"/>
    <n v="79.7"/>
    <n v="797"/>
    <d v="2025-02-04T00:00:00"/>
    <d v="2025-02-05T00:00:00"/>
    <s v="F"/>
    <x v="4"/>
    <n v="3"/>
    <s v="California"/>
    <s v="Alameda County"/>
    <n v="1"/>
    <x v="5"/>
    <x v="2"/>
  </r>
  <r>
    <s v="TX500815"/>
    <s v="T-Shirts"/>
    <n v="8"/>
    <n v="30.5"/>
    <n v="244"/>
    <d v="2025-02-04T00:00:00"/>
    <d v="2025-02-08T00:00:00"/>
    <s v="M"/>
    <x v="3"/>
    <n v="4"/>
    <s v="California"/>
    <s v="Contra Costa County"/>
    <n v="4"/>
    <x v="5"/>
    <x v="1"/>
  </r>
  <r>
    <s v="TX500816"/>
    <s v="Shorts"/>
    <n v="2"/>
    <n v="20.8"/>
    <n v="41.6"/>
    <d v="2025-02-04T00:00:00"/>
    <d v="2025-02-05T00:00:00"/>
    <s v="F"/>
    <x v="0"/>
    <n v="4"/>
    <s v="California"/>
    <s v="Fresno County"/>
    <n v="1"/>
    <x v="5"/>
    <x v="2"/>
  </r>
  <r>
    <s v="TX500817"/>
    <s v="Maxi Dresses"/>
    <n v="7"/>
    <n v="48.5"/>
    <n v="339.5"/>
    <d v="2025-02-04T00:00:00"/>
    <d v="2025-02-08T00:00:00"/>
    <s v="F"/>
    <x v="2"/>
    <n v="5"/>
    <s v="California"/>
    <s v="Fresno County"/>
    <n v="4"/>
    <x v="5"/>
    <x v="2"/>
  </r>
  <r>
    <s v="TX500818"/>
    <s v="Sneakers"/>
    <n v="4"/>
    <n v="61.8"/>
    <n v="247.2"/>
    <d v="2025-02-04T00:00:00"/>
    <d v="2025-02-08T00:00:00"/>
    <s v="F"/>
    <x v="4"/>
    <n v="4"/>
    <s v="California"/>
    <s v="Kern County"/>
    <n v="4"/>
    <x v="5"/>
    <x v="2"/>
  </r>
  <r>
    <s v="TX500819"/>
    <s v="Bikinis"/>
    <n v="1"/>
    <n v="46.1"/>
    <n v="46.1"/>
    <d v="2025-02-04T00:00:00"/>
    <d v="2025-02-05T00:00:00"/>
    <s v="O"/>
    <x v="2"/>
    <n v="4"/>
    <s v="California"/>
    <s v="Los Angeles County"/>
    <n v="1"/>
    <x v="5"/>
    <x v="3"/>
  </r>
  <r>
    <s v="TX500820"/>
    <s v="Graphic Tees"/>
    <n v="6"/>
    <n v="44"/>
    <n v="264"/>
    <d v="2025-02-04T00:00:00"/>
    <d v="2025-02-05T00:00:00"/>
    <s v="F"/>
    <x v="0"/>
    <n v="4"/>
    <s v="California"/>
    <s v="Los Angeles County"/>
    <n v="1"/>
    <x v="5"/>
    <x v="2"/>
  </r>
  <r>
    <s v="TX500821"/>
    <s v="Leggings"/>
    <n v="2"/>
    <n v="95.7"/>
    <n v="191.4"/>
    <d v="2025-02-04T00:00:00"/>
    <d v="2025-02-10T00:00:00"/>
    <s v="F"/>
    <x v="3"/>
    <n v="5"/>
    <s v="California"/>
    <s v="Los Angeles County"/>
    <n v="6"/>
    <x v="5"/>
    <x v="2"/>
  </r>
  <r>
    <s v="TX500822"/>
    <s v="Hoodies &amp; Sweatshirts"/>
    <n v="5"/>
    <n v="46.4"/>
    <n v="232"/>
    <d v="2025-02-04T00:00:00"/>
    <d v="2025-02-07T00:00:00"/>
    <s v="F"/>
    <x v="0"/>
    <n v="4"/>
    <s v="California"/>
    <s v="Los Angeles County"/>
    <n v="3"/>
    <x v="5"/>
    <x v="2"/>
  </r>
  <r>
    <s v="TX500823"/>
    <s v="Jeans"/>
    <n v="2"/>
    <n v="47.2"/>
    <n v="94.4"/>
    <d v="2025-02-04T00:00:00"/>
    <d v="2025-02-06T00:00:00"/>
    <s v="F"/>
    <x v="0"/>
    <n v="5"/>
    <s v="California"/>
    <s v="Los Angeles County"/>
    <n v="2"/>
    <x v="5"/>
    <x v="2"/>
  </r>
  <r>
    <s v="TX500824"/>
    <s v="Hoodies &amp; Sweatshirts"/>
    <n v="2"/>
    <n v="58.6"/>
    <n v="117.2"/>
    <d v="2025-02-04T00:00:00"/>
    <d v="2025-02-05T00:00:00"/>
    <s v="F"/>
    <x v="2"/>
    <n v="3"/>
    <s v="California"/>
    <s v="Los Angeles County"/>
    <n v="1"/>
    <x v="5"/>
    <x v="2"/>
  </r>
  <r>
    <s v="TX500825"/>
    <s v="Graphic Tees"/>
    <n v="3"/>
    <n v="57"/>
    <n v="171"/>
    <d v="2025-02-04T00:00:00"/>
    <d v="2025-02-05T00:00:00"/>
    <s v="M"/>
    <x v="0"/>
    <n v="5"/>
    <s v="California"/>
    <s v="Los Angeles County"/>
    <n v="1"/>
    <x v="5"/>
    <x v="1"/>
  </r>
  <r>
    <s v="TX500826"/>
    <s v="T-Shirts"/>
    <n v="4"/>
    <n v="28.9"/>
    <n v="115.6"/>
    <d v="2025-02-04T00:00:00"/>
    <d v="2025-02-08T00:00:00"/>
    <s v="M"/>
    <x v="2"/>
    <n v="4"/>
    <s v="California"/>
    <s v="Los Angeles County"/>
    <n v="4"/>
    <x v="5"/>
    <x v="1"/>
  </r>
  <r>
    <s v="TX500827"/>
    <s v="Casual Dresses"/>
    <n v="5"/>
    <n v="60.7"/>
    <n v="303.5"/>
    <d v="2025-02-04T00:00:00"/>
    <d v="2025-02-08T00:00:00"/>
    <s v=""/>
    <x v="1"/>
    <n v="3"/>
    <s v="California"/>
    <s v="Los Angeles County"/>
    <n v="4"/>
    <x v="5"/>
    <x v="0"/>
  </r>
  <r>
    <s v="TX500828"/>
    <s v="Jeans"/>
    <n v="5"/>
    <n v="60.8"/>
    <n v="304"/>
    <d v="2025-02-04T00:00:00"/>
    <d v="2025-02-08T00:00:00"/>
    <s v="M"/>
    <x v="0"/>
    <n v="3"/>
    <s v="California"/>
    <s v="Los Angeles County"/>
    <n v="4"/>
    <x v="5"/>
    <x v="1"/>
  </r>
  <r>
    <s v="TX500829"/>
    <s v="Jeans"/>
    <n v="5"/>
    <n v="64.599999999999994"/>
    <n v="323"/>
    <d v="2025-02-04T00:00:00"/>
    <d v="2025-02-05T00:00:00"/>
    <s v="F"/>
    <x v="3"/>
    <n v="4"/>
    <s v="California"/>
    <s v="Los Angeles County"/>
    <n v="1"/>
    <x v="5"/>
    <x v="2"/>
  </r>
  <r>
    <s v="TX500830"/>
    <s v="T-Shirts"/>
    <n v="1"/>
    <n v="21.9"/>
    <n v="21.9"/>
    <d v="2025-02-04T00:00:00"/>
    <d v="2025-02-07T00:00:00"/>
    <s v="M"/>
    <x v="1"/>
    <n v="5"/>
    <s v="California"/>
    <s v="Nevada County"/>
    <n v="3"/>
    <x v="5"/>
    <x v="1"/>
  </r>
  <r>
    <s v="TX500831"/>
    <s v="Graphic Tees"/>
    <n v="12"/>
    <n v="33.4"/>
    <n v="400.79999999999995"/>
    <d v="2025-02-04T00:00:00"/>
    <d v="2025-02-06T00:00:00"/>
    <s v="F"/>
    <x v="0"/>
    <n v="4"/>
    <s v="California"/>
    <s v="Riverside County"/>
    <n v="2"/>
    <x v="5"/>
    <x v="2"/>
  </r>
  <r>
    <s v="TX500832"/>
    <s v="Sneakers"/>
    <n v="1"/>
    <n v="51.7"/>
    <n v="51.7"/>
    <d v="2025-02-04T00:00:00"/>
    <d v="2025-02-05T00:00:00"/>
    <s v=""/>
    <x v="0"/>
    <n v="4"/>
    <s v="California"/>
    <s v="Sacramento County"/>
    <n v="1"/>
    <x v="5"/>
    <x v="0"/>
  </r>
  <r>
    <s v="TX500833"/>
    <s v="Tank Tops"/>
    <n v="4"/>
    <n v="84.9"/>
    <n v="339.6"/>
    <d v="2025-02-04T00:00:00"/>
    <d v="2025-02-05T00:00:00"/>
    <s v="F"/>
    <x v="1"/>
    <n v="3"/>
    <s v="California"/>
    <s v="Sacramento County"/>
    <n v="1"/>
    <x v="5"/>
    <x v="2"/>
  </r>
  <r>
    <s v="TX500834"/>
    <s v="Tank Tops"/>
    <n v="11"/>
    <n v="62.3"/>
    <n v="685.3"/>
    <d v="2025-02-04T00:00:00"/>
    <d v="2025-02-05T00:00:00"/>
    <s v="F"/>
    <x v="2"/>
    <n v="5"/>
    <s v="California"/>
    <s v="San Bernardino County"/>
    <n v="1"/>
    <x v="5"/>
    <x v="2"/>
  </r>
  <r>
    <s v="TX500835"/>
    <s v="Graphic Tees"/>
    <n v="1"/>
    <n v="50.7"/>
    <n v="50.7"/>
    <d v="2025-02-04T00:00:00"/>
    <d v="2025-02-06T00:00:00"/>
    <s v="M"/>
    <x v="2"/>
    <n v="5"/>
    <s v="California"/>
    <s v="San Diego County"/>
    <n v="2"/>
    <x v="5"/>
    <x v="1"/>
  </r>
  <r>
    <s v="TX500836"/>
    <s v="Leggings"/>
    <n v="1"/>
    <n v="39.5"/>
    <n v="39.5"/>
    <d v="2025-02-04T00:00:00"/>
    <d v="2025-02-05T00:00:00"/>
    <s v="M"/>
    <x v="4"/>
    <n v="3"/>
    <s v="California"/>
    <s v="San Diego County"/>
    <n v="1"/>
    <x v="5"/>
    <x v="1"/>
  </r>
  <r>
    <s v="TX500837"/>
    <s v="Casual Dresses"/>
    <n v="3"/>
    <n v="30.9"/>
    <n v="92.699999999999989"/>
    <d v="2025-02-04T00:00:00"/>
    <d v="2025-02-05T00:00:00"/>
    <s v=""/>
    <x v="4"/>
    <n v="5"/>
    <s v="California"/>
    <s v="San Diego County"/>
    <n v="1"/>
    <x v="5"/>
    <x v="0"/>
  </r>
  <r>
    <s v="TX500838"/>
    <s v="Tank Tops"/>
    <n v="7"/>
    <n v="36.4"/>
    <n v="254.79999999999998"/>
    <d v="2025-02-04T00:00:00"/>
    <d v="2025-02-07T00:00:00"/>
    <s v="F"/>
    <x v="0"/>
    <n v="5"/>
    <s v="California"/>
    <s v="San Diego County"/>
    <n v="3"/>
    <x v="5"/>
    <x v="2"/>
  </r>
  <r>
    <s v="TX500839"/>
    <s v="Jeans"/>
    <n v="8"/>
    <n v="105.6"/>
    <n v="844.8"/>
    <d v="2025-02-04T00:00:00"/>
    <d v="2025-02-14T00:00:00"/>
    <s v="F"/>
    <x v="0"/>
    <n v="4"/>
    <s v="California"/>
    <s v="San Diego County"/>
    <n v="10"/>
    <x v="5"/>
    <x v="2"/>
  </r>
  <r>
    <s v="TX500840"/>
    <s v="T-Shirts"/>
    <n v="2"/>
    <n v="22.1"/>
    <n v="44.2"/>
    <d v="2025-02-04T00:00:00"/>
    <d v="2025-02-05T00:00:00"/>
    <s v="F"/>
    <x v="0"/>
    <n v="5"/>
    <s v="California"/>
    <s v="San Francisco"/>
    <n v="1"/>
    <x v="5"/>
    <x v="2"/>
  </r>
  <r>
    <s v="TX500841"/>
    <s v="Shorts"/>
    <n v="3"/>
    <n v="22.6"/>
    <n v="67.800000000000011"/>
    <d v="2025-02-04T00:00:00"/>
    <d v="2025-02-05T00:00:00"/>
    <s v="F"/>
    <x v="2"/>
    <n v="4"/>
    <s v="California"/>
    <s v="San Francisco"/>
    <n v="1"/>
    <x v="5"/>
    <x v="2"/>
  </r>
  <r>
    <s v="TX500842"/>
    <s v="Bikinis"/>
    <n v="6"/>
    <n v="26.3"/>
    <n v="157.80000000000001"/>
    <d v="2025-02-04T00:00:00"/>
    <d v="2025-02-04T00:00:00"/>
    <s v="F"/>
    <x v="2"/>
    <n v="4"/>
    <s v="California"/>
    <s v="San Mateo County"/>
    <n v="0"/>
    <x v="5"/>
    <x v="2"/>
  </r>
  <r>
    <s v="TX500843"/>
    <s v="Tank Tops"/>
    <n v="4"/>
    <n v="37.799999999999997"/>
    <n v="151.19999999999999"/>
    <d v="2025-02-04T00:00:00"/>
    <d v="2025-02-05T00:00:00"/>
    <s v="F"/>
    <x v="0"/>
    <n v="5"/>
    <s v="California"/>
    <s v="Santa Clara County"/>
    <n v="1"/>
    <x v="5"/>
    <x v="2"/>
  </r>
  <r>
    <s v="TX500844"/>
    <s v="Jeans"/>
    <n v="17"/>
    <n v="96"/>
    <n v="1632"/>
    <d v="2025-02-04T00:00:00"/>
    <d v="2025-02-07T00:00:00"/>
    <s v="F"/>
    <x v="4"/>
    <n v="3"/>
    <s v="California"/>
    <s v="Sonoma County"/>
    <n v="3"/>
    <x v="5"/>
    <x v="2"/>
  </r>
  <r>
    <s v="TX500845"/>
    <s v="Tank Tops"/>
    <n v="1"/>
    <n v="83.6"/>
    <n v="83.6"/>
    <d v="2025-02-04T00:00:00"/>
    <d v="2025-02-07T00:00:00"/>
    <s v="F"/>
    <x v="2"/>
    <n v="3"/>
    <s v="California"/>
    <s v="Stanislaus County"/>
    <n v="3"/>
    <x v="5"/>
    <x v="2"/>
  </r>
  <r>
    <s v="TX500846"/>
    <s v="Sneakers"/>
    <n v="6"/>
    <n v="72.599999999999994"/>
    <n v="435.59999999999997"/>
    <d v="2025-02-04T00:00:00"/>
    <d v="2025-02-05T00:00:00"/>
    <s v="F"/>
    <x v="0"/>
    <n v="4"/>
    <s v="California"/>
    <s v="Alameda County"/>
    <n v="1"/>
    <x v="5"/>
    <x v="2"/>
  </r>
  <r>
    <s v="TX500847"/>
    <s v="Sandals"/>
    <n v="20"/>
    <n v="69.099999999999994"/>
    <n v="1382"/>
    <d v="2025-02-05T00:00:00"/>
    <d v="2025-02-11T00:00:00"/>
    <s v="M"/>
    <x v="0"/>
    <n v="5"/>
    <s v="California"/>
    <s v="Alameda County"/>
    <n v="6"/>
    <x v="5"/>
    <x v="1"/>
  </r>
  <r>
    <s v="TX500848"/>
    <s v="Graphic Tees"/>
    <n v="2"/>
    <n v="22.6"/>
    <n v="45.2"/>
    <d v="2025-02-05T00:00:00"/>
    <d v="2025-02-07T00:00:00"/>
    <s v="F"/>
    <x v="1"/>
    <n v="5"/>
    <s v="California"/>
    <s v="Alameda County"/>
    <n v="2"/>
    <x v="5"/>
    <x v="2"/>
  </r>
  <r>
    <s v="TX500849"/>
    <s v="Jeans"/>
    <n v="2"/>
    <n v="45.3"/>
    <n v="90.6"/>
    <d v="2025-02-05T00:00:00"/>
    <d v="2025-02-09T00:00:00"/>
    <s v="M"/>
    <x v="4"/>
    <n v="5"/>
    <s v="California"/>
    <s v="Alameda County"/>
    <n v="4"/>
    <x v="5"/>
    <x v="1"/>
  </r>
  <r>
    <s v="TX500850"/>
    <s v="Sneakers"/>
    <n v="2"/>
    <n v="115.1"/>
    <n v="230.2"/>
    <d v="2025-02-05T00:00:00"/>
    <d v="2025-02-06T00:00:00"/>
    <s v="F"/>
    <x v="1"/>
    <n v="4"/>
    <s v="California"/>
    <s v="Contra Costa County"/>
    <n v="1"/>
    <x v="5"/>
    <x v="2"/>
  </r>
  <r>
    <s v="TX500851"/>
    <s v="Leggings"/>
    <n v="4"/>
    <n v="79"/>
    <n v="316"/>
    <d v="2025-02-05T00:00:00"/>
    <d v="2025-02-07T00:00:00"/>
    <s v="M"/>
    <x v="2"/>
    <n v="2"/>
    <s v="California"/>
    <s v="Contra Costa County"/>
    <n v="2"/>
    <x v="5"/>
    <x v="1"/>
  </r>
  <r>
    <s v="TX500852"/>
    <s v="Jeans"/>
    <n v="5"/>
    <n v="52.8"/>
    <n v="264"/>
    <d v="2025-02-05T00:00:00"/>
    <d v="2025-02-06T00:00:00"/>
    <s v="F"/>
    <x v="0"/>
    <n v="4"/>
    <s v="California"/>
    <s v="El Dorado County"/>
    <n v="1"/>
    <x v="5"/>
    <x v="2"/>
  </r>
  <r>
    <s v="TX500853"/>
    <s v="T-Shirts"/>
    <n v="2"/>
    <n v="34.1"/>
    <n v="68.2"/>
    <d v="2025-02-05T00:00:00"/>
    <d v="2025-02-06T00:00:00"/>
    <s v="M"/>
    <x v="3"/>
    <n v="5"/>
    <s v="California"/>
    <s v="Humboldt County"/>
    <n v="1"/>
    <x v="5"/>
    <x v="1"/>
  </r>
  <r>
    <s v="TX500854"/>
    <s v="Jeans"/>
    <n v="5"/>
    <n v="107.9"/>
    <n v="539.5"/>
    <d v="2025-02-05T00:00:00"/>
    <d v="2025-02-05T00:00:00"/>
    <s v="F"/>
    <x v="0"/>
    <n v="5"/>
    <s v="California"/>
    <s v="Lake County"/>
    <n v="0"/>
    <x v="5"/>
    <x v="2"/>
  </r>
  <r>
    <s v="TX500855"/>
    <s v="T-Shirts"/>
    <n v="13"/>
    <n v="48.5"/>
    <n v="630.5"/>
    <d v="2025-02-05T00:00:00"/>
    <d v="2025-02-05T00:00:00"/>
    <s v="M"/>
    <x v="2"/>
    <n v="5"/>
    <s v="California"/>
    <s v="Los Angeles County"/>
    <n v="0"/>
    <x v="5"/>
    <x v="1"/>
  </r>
  <r>
    <s v="TX500856"/>
    <s v="Sandals"/>
    <n v="3"/>
    <n v="34.700000000000003"/>
    <n v="104.10000000000001"/>
    <d v="2025-02-05T00:00:00"/>
    <d v="2025-02-06T00:00:00"/>
    <s v=""/>
    <x v="4"/>
    <n v="3"/>
    <s v="California"/>
    <s v="Los Angeles County"/>
    <n v="1"/>
    <x v="5"/>
    <x v="0"/>
  </r>
  <r>
    <s v="TX500857"/>
    <s v="T-Shirts"/>
    <n v="1"/>
    <n v="16.8"/>
    <n v="16.8"/>
    <d v="2025-02-05T00:00:00"/>
    <d v="2025-02-07T00:00:00"/>
    <s v="F"/>
    <x v="3"/>
    <n v="4"/>
    <s v="California"/>
    <s v="Los Angeles County"/>
    <n v="2"/>
    <x v="5"/>
    <x v="2"/>
  </r>
  <r>
    <s v="TX500858"/>
    <s v="T-Shirts"/>
    <n v="6"/>
    <n v="18.3"/>
    <n v="109.80000000000001"/>
    <d v="2025-02-05T00:00:00"/>
    <d v="2025-02-08T00:00:00"/>
    <s v="F"/>
    <x v="0"/>
    <n v="4"/>
    <s v="California"/>
    <s v="Los Angeles County"/>
    <n v="3"/>
    <x v="5"/>
    <x v="2"/>
  </r>
  <r>
    <s v="TX500859"/>
    <s v="Leggings"/>
    <n v="3"/>
    <n v="55.9"/>
    <n v="167.7"/>
    <d v="2025-02-05T00:00:00"/>
    <d v="2025-02-11T00:00:00"/>
    <s v="M"/>
    <x v="3"/>
    <n v="3"/>
    <s v="California"/>
    <s v="Los Angeles County"/>
    <n v="6"/>
    <x v="5"/>
    <x v="1"/>
  </r>
  <r>
    <s v="TX500860"/>
    <s v="T-Shirts"/>
    <n v="3"/>
    <n v="39.200000000000003"/>
    <n v="117.60000000000001"/>
    <d v="2025-02-05T00:00:00"/>
    <d v="2025-02-07T00:00:00"/>
    <s v="F"/>
    <x v="0"/>
    <n v="3"/>
    <s v="California"/>
    <s v="Los Angeles County"/>
    <n v="2"/>
    <x v="5"/>
    <x v="2"/>
  </r>
  <r>
    <s v="TX500861"/>
    <s v="Crop Tops"/>
    <n v="4"/>
    <n v="66.5"/>
    <n v="266"/>
    <d v="2025-02-05T00:00:00"/>
    <d v="2025-02-07T00:00:00"/>
    <s v=""/>
    <x v="3"/>
    <n v="3"/>
    <s v="California"/>
    <s v="Los Angeles County"/>
    <n v="2"/>
    <x v="5"/>
    <x v="0"/>
  </r>
  <r>
    <s v="TX500862"/>
    <s v="Jeans"/>
    <n v="6"/>
    <n v="52.1"/>
    <n v="312.60000000000002"/>
    <d v="2025-02-05T00:00:00"/>
    <d v="2025-02-07T00:00:00"/>
    <s v="M"/>
    <x v="1"/>
    <n v="3"/>
    <s v="California"/>
    <s v="Napa County"/>
    <n v="2"/>
    <x v="5"/>
    <x v="1"/>
  </r>
  <r>
    <s v="TX500863"/>
    <s v="T-Shirts"/>
    <n v="2"/>
    <n v="19"/>
    <n v="38"/>
    <d v="2025-02-05T00:00:00"/>
    <d v="2025-02-06T00:00:00"/>
    <s v="M"/>
    <x v="4"/>
    <n v="5"/>
    <s v="California"/>
    <s v="Sacramento County"/>
    <n v="1"/>
    <x v="5"/>
    <x v="1"/>
  </r>
  <r>
    <s v="TX500864"/>
    <s v="Hoodies &amp; Sweatshirts"/>
    <n v="3"/>
    <n v="84.8"/>
    <n v="254.39999999999998"/>
    <d v="2025-02-05T00:00:00"/>
    <d v="2025-02-07T00:00:00"/>
    <s v="F"/>
    <x v="2"/>
    <n v="4"/>
    <s v="California"/>
    <s v="San Diego County"/>
    <n v="2"/>
    <x v="5"/>
    <x v="2"/>
  </r>
  <r>
    <s v="TX500865"/>
    <s v="Sneakers"/>
    <n v="4"/>
    <n v="63.9"/>
    <n v="255.6"/>
    <d v="2025-02-05T00:00:00"/>
    <d v="2025-02-08T00:00:00"/>
    <s v="F"/>
    <x v="0"/>
    <n v="4"/>
    <s v="California"/>
    <s v="San Diego County"/>
    <n v="3"/>
    <x v="5"/>
    <x v="2"/>
  </r>
  <r>
    <s v="TX500866"/>
    <s v="Sneakers"/>
    <n v="3"/>
    <n v="65.5"/>
    <n v="196.5"/>
    <d v="2025-02-05T00:00:00"/>
    <d v="2025-02-05T00:00:00"/>
    <s v="F"/>
    <x v="1"/>
    <n v="3"/>
    <s v="California"/>
    <s v="San Diego County"/>
    <n v="0"/>
    <x v="5"/>
    <x v="2"/>
  </r>
  <r>
    <s v="TX500867"/>
    <s v="Casual Dresses"/>
    <n v="2"/>
    <n v="116.2"/>
    <n v="232.4"/>
    <d v="2025-02-05T00:00:00"/>
    <d v="2025-02-11T00:00:00"/>
    <s v="M"/>
    <x v="3"/>
    <n v="4"/>
    <s v="California"/>
    <s v="San Francisco"/>
    <n v="6"/>
    <x v="5"/>
    <x v="1"/>
  </r>
  <r>
    <s v="TX500868"/>
    <s v="Bikinis"/>
    <n v="4"/>
    <n v="22.9"/>
    <n v="91.6"/>
    <d v="2025-02-05T00:00:00"/>
    <d v="2025-02-07T00:00:00"/>
    <s v="F"/>
    <x v="2"/>
    <n v="3"/>
    <s v="California"/>
    <s v="Solano County"/>
    <n v="2"/>
    <x v="5"/>
    <x v="2"/>
  </r>
  <r>
    <s v="TX500869"/>
    <s v="Bikinis"/>
    <n v="3"/>
    <n v="53.7"/>
    <n v="161.10000000000002"/>
    <d v="2025-02-05T00:00:00"/>
    <d v="2025-02-06T00:00:00"/>
    <s v="M"/>
    <x v="0"/>
    <n v="2"/>
    <s v="California"/>
    <s v="Sonoma County"/>
    <n v="1"/>
    <x v="5"/>
    <x v="1"/>
  </r>
  <r>
    <s v="TX500870"/>
    <s v="Jeans"/>
    <n v="5"/>
    <n v="43.2"/>
    <n v="216"/>
    <d v="2025-02-05T00:00:00"/>
    <d v="2025-02-07T00:00:00"/>
    <s v="F"/>
    <x v="0"/>
    <n v="4"/>
    <s v="California"/>
    <s v="Stanislaus County"/>
    <n v="2"/>
    <x v="5"/>
    <x v="2"/>
  </r>
  <r>
    <s v="TX500871"/>
    <s v="Tank Tops"/>
    <n v="3"/>
    <n v="84.5"/>
    <n v="253.5"/>
    <d v="2025-02-05T00:00:00"/>
    <d v="2025-02-07T00:00:00"/>
    <s v="M"/>
    <x v="2"/>
    <n v="5"/>
    <s v="California"/>
    <s v="Butte County"/>
    <n v="2"/>
    <x v="5"/>
    <x v="1"/>
  </r>
  <r>
    <s v="TX500872"/>
    <s v="Workout Tops"/>
    <n v="2"/>
    <n v="42.2"/>
    <n v="84.4"/>
    <d v="2025-02-05T00:00:00"/>
    <d v="2025-02-06T00:00:00"/>
    <s v="F"/>
    <x v="1"/>
    <n v="5"/>
    <s v="California"/>
    <s v="Contra Costa County"/>
    <n v="1"/>
    <x v="5"/>
    <x v="2"/>
  </r>
  <r>
    <s v="TX500873"/>
    <s v="Sneakers"/>
    <n v="6"/>
    <n v="94.7"/>
    <n v="568.20000000000005"/>
    <d v="2025-02-05T00:00:00"/>
    <d v="2025-02-08T00:00:00"/>
    <s v="F"/>
    <x v="1"/>
    <n v="5"/>
    <s v="California"/>
    <s v="Fresno County"/>
    <n v="3"/>
    <x v="5"/>
    <x v="2"/>
  </r>
  <r>
    <s v="TX500874"/>
    <s v="T-Shirts"/>
    <n v="18"/>
    <n v="16.7"/>
    <n v="300.59999999999997"/>
    <d v="2025-02-05T00:00:00"/>
    <d v="2025-02-17T00:00:00"/>
    <s v="F"/>
    <x v="0"/>
    <n v="5"/>
    <s v="California"/>
    <s v="Fresno County"/>
    <n v="12"/>
    <x v="5"/>
    <x v="2"/>
  </r>
  <r>
    <s v="TX500875"/>
    <s v="Sneakers"/>
    <n v="2"/>
    <n v="83.6"/>
    <n v="167.2"/>
    <d v="2025-02-05T00:00:00"/>
    <d v="2025-02-11T00:00:00"/>
    <s v="F"/>
    <x v="1"/>
    <n v="4"/>
    <s v="California"/>
    <s v="Los Angeles County"/>
    <n v="6"/>
    <x v="5"/>
    <x v="2"/>
  </r>
  <r>
    <s v="TX500876"/>
    <s v="Hoodies &amp; Sweatshirts"/>
    <n v="6"/>
    <n v="33.6"/>
    <n v="201.60000000000002"/>
    <d v="2025-02-06T00:00:00"/>
    <d v="2025-02-07T00:00:00"/>
    <s v="F"/>
    <x v="3"/>
    <n v="4"/>
    <s v="California"/>
    <s v="Los Angeles County"/>
    <n v="1"/>
    <x v="5"/>
    <x v="2"/>
  </r>
  <r>
    <s v="TX500877"/>
    <s v="Hoodies &amp; Sweatshirts"/>
    <n v="2"/>
    <n v="64.7"/>
    <n v="129.4"/>
    <d v="2025-02-06T00:00:00"/>
    <d v="2025-02-08T00:00:00"/>
    <s v="M"/>
    <x v="1"/>
    <n v="5"/>
    <s v="California"/>
    <s v="Los Angeles County"/>
    <n v="2"/>
    <x v="5"/>
    <x v="1"/>
  </r>
  <r>
    <s v="TX500878"/>
    <s v="Shorts"/>
    <n v="3"/>
    <n v="15.7"/>
    <n v="47.099999999999994"/>
    <d v="2025-02-06T00:00:00"/>
    <d v="2025-02-12T00:00:00"/>
    <s v="F"/>
    <x v="0"/>
    <n v="4"/>
    <s v="California"/>
    <s v="Los Angeles County"/>
    <n v="6"/>
    <x v="5"/>
    <x v="2"/>
  </r>
  <r>
    <s v="TX500879"/>
    <s v="Crop Tops"/>
    <n v="6"/>
    <n v="49.4"/>
    <n v="296.39999999999998"/>
    <d v="2025-02-06T00:00:00"/>
    <d v="2025-02-06T00:00:00"/>
    <s v="M"/>
    <x v="1"/>
    <n v="4"/>
    <s v="California"/>
    <s v="Los Angeles County"/>
    <n v="0"/>
    <x v="5"/>
    <x v="1"/>
  </r>
  <r>
    <s v="TX500880"/>
    <s v="Bikinis"/>
    <n v="6"/>
    <n v="37"/>
    <n v="222"/>
    <d v="2025-02-06T00:00:00"/>
    <d v="2025-02-09T00:00:00"/>
    <s v="F"/>
    <x v="1"/>
    <n v="5"/>
    <s v="California"/>
    <s v="Los Angeles County"/>
    <n v="3"/>
    <x v="5"/>
    <x v="2"/>
  </r>
  <r>
    <s v="TX500881"/>
    <s v="Sneakers"/>
    <n v="2"/>
    <n v="83.7"/>
    <n v="167.4"/>
    <d v="2025-02-06T00:00:00"/>
    <d v="2025-02-08T00:00:00"/>
    <s v="F"/>
    <x v="3"/>
    <n v="5"/>
    <s v="California"/>
    <s v="Los Angeles County"/>
    <n v="2"/>
    <x v="5"/>
    <x v="2"/>
  </r>
  <r>
    <s v="TX500882"/>
    <s v="Tank Tops"/>
    <n v="5"/>
    <n v="35.1"/>
    <n v="175.5"/>
    <d v="2025-02-06T00:00:00"/>
    <d v="2025-02-07T00:00:00"/>
    <s v="F"/>
    <x v="0"/>
    <n v="4"/>
    <s v="California"/>
    <s v="Los Angeles County"/>
    <n v="1"/>
    <x v="5"/>
    <x v="2"/>
  </r>
  <r>
    <s v="TX500883"/>
    <s v="Sunglasses"/>
    <n v="8"/>
    <n v="74"/>
    <n v="592"/>
    <d v="2025-02-06T00:00:00"/>
    <d v="2025-02-07T00:00:00"/>
    <s v="F"/>
    <x v="4"/>
    <n v="4"/>
    <s v="California"/>
    <s v="Madera County"/>
    <n v="1"/>
    <x v="5"/>
    <x v="2"/>
  </r>
  <r>
    <s v="TX500884"/>
    <s v="Jeans"/>
    <n v="24"/>
    <n v="55.5"/>
    <n v="1332"/>
    <d v="2025-02-06T00:00:00"/>
    <d v="2025-02-09T00:00:00"/>
    <s v="M"/>
    <x v="3"/>
    <n v="4"/>
    <s v="California"/>
    <s v="Monterey County"/>
    <n v="3"/>
    <x v="5"/>
    <x v="1"/>
  </r>
  <r>
    <s v="TX500885"/>
    <s v="Maxi Dresses"/>
    <n v="2"/>
    <n v="38.9"/>
    <n v="77.8"/>
    <d v="2025-02-06T00:00:00"/>
    <d v="2025-02-08T00:00:00"/>
    <s v="F"/>
    <x v="1"/>
    <n v="5"/>
    <s v="California"/>
    <s v="Orange County"/>
    <n v="2"/>
    <x v="5"/>
    <x v="2"/>
  </r>
  <r>
    <s v="TX500886"/>
    <s v="Sunglasses"/>
    <n v="2"/>
    <n v="64.599999999999994"/>
    <n v="129.19999999999999"/>
    <d v="2025-02-06T00:00:00"/>
    <d v="2025-02-13T00:00:00"/>
    <s v="M"/>
    <x v="2"/>
    <n v="3"/>
    <s v="California"/>
    <s v="Orange County"/>
    <n v="7"/>
    <x v="5"/>
    <x v="1"/>
  </r>
  <r>
    <s v="TX500887"/>
    <s v="Sneakers"/>
    <n v="3"/>
    <n v="95.3"/>
    <n v="285.89999999999998"/>
    <d v="2025-02-06T00:00:00"/>
    <d v="2025-02-07T00:00:00"/>
    <s v="M"/>
    <x v="0"/>
    <n v="4"/>
    <s v="California"/>
    <s v="Placer County"/>
    <n v="1"/>
    <x v="5"/>
    <x v="1"/>
  </r>
  <r>
    <s v="TX500888"/>
    <s v="Tote Bags"/>
    <n v="3"/>
    <n v="25.8"/>
    <n v="77.400000000000006"/>
    <d v="2025-02-06T00:00:00"/>
    <d v="2025-02-07T00:00:00"/>
    <s v="F"/>
    <x v="1"/>
    <n v="3"/>
    <s v="California"/>
    <s v="Sacramento County"/>
    <n v="1"/>
    <x v="5"/>
    <x v="2"/>
  </r>
  <r>
    <s v="TX500889"/>
    <s v="Shorts"/>
    <n v="2"/>
    <n v="11.6"/>
    <n v="23.2"/>
    <d v="2025-02-06T00:00:00"/>
    <d v="2025-02-10T00:00:00"/>
    <s v="F"/>
    <x v="1"/>
    <n v="3"/>
    <s v="California"/>
    <s v="Sacramento County"/>
    <n v="4"/>
    <x v="5"/>
    <x v="2"/>
  </r>
  <r>
    <s v="TX500890"/>
    <s v="Hoodies &amp; Sweatshirts"/>
    <n v="1"/>
    <n v="52.3"/>
    <n v="52.3"/>
    <d v="2025-02-06T00:00:00"/>
    <d v="2025-02-07T00:00:00"/>
    <s v="F"/>
    <x v="1"/>
    <n v="4"/>
    <s v="California"/>
    <s v="San Diego County"/>
    <n v="1"/>
    <x v="5"/>
    <x v="2"/>
  </r>
  <r>
    <s v="TX500891"/>
    <s v="Sneakers"/>
    <n v="10"/>
    <n v="112.2"/>
    <n v="1122"/>
    <d v="2025-02-06T00:00:00"/>
    <d v="2025-02-07T00:00:00"/>
    <s v="F"/>
    <x v="1"/>
    <n v="3"/>
    <s v="California"/>
    <s v="San Diego County"/>
    <n v="1"/>
    <x v="5"/>
    <x v="2"/>
  </r>
  <r>
    <s v="TX500892"/>
    <s v="Graphic Tees"/>
    <n v="5"/>
    <n v="34.6"/>
    <n v="173"/>
    <d v="2025-02-06T00:00:00"/>
    <d v="2025-02-08T00:00:00"/>
    <s v="M"/>
    <x v="2"/>
    <n v="4"/>
    <s v="California"/>
    <s v="San Diego County"/>
    <n v="2"/>
    <x v="5"/>
    <x v="1"/>
  </r>
  <r>
    <s v="TX500893"/>
    <s v="Baseball Caps"/>
    <n v="4"/>
    <n v="20.100000000000001"/>
    <n v="80.400000000000006"/>
    <d v="2025-02-06T00:00:00"/>
    <d v="2025-02-12T00:00:00"/>
    <s v="M"/>
    <x v="1"/>
    <n v="5"/>
    <s v="California"/>
    <s v="San Diego County"/>
    <n v="6"/>
    <x v="5"/>
    <x v="1"/>
  </r>
  <r>
    <s v="TX500894"/>
    <s v="Sneakers"/>
    <n v="4"/>
    <n v="56.4"/>
    <n v="225.6"/>
    <d v="2025-02-06T00:00:00"/>
    <d v="2025-02-08T00:00:00"/>
    <s v="F"/>
    <x v="2"/>
    <n v="4"/>
    <s v="California"/>
    <s v="Santa Barbara County"/>
    <n v="2"/>
    <x v="5"/>
    <x v="2"/>
  </r>
  <r>
    <s v="TX500895"/>
    <s v="Tote Bags"/>
    <n v="9"/>
    <n v="55.3"/>
    <n v="497.7"/>
    <d v="2025-02-06T00:00:00"/>
    <d v="2025-02-08T00:00:00"/>
    <s v="F"/>
    <x v="1"/>
    <n v="2"/>
    <s v="California"/>
    <s v="Santa Clara County"/>
    <n v="2"/>
    <x v="5"/>
    <x v="2"/>
  </r>
  <r>
    <s v="TX500896"/>
    <s v="Sneakers"/>
    <n v="28"/>
    <n v="75.5"/>
    <n v="2114"/>
    <d v="2025-02-06T00:00:00"/>
    <d v="2025-02-07T00:00:00"/>
    <s v="F"/>
    <x v="0"/>
    <n v="4"/>
    <s v="California"/>
    <s v="Santa Clara County"/>
    <n v="1"/>
    <x v="5"/>
    <x v="2"/>
  </r>
  <r>
    <s v="TX500897"/>
    <s v="T-Shirts"/>
    <n v="1"/>
    <n v="23.6"/>
    <n v="23.6"/>
    <d v="2025-02-06T00:00:00"/>
    <d v="2025-02-11T00:00:00"/>
    <s v="F"/>
    <x v="0"/>
    <n v="4"/>
    <s v="California"/>
    <s v="Stanislaus County"/>
    <n v="5"/>
    <x v="5"/>
    <x v="2"/>
  </r>
  <r>
    <s v="TX500898"/>
    <s v="Sundresses"/>
    <n v="2"/>
    <n v="70.7"/>
    <n v="141.4"/>
    <d v="2025-02-06T00:00:00"/>
    <d v="2025-02-08T00:00:00"/>
    <s v="F"/>
    <x v="2"/>
    <n v="4"/>
    <s v="California"/>
    <s v="Stanislaus County"/>
    <n v="2"/>
    <x v="5"/>
    <x v="2"/>
  </r>
  <r>
    <s v="TX500899"/>
    <s v="Casual Dresses"/>
    <n v="2"/>
    <n v="43.2"/>
    <n v="86.4"/>
    <d v="2025-02-06T00:00:00"/>
    <d v="2025-02-07T00:00:00"/>
    <s v="F"/>
    <x v="2"/>
    <n v="4"/>
    <s v="California"/>
    <s v="Sutter County"/>
    <n v="1"/>
    <x v="5"/>
    <x v="2"/>
  </r>
  <r>
    <s v="TX500900"/>
    <s v="Sundresses"/>
    <n v="9"/>
    <n v="70"/>
    <n v="630"/>
    <d v="2025-02-06T00:00:00"/>
    <d v="2025-02-07T00:00:00"/>
    <s v=""/>
    <x v="1"/>
    <n v="4"/>
    <s v="California"/>
    <s v="Tuolumne County"/>
    <n v="1"/>
    <x v="5"/>
    <x v="0"/>
  </r>
  <r>
    <s v="TX500901"/>
    <s v="Shorts"/>
    <n v="2"/>
    <n v="20.5"/>
    <n v="41"/>
    <d v="2025-02-06T00:00:00"/>
    <d v="2025-02-08T00:00:00"/>
    <s v="F"/>
    <x v="2"/>
    <n v="2"/>
    <s v="California"/>
    <s v="Ventura County"/>
    <n v="2"/>
    <x v="5"/>
    <x v="2"/>
  </r>
  <r>
    <s v="TX500902"/>
    <s v="Shorts"/>
    <n v="4"/>
    <n v="29.1"/>
    <n v="116.4"/>
    <d v="2025-02-06T00:00:00"/>
    <d v="2025-02-07T00:00:00"/>
    <s v="F"/>
    <x v="3"/>
    <n v="4"/>
    <s v="California"/>
    <s v="Yolo County"/>
    <n v="1"/>
    <x v="5"/>
    <x v="2"/>
  </r>
  <r>
    <s v="TX500903"/>
    <s v="Jeans"/>
    <n v="9"/>
    <n v="53.6"/>
    <n v="482.40000000000003"/>
    <d v="2025-02-06T00:00:00"/>
    <d v="2025-02-07T00:00:00"/>
    <s v="M"/>
    <x v="2"/>
    <n v="3"/>
    <s v="California"/>
    <s v="Los Angeles County"/>
    <n v="1"/>
    <x v="5"/>
    <x v="1"/>
  </r>
  <r>
    <s v="TX500904"/>
    <s v="Jeans"/>
    <n v="5"/>
    <n v="72.3"/>
    <n v="361.5"/>
    <d v="2025-02-06T00:00:00"/>
    <d v="2025-02-08T00:00:00"/>
    <s v="F"/>
    <x v="1"/>
    <n v="4"/>
    <s v="California"/>
    <s v="Los Angeles County"/>
    <n v="2"/>
    <x v="5"/>
    <x v="2"/>
  </r>
  <r>
    <s v="TX500905"/>
    <s v="Tote Bags"/>
    <n v="4"/>
    <n v="22.6"/>
    <n v="90.4"/>
    <d v="2025-02-06T00:00:00"/>
    <d v="2025-02-09T00:00:00"/>
    <s v="O"/>
    <x v="0"/>
    <n v="3"/>
    <s v="California"/>
    <s v="Los Angeles County"/>
    <n v="3"/>
    <x v="5"/>
    <x v="3"/>
  </r>
  <r>
    <s v="TX500906"/>
    <s v="Sundresses"/>
    <n v="2"/>
    <n v="44.2"/>
    <n v="88.4"/>
    <d v="2025-02-06T00:00:00"/>
    <d v="2025-02-10T00:00:00"/>
    <s v=""/>
    <x v="2"/>
    <n v="2"/>
    <s v="California"/>
    <s v="Los Angeles County"/>
    <n v="4"/>
    <x v="5"/>
    <x v="0"/>
  </r>
  <r>
    <s v="TX500907"/>
    <s v="Sundresses"/>
    <n v="3"/>
    <n v="94.1"/>
    <n v="282.29999999999995"/>
    <d v="2025-02-06T00:00:00"/>
    <d v="2025-02-19T00:00:00"/>
    <s v="F"/>
    <x v="2"/>
    <n v="5"/>
    <s v="California"/>
    <s v="Los Angeles County"/>
    <n v="13"/>
    <x v="5"/>
    <x v="2"/>
  </r>
  <r>
    <s v="TX500908"/>
    <s v="T-Shirts"/>
    <n v="3"/>
    <n v="17.899999999999999"/>
    <n v="53.699999999999996"/>
    <d v="2025-02-06T00:00:00"/>
    <d v="2025-02-08T00:00:00"/>
    <s v="M"/>
    <x v="1"/>
    <n v="3"/>
    <s v="California"/>
    <s v="Los Angeles County"/>
    <n v="2"/>
    <x v="5"/>
    <x v="1"/>
  </r>
  <r>
    <s v="TX500909"/>
    <s v="Casual Dresses"/>
    <n v="7"/>
    <n v="52.7"/>
    <n v="368.90000000000003"/>
    <d v="2025-02-06T00:00:00"/>
    <d v="2025-02-07T00:00:00"/>
    <s v="M"/>
    <x v="1"/>
    <n v="3"/>
    <s v="California"/>
    <s v="Los Angeles County"/>
    <n v="1"/>
    <x v="5"/>
    <x v="1"/>
  </r>
  <r>
    <s v="TX500910"/>
    <s v="T-Shirts"/>
    <n v="1"/>
    <n v="36.799999999999997"/>
    <n v="36.799999999999997"/>
    <d v="2025-02-06T00:00:00"/>
    <d v="2025-02-06T00:00:00"/>
    <s v=""/>
    <x v="0"/>
    <n v="5"/>
    <s v="California"/>
    <s v="Los Angeles County"/>
    <n v="0"/>
    <x v="5"/>
    <x v="0"/>
  </r>
  <r>
    <s v="TX500911"/>
    <s v="Graphic Tees"/>
    <n v="1"/>
    <n v="52.5"/>
    <n v="52.5"/>
    <d v="2025-02-06T00:00:00"/>
    <d v="2025-02-07T00:00:00"/>
    <s v="M"/>
    <x v="0"/>
    <n v="3"/>
    <s v="California"/>
    <s v="Sacramento County"/>
    <n v="1"/>
    <x v="5"/>
    <x v="1"/>
  </r>
  <r>
    <s v="TX500912"/>
    <s v="Sneakers"/>
    <n v="2"/>
    <n v="133.80000000000001"/>
    <n v="267.60000000000002"/>
    <d v="2025-02-06T00:00:00"/>
    <d v="2025-02-08T00:00:00"/>
    <s v="M"/>
    <x v="0"/>
    <n v="3"/>
    <s v="California"/>
    <s v="San Bernardino County"/>
    <n v="2"/>
    <x v="5"/>
    <x v="1"/>
  </r>
  <r>
    <s v="TX500913"/>
    <s v="Jeans"/>
    <n v="2"/>
    <n v="53.2"/>
    <n v="106.4"/>
    <d v="2025-02-06T00:00:00"/>
    <d v="2025-02-08T00:00:00"/>
    <s v="M"/>
    <x v="0"/>
    <n v="4"/>
    <s v="California"/>
    <s v="San Francisco"/>
    <n v="2"/>
    <x v="5"/>
    <x v="1"/>
  </r>
  <r>
    <s v="TX500914"/>
    <s v="Baseball Caps"/>
    <n v="6"/>
    <n v="18.7"/>
    <n v="112.19999999999999"/>
    <d v="2025-02-06T00:00:00"/>
    <d v="2025-02-08T00:00:00"/>
    <s v=""/>
    <x v="0"/>
    <n v="3"/>
    <s v="California"/>
    <s v="Santa Barbara County"/>
    <n v="2"/>
    <x v="5"/>
    <x v="0"/>
  </r>
  <r>
    <s v="TX500915"/>
    <s v="Jeans"/>
    <n v="4"/>
    <n v="108.8"/>
    <n v="435.2"/>
    <d v="2025-02-06T00:00:00"/>
    <d v="2025-02-07T00:00:00"/>
    <s v="F"/>
    <x v="3"/>
    <n v="5"/>
    <s v="California"/>
    <s v="Santa Clara County"/>
    <n v="1"/>
    <x v="5"/>
    <x v="2"/>
  </r>
  <r>
    <s v="TX500916"/>
    <s v="Crop Tops"/>
    <n v="5"/>
    <n v="38.5"/>
    <n v="192.5"/>
    <d v="2025-02-06T00:00:00"/>
    <d v="2025-02-10T00:00:00"/>
    <s v="F"/>
    <x v="0"/>
    <n v="3"/>
    <s v="California"/>
    <s v="Calaveras County"/>
    <n v="4"/>
    <x v="5"/>
    <x v="2"/>
  </r>
  <r>
    <s v="TX500917"/>
    <s v="Bikinis"/>
    <n v="10"/>
    <n v="46.5"/>
    <n v="465"/>
    <d v="2025-02-06T00:00:00"/>
    <d v="2025-02-08T00:00:00"/>
    <s v="M"/>
    <x v="2"/>
    <n v="3"/>
    <s v="California"/>
    <s v="Fresno County"/>
    <n v="2"/>
    <x v="5"/>
    <x v="1"/>
  </r>
  <r>
    <s v="TX500918"/>
    <s v="Sneakers"/>
    <n v="3"/>
    <n v="75.8"/>
    <n v="227.39999999999998"/>
    <d v="2025-02-06T00:00:00"/>
    <d v="2025-02-10T00:00:00"/>
    <s v="F"/>
    <x v="1"/>
    <n v="2"/>
    <s v="California"/>
    <s v="Humboldt County"/>
    <n v="4"/>
    <x v="5"/>
    <x v="2"/>
  </r>
  <r>
    <s v="TX500919"/>
    <s v="T-Shirts"/>
    <n v="1"/>
    <n v="20.9"/>
    <n v="20.9"/>
    <d v="2025-02-06T00:00:00"/>
    <d v="2025-02-10T00:00:00"/>
    <s v="M"/>
    <x v="0"/>
    <n v="4"/>
    <s v="California"/>
    <s v="Kern County"/>
    <n v="4"/>
    <x v="5"/>
    <x v="1"/>
  </r>
  <r>
    <s v="TX500920"/>
    <s v="Leggings"/>
    <n v="3"/>
    <n v="47.4"/>
    <n v="142.19999999999999"/>
    <d v="2025-02-06T00:00:00"/>
    <d v="2025-02-09T00:00:00"/>
    <s v="F"/>
    <x v="0"/>
    <n v="4"/>
    <s v="California"/>
    <s v="Los Angeles County"/>
    <n v="3"/>
    <x v="5"/>
    <x v="2"/>
  </r>
  <r>
    <s v="TX500921"/>
    <s v="Sundresses"/>
    <n v="2"/>
    <n v="53.8"/>
    <n v="107.6"/>
    <d v="2025-02-06T00:00:00"/>
    <d v="2025-02-07T00:00:00"/>
    <s v=""/>
    <x v="0"/>
    <n v="3"/>
    <s v="California"/>
    <s v="Los Angeles County"/>
    <n v="1"/>
    <x v="5"/>
    <x v="0"/>
  </r>
  <r>
    <s v="TX500922"/>
    <s v="T-Shirts"/>
    <n v="3"/>
    <n v="24.6"/>
    <n v="73.800000000000011"/>
    <d v="2025-02-06T00:00:00"/>
    <d v="2025-02-08T00:00:00"/>
    <s v="O"/>
    <x v="1"/>
    <n v="5"/>
    <s v="California"/>
    <s v="Los Angeles County"/>
    <n v="2"/>
    <x v="5"/>
    <x v="3"/>
  </r>
  <r>
    <s v="TX500923"/>
    <s v="Sundresses"/>
    <n v="3"/>
    <n v="70.900000000000006"/>
    <n v="212.70000000000002"/>
    <d v="2025-02-06T00:00:00"/>
    <d v="2025-02-11T00:00:00"/>
    <s v="F"/>
    <x v="2"/>
    <n v="5"/>
    <s v="California"/>
    <s v="Los Angeles County"/>
    <n v="5"/>
    <x v="5"/>
    <x v="2"/>
  </r>
  <r>
    <s v="TX500924"/>
    <s v="Pajama Sets"/>
    <n v="3"/>
    <n v="31.9"/>
    <n v="95.699999999999989"/>
    <d v="2025-02-06T00:00:00"/>
    <d v="2025-02-08T00:00:00"/>
    <s v="F"/>
    <x v="2"/>
    <n v="5"/>
    <s v="California"/>
    <s v="Los Angeles County"/>
    <n v="2"/>
    <x v="5"/>
    <x v="2"/>
  </r>
  <r>
    <s v="TX500925"/>
    <s v="Shorts"/>
    <n v="2"/>
    <n v="20.399999999999999"/>
    <n v="40.799999999999997"/>
    <d v="2025-02-06T00:00:00"/>
    <d v="2025-02-10T00:00:00"/>
    <s v="M"/>
    <x v="3"/>
    <n v="5"/>
    <s v="California"/>
    <s v="Los Angeles County"/>
    <n v="4"/>
    <x v="5"/>
    <x v="1"/>
  </r>
  <r>
    <s v="TX500926"/>
    <s v="T-Shirts"/>
    <n v="2"/>
    <n v="18.600000000000001"/>
    <n v="37.200000000000003"/>
    <d v="2025-02-06T00:00:00"/>
    <d v="2025-02-08T00:00:00"/>
    <s v=""/>
    <x v="0"/>
    <n v="3"/>
    <s v="California"/>
    <s v="Los Angeles County"/>
    <n v="2"/>
    <x v="5"/>
    <x v="0"/>
  </r>
  <r>
    <s v="TX500927"/>
    <s v="Graphic Tees"/>
    <n v="5"/>
    <n v="48.3"/>
    <n v="241.5"/>
    <d v="2025-02-06T00:00:00"/>
    <d v="2025-02-08T00:00:00"/>
    <s v="F"/>
    <x v="1"/>
    <n v="4"/>
    <s v="California"/>
    <s v="Los Angeles County"/>
    <n v="2"/>
    <x v="5"/>
    <x v="2"/>
  </r>
  <r>
    <s v="TX500928"/>
    <s v="Shorts"/>
    <n v="4"/>
    <n v="27.7"/>
    <n v="110.8"/>
    <d v="2025-02-06T00:00:00"/>
    <d v="2025-02-08T00:00:00"/>
    <s v="F"/>
    <x v="0"/>
    <n v="4"/>
    <s v="California"/>
    <s v="Los Angeles County"/>
    <n v="2"/>
    <x v="5"/>
    <x v="2"/>
  </r>
  <r>
    <s v="TX500929"/>
    <s v="Graphic Tees"/>
    <n v="5"/>
    <n v="22.5"/>
    <n v="112.5"/>
    <d v="2025-02-06T00:00:00"/>
    <d v="2025-02-08T00:00:00"/>
    <s v="F"/>
    <x v="4"/>
    <n v="5"/>
    <s v="California"/>
    <s v="Los Angeles County"/>
    <n v="2"/>
    <x v="5"/>
    <x v="2"/>
  </r>
  <r>
    <s v="TX500930"/>
    <s v="Pajama Sets"/>
    <n v="5"/>
    <n v="21.6"/>
    <n v="108"/>
    <d v="2025-02-06T00:00:00"/>
    <d v="2025-02-14T00:00:00"/>
    <s v="F"/>
    <x v="0"/>
    <n v="3"/>
    <s v="California"/>
    <s v="Los Angeles County"/>
    <n v="8"/>
    <x v="5"/>
    <x v="2"/>
  </r>
  <r>
    <s v="TX500931"/>
    <s v="Bikinis"/>
    <n v="7"/>
    <n v="26.3"/>
    <n v="184.1"/>
    <d v="2025-02-06T00:00:00"/>
    <d v="2025-02-06T00:00:00"/>
    <s v="F"/>
    <x v="2"/>
    <n v="3"/>
    <s v="California"/>
    <s v="Los Angeles County"/>
    <n v="0"/>
    <x v="5"/>
    <x v="2"/>
  </r>
  <r>
    <s v="TX500932"/>
    <s v="Jeans"/>
    <n v="7"/>
    <n v="103"/>
    <n v="721"/>
    <d v="2025-02-07T00:00:00"/>
    <d v="2025-02-08T00:00:00"/>
    <s v="M"/>
    <x v="0"/>
    <n v="5"/>
    <s v="California"/>
    <s v="Sacramento County"/>
    <n v="1"/>
    <x v="5"/>
    <x v="1"/>
  </r>
  <r>
    <s v="TX500933"/>
    <s v="Sandals"/>
    <n v="15"/>
    <n v="46.6"/>
    <n v="699"/>
    <d v="2025-02-07T00:00:00"/>
    <d v="2025-02-08T00:00:00"/>
    <s v="F"/>
    <x v="0"/>
    <n v="3"/>
    <s v="California"/>
    <s v="Sacramento County"/>
    <n v="1"/>
    <x v="5"/>
    <x v="2"/>
  </r>
  <r>
    <s v="TX500934"/>
    <s v="Shorts"/>
    <n v="5"/>
    <n v="32.200000000000003"/>
    <n v="161"/>
    <d v="2025-02-07T00:00:00"/>
    <d v="2025-02-10T00:00:00"/>
    <s v="F"/>
    <x v="0"/>
    <n v="5"/>
    <s v="California"/>
    <s v="San Benito County"/>
    <n v="3"/>
    <x v="5"/>
    <x v="2"/>
  </r>
  <r>
    <s v="TX500935"/>
    <s v="T-Shirts"/>
    <n v="3"/>
    <n v="22"/>
    <n v="66"/>
    <d v="2025-02-07T00:00:00"/>
    <d v="2025-02-14T00:00:00"/>
    <s v="M"/>
    <x v="1"/>
    <n v="4"/>
    <s v="California"/>
    <s v="San Bernardino County"/>
    <n v="7"/>
    <x v="5"/>
    <x v="1"/>
  </r>
  <r>
    <s v="TX500936"/>
    <s v="Shorts"/>
    <n v="2"/>
    <n v="25.2"/>
    <n v="50.4"/>
    <d v="2025-02-07T00:00:00"/>
    <d v="2025-02-11T00:00:00"/>
    <s v="F"/>
    <x v="0"/>
    <n v="4"/>
    <s v="California"/>
    <s v="San Bernardino County"/>
    <n v="4"/>
    <x v="5"/>
    <x v="2"/>
  </r>
  <r>
    <s v="TX500937"/>
    <s v="Tank Tops"/>
    <n v="6"/>
    <n v="68.7"/>
    <n v="412.20000000000005"/>
    <d v="2025-02-07T00:00:00"/>
    <d v="2025-02-09T00:00:00"/>
    <s v="M"/>
    <x v="4"/>
    <n v="4"/>
    <s v="California"/>
    <s v="San Diego County"/>
    <n v="2"/>
    <x v="5"/>
    <x v="1"/>
  </r>
  <r>
    <s v="TX500938"/>
    <s v="Shorts"/>
    <n v="3"/>
    <n v="22.2"/>
    <n v="66.599999999999994"/>
    <d v="2025-02-07T00:00:00"/>
    <d v="2025-02-10T00:00:00"/>
    <s v="M"/>
    <x v="2"/>
    <n v="5"/>
    <s v="California"/>
    <s v="San Diego County"/>
    <n v="3"/>
    <x v="5"/>
    <x v="1"/>
  </r>
  <r>
    <s v="TX500939"/>
    <s v="Tank Tops"/>
    <n v="7"/>
    <n v="36"/>
    <n v="252"/>
    <d v="2025-02-07T00:00:00"/>
    <d v="2025-02-08T00:00:00"/>
    <s v="F"/>
    <x v="1"/>
    <n v="4"/>
    <s v="California"/>
    <s v="San Diego County"/>
    <n v="1"/>
    <x v="5"/>
    <x v="2"/>
  </r>
  <r>
    <s v="TX500940"/>
    <s v="Leggings"/>
    <n v="1"/>
    <n v="50.6"/>
    <n v="50.6"/>
    <d v="2025-02-07T00:00:00"/>
    <d v="2025-02-09T00:00:00"/>
    <s v="F"/>
    <x v="0"/>
    <n v="3"/>
    <s v="California"/>
    <s v="San Diego County"/>
    <n v="2"/>
    <x v="5"/>
    <x v="2"/>
  </r>
  <r>
    <s v="TX500941"/>
    <s v="Crop Tops"/>
    <n v="2"/>
    <n v="44.9"/>
    <n v="89.8"/>
    <d v="2025-02-07T00:00:00"/>
    <d v="2025-02-09T00:00:00"/>
    <s v="M"/>
    <x v="0"/>
    <n v="3"/>
    <s v="California"/>
    <s v="San Diego County"/>
    <n v="2"/>
    <x v="5"/>
    <x v="1"/>
  </r>
  <r>
    <s v="TX500942"/>
    <s v="Jeans"/>
    <n v="3"/>
    <n v="71.599999999999994"/>
    <n v="214.79999999999998"/>
    <d v="2025-02-07T00:00:00"/>
    <d v="2025-02-11T00:00:00"/>
    <s v="M"/>
    <x v="1"/>
    <n v="5"/>
    <s v="California"/>
    <s v="Santa Barbara County"/>
    <n v="4"/>
    <x v="5"/>
    <x v="1"/>
  </r>
  <r>
    <s v="TX500943"/>
    <s v="Jeans"/>
    <n v="6"/>
    <n v="51.5"/>
    <n v="309"/>
    <d v="2025-02-07T00:00:00"/>
    <d v="2025-02-09T00:00:00"/>
    <s v=""/>
    <x v="4"/>
    <n v="4"/>
    <s v="California"/>
    <s v="Santa Clara County"/>
    <n v="2"/>
    <x v="5"/>
    <x v="0"/>
  </r>
  <r>
    <s v="TX500944"/>
    <s v="Hoodies &amp; Sweatshirts"/>
    <n v="5"/>
    <n v="55.5"/>
    <n v="277.5"/>
    <d v="2025-02-07T00:00:00"/>
    <d v="2025-02-08T00:00:00"/>
    <s v="M"/>
    <x v="1"/>
    <n v="3"/>
    <s v="California"/>
    <s v="Santa Clara County"/>
    <n v="1"/>
    <x v="5"/>
    <x v="1"/>
  </r>
  <r>
    <s v="TX500945"/>
    <s v="Jeans"/>
    <n v="1"/>
    <n v="51.7"/>
    <n v="51.7"/>
    <d v="2025-02-07T00:00:00"/>
    <d v="2025-02-21T00:00:00"/>
    <s v="M"/>
    <x v="2"/>
    <n v="4"/>
    <s v="California"/>
    <s v="Stanislaus County"/>
    <n v="14"/>
    <x v="5"/>
    <x v="1"/>
  </r>
  <r>
    <s v="TX500946"/>
    <s v="T-Shirts"/>
    <n v="21"/>
    <n v="45.5"/>
    <n v="955.5"/>
    <d v="2025-02-07T00:00:00"/>
    <d v="2025-02-08T00:00:00"/>
    <s v="F"/>
    <x v="3"/>
    <n v="5"/>
    <s v="California"/>
    <s v="Stanislaus County"/>
    <n v="1"/>
    <x v="5"/>
    <x v="2"/>
  </r>
  <r>
    <s v="TX500947"/>
    <s v="T-Shirts"/>
    <n v="2"/>
    <n v="33.799999999999997"/>
    <n v="67.599999999999994"/>
    <d v="2025-02-07T00:00:00"/>
    <d v="2025-02-13T00:00:00"/>
    <s v="F"/>
    <x v="3"/>
    <n v="4"/>
    <s v="California"/>
    <s v="Tulare County"/>
    <n v="6"/>
    <x v="5"/>
    <x v="2"/>
  </r>
  <r>
    <s v="TX500948"/>
    <s v="Workout Tops"/>
    <n v="3"/>
    <n v="76.5"/>
    <n v="229.5"/>
    <d v="2025-02-07T00:00:00"/>
    <d v="2025-02-08T00:00:00"/>
    <s v="F"/>
    <x v="0"/>
    <n v="3"/>
    <s v="California"/>
    <s v="Alameda County"/>
    <n v="1"/>
    <x v="5"/>
    <x v="2"/>
  </r>
  <r>
    <s v="TX500949"/>
    <s v="Sundresses"/>
    <n v="3"/>
    <n v="42.6"/>
    <n v="127.80000000000001"/>
    <d v="2025-02-07T00:00:00"/>
    <d v="2025-02-13T00:00:00"/>
    <s v="F"/>
    <x v="2"/>
    <n v="5"/>
    <s v="California"/>
    <s v="Fresno County"/>
    <n v="6"/>
    <x v="5"/>
    <x v="2"/>
  </r>
  <r>
    <s v="TX500950"/>
    <s v="Jeans"/>
    <n v="3"/>
    <n v="44.1"/>
    <n v="132.30000000000001"/>
    <d v="2025-02-07T00:00:00"/>
    <d v="2025-02-09T00:00:00"/>
    <s v="F"/>
    <x v="1"/>
    <n v="3"/>
    <s v="California"/>
    <s v="Kern County"/>
    <n v="2"/>
    <x v="5"/>
    <x v="2"/>
  </r>
  <r>
    <s v="TX500951"/>
    <s v="T-Shirts"/>
    <n v="2"/>
    <n v="40.9"/>
    <n v="81.8"/>
    <d v="2025-02-07T00:00:00"/>
    <d v="2025-02-11T00:00:00"/>
    <s v="M"/>
    <x v="0"/>
    <n v="4"/>
    <s v="California"/>
    <s v="Los Angeles County"/>
    <n v="4"/>
    <x v="5"/>
    <x v="1"/>
  </r>
  <r>
    <s v="TX500952"/>
    <s v="Sundresses"/>
    <n v="3"/>
    <n v="49.1"/>
    <n v="147.30000000000001"/>
    <d v="2025-02-07T00:00:00"/>
    <d v="2025-02-11T00:00:00"/>
    <s v="F"/>
    <x v="3"/>
    <n v="3"/>
    <s v="California"/>
    <s v="Los Angeles County"/>
    <n v="4"/>
    <x v="5"/>
    <x v="2"/>
  </r>
  <r>
    <s v="TX500953"/>
    <s v="Leggings"/>
    <n v="1"/>
    <n v="85.3"/>
    <n v="85.3"/>
    <d v="2025-02-07T00:00:00"/>
    <d v="2025-02-11T00:00:00"/>
    <s v="M"/>
    <x v="1"/>
    <n v="3"/>
    <s v="California"/>
    <s v="Los Angeles County"/>
    <n v="4"/>
    <x v="5"/>
    <x v="1"/>
  </r>
  <r>
    <s v="TX500954"/>
    <s v="Jeans"/>
    <n v="4"/>
    <n v="43.1"/>
    <n v="172.4"/>
    <d v="2025-02-08T00:00:00"/>
    <d v="2025-02-11T00:00:00"/>
    <s v="M"/>
    <x v="0"/>
    <n v="4"/>
    <s v="California"/>
    <s v="Los Angeles County"/>
    <n v="3"/>
    <x v="5"/>
    <x v="1"/>
  </r>
  <r>
    <s v="TX500955"/>
    <s v="Graphic Tees"/>
    <n v="4"/>
    <n v="46.2"/>
    <n v="184.8"/>
    <d v="2025-02-08T00:00:00"/>
    <d v="2025-02-09T00:00:00"/>
    <s v="M"/>
    <x v="2"/>
    <n v="4"/>
    <s v="California"/>
    <s v="Los Angeles County"/>
    <n v="1"/>
    <x v="5"/>
    <x v="1"/>
  </r>
  <r>
    <s v="TX500956"/>
    <s v="Tank Tops"/>
    <n v="1"/>
    <n v="74.400000000000006"/>
    <n v="74.400000000000006"/>
    <d v="2025-02-08T00:00:00"/>
    <d v="2025-02-10T00:00:00"/>
    <s v="M"/>
    <x v="4"/>
    <n v="5"/>
    <s v="California"/>
    <s v="Los Angeles County"/>
    <n v="2"/>
    <x v="5"/>
    <x v="1"/>
  </r>
  <r>
    <s v="TX500957"/>
    <s v="Pajama Sets"/>
    <n v="2"/>
    <n v="51.2"/>
    <n v="102.4"/>
    <d v="2025-02-08T00:00:00"/>
    <d v="2025-02-09T00:00:00"/>
    <s v="M"/>
    <x v="1"/>
    <n v="4"/>
    <s v="California"/>
    <s v="Los Angeles County"/>
    <n v="1"/>
    <x v="5"/>
    <x v="1"/>
  </r>
  <r>
    <s v="TX500958"/>
    <s v="Baseball Caps"/>
    <n v="4"/>
    <n v="11.8"/>
    <n v="47.2"/>
    <d v="2025-02-08T00:00:00"/>
    <d v="2025-02-08T00:00:00"/>
    <s v="M"/>
    <x v="2"/>
    <n v="4"/>
    <s v="California"/>
    <s v="Los Angeles County"/>
    <n v="0"/>
    <x v="5"/>
    <x v="1"/>
  </r>
  <r>
    <s v="TX500959"/>
    <s v="Bikinis"/>
    <n v="27"/>
    <n v="40.799999999999997"/>
    <n v="1101.5999999999999"/>
    <d v="2025-02-08T00:00:00"/>
    <d v="2025-02-09T00:00:00"/>
    <s v="F"/>
    <x v="3"/>
    <n v="5"/>
    <s v="California"/>
    <s v="Los Angeles County"/>
    <n v="1"/>
    <x v="5"/>
    <x v="2"/>
  </r>
  <r>
    <s v="TX500960"/>
    <s v="T-Shirts"/>
    <n v="1"/>
    <n v="24.7"/>
    <n v="24.7"/>
    <d v="2025-02-08T00:00:00"/>
    <d v="2025-02-10T00:00:00"/>
    <s v="F"/>
    <x v="2"/>
    <n v="3"/>
    <s v="California"/>
    <s v="Los Angeles County"/>
    <n v="2"/>
    <x v="5"/>
    <x v="2"/>
  </r>
  <r>
    <s v="TX500961"/>
    <s v="T-Shirts"/>
    <n v="7"/>
    <n v="22.1"/>
    <n v="154.70000000000002"/>
    <d v="2025-02-08T00:00:00"/>
    <d v="2025-02-08T00:00:00"/>
    <s v="F"/>
    <x v="2"/>
    <n v="2"/>
    <s v="California"/>
    <s v="Los Angeles County"/>
    <n v="0"/>
    <x v="5"/>
    <x v="2"/>
  </r>
  <r>
    <s v="TX500962"/>
    <s v="T-Shirts"/>
    <n v="1"/>
    <n v="18.100000000000001"/>
    <n v="18.100000000000001"/>
    <d v="2025-02-08T00:00:00"/>
    <d v="2025-02-12T00:00:00"/>
    <s v="M"/>
    <x v="3"/>
    <n v="5"/>
    <s v="California"/>
    <s v="Los Angeles County"/>
    <n v="4"/>
    <x v="5"/>
    <x v="1"/>
  </r>
  <r>
    <s v="TX500963"/>
    <s v="Pajama Sets"/>
    <n v="2"/>
    <n v="58.8"/>
    <n v="117.6"/>
    <d v="2025-02-08T00:00:00"/>
    <d v="2025-02-11T00:00:00"/>
    <s v="F"/>
    <x v="0"/>
    <n v="4"/>
    <s v="California"/>
    <s v="Orange County"/>
    <n v="3"/>
    <x v="5"/>
    <x v="2"/>
  </r>
  <r>
    <s v="TX500964"/>
    <s v="Leggings"/>
    <n v="2"/>
    <n v="30.8"/>
    <n v="61.6"/>
    <d v="2025-02-08T00:00:00"/>
    <d v="2025-02-09T00:00:00"/>
    <s v="F"/>
    <x v="0"/>
    <n v="4"/>
    <s v="California"/>
    <s v="Sacramento County"/>
    <n v="1"/>
    <x v="5"/>
    <x v="2"/>
  </r>
  <r>
    <s v="TX500965"/>
    <s v="Shorts"/>
    <n v="2"/>
    <n v="12"/>
    <n v="24"/>
    <d v="2025-02-08T00:00:00"/>
    <d v="2025-02-12T00:00:00"/>
    <s v="F"/>
    <x v="0"/>
    <n v="4"/>
    <s v="California"/>
    <s v="Sacramento County"/>
    <n v="4"/>
    <x v="5"/>
    <x v="2"/>
  </r>
  <r>
    <s v="TX500966"/>
    <s v="Shorts"/>
    <n v="4"/>
    <n v="13.6"/>
    <n v="54.4"/>
    <d v="2025-02-08T00:00:00"/>
    <d v="2025-02-11T00:00:00"/>
    <s v="M"/>
    <x v="2"/>
    <n v="4"/>
    <s v="California"/>
    <s v="Sacramento County"/>
    <n v="3"/>
    <x v="5"/>
    <x v="1"/>
  </r>
  <r>
    <s v="TX500967"/>
    <s v="Shorts"/>
    <n v="1"/>
    <n v="17.899999999999999"/>
    <n v="17.899999999999999"/>
    <d v="2025-02-08T00:00:00"/>
    <d v="2025-02-09T00:00:00"/>
    <s v="M"/>
    <x v="3"/>
    <n v="4"/>
    <s v="California"/>
    <s v="Sacramento County"/>
    <n v="1"/>
    <x v="5"/>
    <x v="1"/>
  </r>
  <r>
    <s v="TX500968"/>
    <s v="Sundresses"/>
    <n v="2"/>
    <n v="38.6"/>
    <n v="77.2"/>
    <d v="2025-02-08T00:00:00"/>
    <d v="2025-02-12T00:00:00"/>
    <s v="F"/>
    <x v="4"/>
    <n v="4"/>
    <s v="California"/>
    <s v="San Bernardino County"/>
    <n v="4"/>
    <x v="5"/>
    <x v="2"/>
  </r>
  <r>
    <s v="TX500969"/>
    <s v="Sandals"/>
    <n v="5"/>
    <n v="32.700000000000003"/>
    <n v="163.5"/>
    <d v="2025-02-08T00:00:00"/>
    <d v="2025-02-09T00:00:00"/>
    <s v="M"/>
    <x v="2"/>
    <n v="5"/>
    <s v="California"/>
    <s v="San Diego County"/>
    <n v="1"/>
    <x v="5"/>
    <x v="1"/>
  </r>
  <r>
    <s v="TX500970"/>
    <s v="Workout Tops"/>
    <n v="2"/>
    <n v="111.4"/>
    <n v="222.8"/>
    <d v="2025-02-08T00:00:00"/>
    <d v="2025-02-09T00:00:00"/>
    <s v="F"/>
    <x v="1"/>
    <n v="4"/>
    <s v="California"/>
    <s v="San Diego County"/>
    <n v="1"/>
    <x v="5"/>
    <x v="2"/>
  </r>
  <r>
    <s v="TX500971"/>
    <s v="Sneakers"/>
    <n v="6"/>
    <n v="80.3"/>
    <n v="481.79999999999995"/>
    <d v="2025-02-08T00:00:00"/>
    <d v="2025-02-10T00:00:00"/>
    <s v="F"/>
    <x v="1"/>
    <n v="4"/>
    <s v="California"/>
    <s v="San Diego County"/>
    <n v="2"/>
    <x v="5"/>
    <x v="2"/>
  </r>
  <r>
    <s v="TX500972"/>
    <s v="Jeans"/>
    <n v="2"/>
    <n v="58.9"/>
    <n v="117.8"/>
    <d v="2025-02-08T00:00:00"/>
    <d v="2025-02-09T00:00:00"/>
    <s v="M"/>
    <x v="1"/>
    <n v="4"/>
    <s v="California"/>
    <s v="San Diego County"/>
    <n v="1"/>
    <x v="5"/>
    <x v="1"/>
  </r>
  <r>
    <s v="TX500973"/>
    <s v="Jeans"/>
    <n v="3"/>
    <n v="51.9"/>
    <n v="155.69999999999999"/>
    <d v="2025-02-08T00:00:00"/>
    <d v="2025-02-10T00:00:00"/>
    <s v="F"/>
    <x v="1"/>
    <n v="2"/>
    <s v="California"/>
    <s v="San Diego County"/>
    <n v="2"/>
    <x v="5"/>
    <x v="2"/>
  </r>
  <r>
    <s v="TX500974"/>
    <s v="Sneakers"/>
    <n v="3"/>
    <n v="50.3"/>
    <n v="150.89999999999998"/>
    <d v="2025-02-08T00:00:00"/>
    <d v="2025-02-09T00:00:00"/>
    <s v="M"/>
    <x v="2"/>
    <n v="4"/>
    <s v="California"/>
    <s v="San Francisco"/>
    <n v="1"/>
    <x v="5"/>
    <x v="1"/>
  </r>
  <r>
    <s v="TX500975"/>
    <s v="Maxi Dresses"/>
    <n v="6"/>
    <n v="45"/>
    <n v="270"/>
    <d v="2025-02-08T00:00:00"/>
    <d v="2025-02-14T00:00:00"/>
    <s v="F"/>
    <x v="3"/>
    <n v="4"/>
    <s v="California"/>
    <s v="San Mateo County"/>
    <n v="6"/>
    <x v="5"/>
    <x v="2"/>
  </r>
  <r>
    <s v="TX500976"/>
    <s v="Bikinis"/>
    <n v="6"/>
    <n v="44.7"/>
    <n v="268.20000000000005"/>
    <d v="2025-02-08T00:00:00"/>
    <d v="2025-02-10T00:00:00"/>
    <s v="F"/>
    <x v="2"/>
    <n v="4"/>
    <s v="California"/>
    <s v="Santa Clara County"/>
    <n v="2"/>
    <x v="5"/>
    <x v="2"/>
  </r>
  <r>
    <s v="TX500977"/>
    <s v="Leggings"/>
    <n v="15"/>
    <n v="33"/>
    <n v="495"/>
    <d v="2025-02-08T00:00:00"/>
    <d v="2025-02-09T00:00:00"/>
    <s v="F"/>
    <x v="2"/>
    <n v="4"/>
    <s v="California"/>
    <s v="Santa Clara County"/>
    <n v="1"/>
    <x v="5"/>
    <x v="2"/>
  </r>
  <r>
    <s v="TX500978"/>
    <s v="Tank Tops"/>
    <n v="5"/>
    <n v="44.9"/>
    <n v="224.5"/>
    <d v="2025-02-08T00:00:00"/>
    <d v="2025-02-11T00:00:00"/>
    <s v="F"/>
    <x v="2"/>
    <n v="5"/>
    <s v="California"/>
    <s v="Sonoma County"/>
    <n v="3"/>
    <x v="5"/>
    <x v="2"/>
  </r>
  <r>
    <s v="TX500979"/>
    <s v="Bikinis"/>
    <n v="2"/>
    <n v="34.6"/>
    <n v="69.2"/>
    <d v="2025-02-08T00:00:00"/>
    <d v="2025-02-12T00:00:00"/>
    <s v="F"/>
    <x v="0"/>
    <n v="3"/>
    <s v="California"/>
    <s v="Stanislaus County"/>
    <n v="4"/>
    <x v="5"/>
    <x v="2"/>
  </r>
  <r>
    <s v="TX500980"/>
    <s v="Hoodies &amp; Sweatshirts"/>
    <n v="7"/>
    <n v="47.1"/>
    <n v="329.7"/>
    <d v="2025-02-08T00:00:00"/>
    <d v="2025-02-13T00:00:00"/>
    <s v="F"/>
    <x v="0"/>
    <n v="4"/>
    <s v="California"/>
    <s v="Ventura County"/>
    <n v="5"/>
    <x v="5"/>
    <x v="2"/>
  </r>
  <r>
    <s v="TX500981"/>
    <s v="Graphic Tees"/>
    <n v="5"/>
    <n v="26.1"/>
    <n v="130.5"/>
    <d v="2025-02-08T00:00:00"/>
    <d v="2025-02-13T00:00:00"/>
    <s v="M"/>
    <x v="0"/>
    <n v="5"/>
    <s v="California"/>
    <s v="Alameda County"/>
    <n v="5"/>
    <x v="5"/>
    <x v="1"/>
  </r>
  <r>
    <s v="TX500982"/>
    <s v="Casual Dresses"/>
    <n v="5"/>
    <n v="66.8"/>
    <n v="334"/>
    <d v="2025-02-08T00:00:00"/>
    <d v="2025-02-11T00:00:00"/>
    <s v="F"/>
    <x v="0"/>
    <n v="4"/>
    <s v="California"/>
    <s v="Alameda County"/>
    <n v="3"/>
    <x v="5"/>
    <x v="2"/>
  </r>
  <r>
    <s v="TX500983"/>
    <s v="Sneakers"/>
    <n v="2"/>
    <n v="167.9"/>
    <n v="335.8"/>
    <d v="2025-02-08T00:00:00"/>
    <d v="2025-02-09T00:00:00"/>
    <s v="F"/>
    <x v="3"/>
    <n v="5"/>
    <s v="California"/>
    <s v="Alameda County"/>
    <n v="1"/>
    <x v="5"/>
    <x v="2"/>
  </r>
  <r>
    <s v="TX500984"/>
    <s v="Bikinis"/>
    <n v="9"/>
    <n v="34.6"/>
    <n v="311.40000000000003"/>
    <d v="2025-02-08T00:00:00"/>
    <d v="2025-02-09T00:00:00"/>
    <s v="F"/>
    <x v="2"/>
    <n v="3"/>
    <s v="California"/>
    <s v="Alameda County"/>
    <n v="1"/>
    <x v="5"/>
    <x v="2"/>
  </r>
  <r>
    <s v="TX500985"/>
    <s v="T-Shirts"/>
    <n v="3"/>
    <n v="35.1"/>
    <n v="105.30000000000001"/>
    <d v="2025-02-09T00:00:00"/>
    <d v="2025-02-13T00:00:00"/>
    <s v="M"/>
    <x v="4"/>
    <n v="5"/>
    <s v="California"/>
    <s v="Contra Costa County"/>
    <n v="4"/>
    <x v="5"/>
    <x v="1"/>
  </r>
  <r>
    <s v="TX500986"/>
    <s v="Jeans"/>
    <n v="4"/>
    <n v="104.5"/>
    <n v="418"/>
    <d v="2025-02-09T00:00:00"/>
    <d v="2025-02-10T00:00:00"/>
    <s v="M"/>
    <x v="1"/>
    <n v="3"/>
    <s v="California"/>
    <s v="Contra Costa County"/>
    <n v="1"/>
    <x v="5"/>
    <x v="1"/>
  </r>
  <r>
    <s v="TX500987"/>
    <s v="T-Shirts"/>
    <n v="1"/>
    <n v="37.9"/>
    <n v="37.9"/>
    <d v="2025-02-09T00:00:00"/>
    <d v="2025-02-11T00:00:00"/>
    <s v=""/>
    <x v="1"/>
    <n v="5"/>
    <s v="California"/>
    <s v="Fresno County"/>
    <n v="2"/>
    <x v="5"/>
    <x v="0"/>
  </r>
  <r>
    <s v="TX500988"/>
    <s v="Graphic Tees"/>
    <n v="3"/>
    <n v="25.5"/>
    <n v="76.5"/>
    <d v="2025-02-09T00:00:00"/>
    <d v="2025-02-12T00:00:00"/>
    <s v="M"/>
    <x v="3"/>
    <n v="4"/>
    <s v="California"/>
    <s v="Fresno County"/>
    <n v="3"/>
    <x v="5"/>
    <x v="1"/>
  </r>
  <r>
    <s v="TX500989"/>
    <s v="Shorts"/>
    <n v="3"/>
    <n v="32"/>
    <n v="96"/>
    <d v="2025-02-09T00:00:00"/>
    <d v="2025-02-13T00:00:00"/>
    <s v="F"/>
    <x v="1"/>
    <n v="4"/>
    <s v="California"/>
    <s v="Kern County"/>
    <n v="4"/>
    <x v="5"/>
    <x v="2"/>
  </r>
  <r>
    <s v="TX500990"/>
    <s v="Tank Tops"/>
    <n v="1"/>
    <n v="47.1"/>
    <n v="47.1"/>
    <d v="2025-02-09T00:00:00"/>
    <d v="2025-02-10T00:00:00"/>
    <s v="F"/>
    <x v="0"/>
    <n v="4"/>
    <s v="California"/>
    <s v="Kings County"/>
    <n v="1"/>
    <x v="5"/>
    <x v="2"/>
  </r>
  <r>
    <s v="TX500991"/>
    <s v="Jeans"/>
    <n v="2"/>
    <n v="50.6"/>
    <n v="101.2"/>
    <d v="2025-02-09T00:00:00"/>
    <d v="2025-02-15T00:00:00"/>
    <s v=""/>
    <x v="0"/>
    <n v="4"/>
    <s v="California"/>
    <s v="Los Angeles County"/>
    <n v="6"/>
    <x v="5"/>
    <x v="0"/>
  </r>
  <r>
    <s v="TX500992"/>
    <s v="Jeans"/>
    <n v="5"/>
    <n v="81.7"/>
    <n v="408.5"/>
    <d v="2025-02-09T00:00:00"/>
    <d v="2025-02-10T00:00:00"/>
    <s v="F"/>
    <x v="1"/>
    <n v="5"/>
    <s v="California"/>
    <s v="Los Angeles County"/>
    <n v="1"/>
    <x v="5"/>
    <x v="2"/>
  </r>
  <r>
    <s v="TX500993"/>
    <s v="Sandals"/>
    <n v="2"/>
    <n v="50.7"/>
    <n v="101.4"/>
    <d v="2025-02-09T00:00:00"/>
    <d v="2025-02-10T00:00:00"/>
    <s v="O"/>
    <x v="2"/>
    <n v="5"/>
    <s v="California"/>
    <s v="Los Angeles County"/>
    <n v="1"/>
    <x v="5"/>
    <x v="3"/>
  </r>
  <r>
    <s v="TX500994"/>
    <s v="Sneakers"/>
    <n v="19"/>
    <n v="67.3"/>
    <n v="1278.7"/>
    <d v="2025-02-09T00:00:00"/>
    <d v="2025-02-13T00:00:00"/>
    <s v="F"/>
    <x v="2"/>
    <n v="4"/>
    <s v="California"/>
    <s v="Los Angeles County"/>
    <n v="4"/>
    <x v="5"/>
    <x v="2"/>
  </r>
  <r>
    <s v="TX500995"/>
    <s v="Sneakers"/>
    <n v="4"/>
    <n v="64.8"/>
    <n v="259.2"/>
    <d v="2025-02-09T00:00:00"/>
    <d v="2025-02-12T00:00:00"/>
    <s v="F"/>
    <x v="3"/>
    <n v="4"/>
    <s v="California"/>
    <s v="Los Angeles County"/>
    <n v="3"/>
    <x v="5"/>
    <x v="2"/>
  </r>
  <r>
    <s v="TX500996"/>
    <s v="Sandals"/>
    <n v="22"/>
    <n v="61.3"/>
    <n v="1348.6"/>
    <d v="2025-02-09T00:00:00"/>
    <d v="2025-02-10T00:00:00"/>
    <s v="F"/>
    <x v="0"/>
    <n v="5"/>
    <s v="California"/>
    <s v="Los Angeles County"/>
    <n v="1"/>
    <x v="5"/>
    <x v="2"/>
  </r>
  <r>
    <s v="TX500997"/>
    <s v="Baseball Caps"/>
    <n v="1"/>
    <n v="32.9"/>
    <n v="32.9"/>
    <d v="2025-02-09T00:00:00"/>
    <d v="2025-02-12T00:00:00"/>
    <s v="F"/>
    <x v="4"/>
    <n v="4"/>
    <s v="California"/>
    <s v="Los Angeles County"/>
    <n v="3"/>
    <x v="5"/>
    <x v="2"/>
  </r>
  <r>
    <s v="TX500998"/>
    <s v="Jeans"/>
    <n v="2"/>
    <n v="100.8"/>
    <n v="201.6"/>
    <d v="2025-02-09T00:00:00"/>
    <d v="2025-02-12T00:00:00"/>
    <s v="F"/>
    <x v="0"/>
    <n v="4"/>
    <s v="California"/>
    <s v="Los Angeles County"/>
    <n v="3"/>
    <x v="5"/>
    <x v="2"/>
  </r>
  <r>
    <s v="TX500999"/>
    <s v="T-Shirts"/>
    <n v="4"/>
    <n v="25.1"/>
    <n v="100.4"/>
    <d v="2025-02-09T00:00:00"/>
    <d v="2025-02-11T00:00:00"/>
    <s v="F"/>
    <x v="1"/>
    <n v="4"/>
    <s v="California"/>
    <s v="Los Angeles County"/>
    <n v="2"/>
    <x v="5"/>
    <x v="2"/>
  </r>
  <r>
    <s v="TX501000"/>
    <s v="Pajama Sets"/>
    <n v="1"/>
    <n v="48.5"/>
    <n v="48.5"/>
    <d v="2025-02-09T00:00:00"/>
    <d v="2025-02-10T00:00:00"/>
    <s v="F"/>
    <x v="0"/>
    <n v="3"/>
    <s v="California"/>
    <s v="Los Angeles County"/>
    <n v="1"/>
    <x v="5"/>
    <x v="2"/>
  </r>
  <r>
    <s v="TX501001"/>
    <s v="Hoodies &amp; Sweatshirts"/>
    <n v="2"/>
    <n v="33.6"/>
    <n v="67.2"/>
    <d v="2025-02-09T00:00:00"/>
    <d v="2025-02-13T00:00:00"/>
    <s v="F"/>
    <x v="2"/>
    <n v="5"/>
    <s v="California"/>
    <s v="Los Angeles County"/>
    <n v="4"/>
    <x v="5"/>
    <x v="2"/>
  </r>
  <r>
    <s v="TX501002"/>
    <s v="T-Shirts"/>
    <n v="1"/>
    <n v="39.299999999999997"/>
    <n v="39.299999999999997"/>
    <d v="2025-02-09T00:00:00"/>
    <d v="2025-02-20T00:00:00"/>
    <s v="F"/>
    <x v="1"/>
    <n v="3"/>
    <s v="California"/>
    <s v="Monterey County"/>
    <n v="11"/>
    <x v="5"/>
    <x v="2"/>
  </r>
  <r>
    <s v="TX501003"/>
    <s v="Graphic Tees"/>
    <n v="10"/>
    <n v="48.8"/>
    <n v="488"/>
    <d v="2025-02-09T00:00:00"/>
    <d v="2025-02-11T00:00:00"/>
    <s v="F"/>
    <x v="3"/>
    <n v="3"/>
    <s v="California"/>
    <s v="Orange County"/>
    <n v="2"/>
    <x v="5"/>
    <x v="2"/>
  </r>
  <r>
    <s v="TX501004"/>
    <s v="Jeans"/>
    <n v="8"/>
    <n v="72.8"/>
    <n v="582.4"/>
    <d v="2025-02-09T00:00:00"/>
    <d v="2025-02-11T00:00:00"/>
    <s v="M"/>
    <x v="1"/>
    <n v="5"/>
    <s v="California"/>
    <s v="Placer County"/>
    <n v="2"/>
    <x v="5"/>
    <x v="1"/>
  </r>
  <r>
    <s v="TX501005"/>
    <s v="Bikinis"/>
    <n v="8"/>
    <n v="46.2"/>
    <n v="369.6"/>
    <d v="2025-02-09T00:00:00"/>
    <d v="2025-02-10T00:00:00"/>
    <s v="M"/>
    <x v="3"/>
    <n v="2"/>
    <s v="California"/>
    <s v="Placer County"/>
    <n v="1"/>
    <x v="5"/>
    <x v="1"/>
  </r>
  <r>
    <s v="TX501006"/>
    <s v="Graphic Tees"/>
    <n v="2"/>
    <n v="20.7"/>
    <n v="41.4"/>
    <d v="2025-02-09T00:00:00"/>
    <d v="2025-02-10T00:00:00"/>
    <s v="F"/>
    <x v="2"/>
    <n v="1"/>
    <s v="California"/>
    <s v="Sacramento County"/>
    <n v="1"/>
    <x v="5"/>
    <x v="2"/>
  </r>
  <r>
    <s v="TX501007"/>
    <s v="Shorts"/>
    <n v="1"/>
    <n v="35.700000000000003"/>
    <n v="35.700000000000003"/>
    <d v="2025-02-09T00:00:00"/>
    <d v="2025-02-11T00:00:00"/>
    <s v="F"/>
    <x v="3"/>
    <n v="4"/>
    <s v="California"/>
    <s v="Sacramento County"/>
    <n v="2"/>
    <x v="5"/>
    <x v="2"/>
  </r>
  <r>
    <s v="TX501008"/>
    <s v="Sneakers"/>
    <n v="16"/>
    <n v="166.2"/>
    <n v="2659.2"/>
    <d v="2025-02-09T00:00:00"/>
    <d v="2025-02-11T00:00:00"/>
    <s v=""/>
    <x v="2"/>
    <n v="4"/>
    <s v="California"/>
    <s v="San Bernardino County"/>
    <n v="2"/>
    <x v="5"/>
    <x v="0"/>
  </r>
  <r>
    <s v="TX501009"/>
    <s v="Jeans"/>
    <n v="4"/>
    <n v="85.8"/>
    <n v="343.2"/>
    <d v="2025-02-09T00:00:00"/>
    <d v="2025-02-10T00:00:00"/>
    <s v="F"/>
    <x v="1"/>
    <n v="3"/>
    <s v="California"/>
    <s v="San Bernardino County"/>
    <n v="1"/>
    <x v="5"/>
    <x v="2"/>
  </r>
  <r>
    <s v="TX501010"/>
    <s v="T-Shirts"/>
    <n v="3"/>
    <n v="26"/>
    <n v="78"/>
    <d v="2025-02-09T00:00:00"/>
    <d v="2025-02-11T00:00:00"/>
    <s v="O"/>
    <x v="1"/>
    <n v="4"/>
    <s v="California"/>
    <s v="San Bernardino County"/>
    <n v="2"/>
    <x v="5"/>
    <x v="3"/>
  </r>
  <r>
    <s v="TX501011"/>
    <s v="Sneakers"/>
    <n v="13"/>
    <n v="116.6"/>
    <n v="1515.8"/>
    <d v="2025-02-09T00:00:00"/>
    <d v="2025-02-12T00:00:00"/>
    <s v="F"/>
    <x v="0"/>
    <n v="4"/>
    <s v="California"/>
    <s v="San Diego County"/>
    <n v="3"/>
    <x v="5"/>
    <x v="2"/>
  </r>
  <r>
    <s v="TX501012"/>
    <s v="Sundresses"/>
    <n v="7"/>
    <n v="53.9"/>
    <n v="377.3"/>
    <d v="2025-02-09T00:00:00"/>
    <d v="2025-02-12T00:00:00"/>
    <s v="O"/>
    <x v="0"/>
    <n v="5"/>
    <s v="California"/>
    <s v="San Diego County"/>
    <n v="3"/>
    <x v="5"/>
    <x v="3"/>
  </r>
  <r>
    <s v="TX501013"/>
    <s v="Casual Dresses"/>
    <n v="5"/>
    <n v="72.3"/>
    <n v="361.5"/>
    <d v="2025-02-09T00:00:00"/>
    <d v="2025-02-11T00:00:00"/>
    <s v=""/>
    <x v="2"/>
    <n v="5"/>
    <s v="California"/>
    <s v="San Diego County"/>
    <n v="2"/>
    <x v="5"/>
    <x v="0"/>
  </r>
  <r>
    <s v="TX501014"/>
    <s v="Sandals"/>
    <n v="2"/>
    <n v="31.4"/>
    <n v="62.8"/>
    <d v="2025-02-09T00:00:00"/>
    <d v="2025-02-11T00:00:00"/>
    <s v="F"/>
    <x v="0"/>
    <n v="4"/>
    <s v="California"/>
    <s v="San Diego County"/>
    <n v="2"/>
    <x v="5"/>
    <x v="2"/>
  </r>
  <r>
    <s v="TX501015"/>
    <s v="Tote Bags"/>
    <n v="2"/>
    <n v="53.1"/>
    <n v="106.2"/>
    <d v="2025-02-09T00:00:00"/>
    <d v="2025-02-12T00:00:00"/>
    <s v="M"/>
    <x v="1"/>
    <n v="4"/>
    <s v="California"/>
    <s v="San Diego County"/>
    <n v="3"/>
    <x v="5"/>
    <x v="1"/>
  </r>
  <r>
    <s v="TX501016"/>
    <s v="Sneakers"/>
    <n v="4"/>
    <n v="56.2"/>
    <n v="224.8"/>
    <d v="2025-02-09T00:00:00"/>
    <d v="2025-02-10T00:00:00"/>
    <s v="F"/>
    <x v="0"/>
    <n v="4"/>
    <s v="California"/>
    <s v="San Diego County"/>
    <n v="1"/>
    <x v="5"/>
    <x v="2"/>
  </r>
  <r>
    <s v="TX501017"/>
    <s v="Tank Tops"/>
    <n v="10"/>
    <n v="77.3"/>
    <n v="773"/>
    <d v="2025-02-09T00:00:00"/>
    <d v="2025-02-10T00:00:00"/>
    <s v="F"/>
    <x v="2"/>
    <n v="4"/>
    <s v="California"/>
    <s v="Santa Clara County"/>
    <n v="1"/>
    <x v="5"/>
    <x v="2"/>
  </r>
  <r>
    <s v="TX501018"/>
    <s v="Jeans"/>
    <n v="13"/>
    <n v="57.8"/>
    <n v="751.4"/>
    <d v="2025-02-09T00:00:00"/>
    <d v="2025-02-10T00:00:00"/>
    <s v=""/>
    <x v="0"/>
    <n v="4"/>
    <s v="California"/>
    <s v="Shasta County"/>
    <n v="1"/>
    <x v="5"/>
    <x v="0"/>
  </r>
  <r>
    <s v="TX501019"/>
    <s v="Casual Dresses"/>
    <n v="15"/>
    <n v="42.1"/>
    <n v="631.5"/>
    <d v="2025-02-09T00:00:00"/>
    <d v="2025-02-11T00:00:00"/>
    <s v="F"/>
    <x v="1"/>
    <n v="3"/>
    <s v="California"/>
    <s v="Shasta County"/>
    <n v="2"/>
    <x v="5"/>
    <x v="2"/>
  </r>
  <r>
    <s v="TX501020"/>
    <s v="T-Shirts"/>
    <n v="9"/>
    <n v="22.8"/>
    <n v="205.20000000000002"/>
    <d v="2025-02-09T00:00:00"/>
    <d v="2025-02-13T00:00:00"/>
    <s v="M"/>
    <x v="2"/>
    <n v="5"/>
    <s v="California"/>
    <s v="Stanislaus County"/>
    <n v="4"/>
    <x v="5"/>
    <x v="1"/>
  </r>
  <r>
    <s v="TX501021"/>
    <s v="Sneakers"/>
    <n v="3"/>
    <n v="171.1"/>
    <n v="513.29999999999995"/>
    <d v="2025-02-10T00:00:00"/>
    <d v="2025-02-17T00:00:00"/>
    <s v="F"/>
    <x v="2"/>
    <n v="3"/>
    <s v="California"/>
    <s v="Stanislaus County"/>
    <n v="7"/>
    <x v="6"/>
    <x v="2"/>
  </r>
  <r>
    <s v="TX501022"/>
    <s v="T-Shirts"/>
    <n v="1"/>
    <n v="28"/>
    <n v="28"/>
    <d v="2025-02-10T00:00:00"/>
    <d v="2025-02-12T00:00:00"/>
    <s v="M"/>
    <x v="2"/>
    <n v="5"/>
    <s v="California"/>
    <s v="Alameda County"/>
    <n v="2"/>
    <x v="6"/>
    <x v="1"/>
  </r>
  <r>
    <s v="TX501023"/>
    <s v="Jeans"/>
    <n v="7"/>
    <n v="50.2"/>
    <n v="351.40000000000003"/>
    <d v="2025-02-10T00:00:00"/>
    <d v="2025-02-12T00:00:00"/>
    <s v="M"/>
    <x v="2"/>
    <n v="4"/>
    <s v="California"/>
    <s v="Alameda County"/>
    <n v="2"/>
    <x v="6"/>
    <x v="1"/>
  </r>
  <r>
    <s v="TX501024"/>
    <s v="Jeans"/>
    <n v="2"/>
    <n v="56"/>
    <n v="112"/>
    <d v="2025-02-10T00:00:00"/>
    <d v="2025-02-10T00:00:00"/>
    <s v="M"/>
    <x v="0"/>
    <n v="5"/>
    <s v="California"/>
    <s v="Kern County"/>
    <n v="0"/>
    <x v="6"/>
    <x v="1"/>
  </r>
  <r>
    <s v="TX501025"/>
    <s v="Tank Tops"/>
    <n v="2"/>
    <n v="38.299999999999997"/>
    <n v="76.599999999999994"/>
    <d v="2025-02-10T00:00:00"/>
    <d v="2025-02-11T00:00:00"/>
    <s v="F"/>
    <x v="1"/>
    <n v="4"/>
    <s v="California"/>
    <s v="Los Angeles County"/>
    <n v="1"/>
    <x v="6"/>
    <x v="2"/>
  </r>
  <r>
    <s v="TX501026"/>
    <s v="Shorts"/>
    <n v="5"/>
    <n v="22.3"/>
    <n v="111.5"/>
    <d v="2025-02-10T00:00:00"/>
    <d v="2025-02-14T00:00:00"/>
    <s v="F"/>
    <x v="2"/>
    <n v="3"/>
    <s v="California"/>
    <s v="Los Angeles County"/>
    <n v="4"/>
    <x v="6"/>
    <x v="2"/>
  </r>
  <r>
    <s v="TX501027"/>
    <s v="Shorts"/>
    <n v="3"/>
    <n v="22.3"/>
    <n v="66.900000000000006"/>
    <d v="2025-02-10T00:00:00"/>
    <d v="2025-02-13T00:00:00"/>
    <s v="F"/>
    <x v="2"/>
    <n v="4"/>
    <s v="California"/>
    <s v="Los Angeles County"/>
    <n v="3"/>
    <x v="6"/>
    <x v="2"/>
  </r>
  <r>
    <s v="TX501028"/>
    <s v="Tank Tops"/>
    <n v="1"/>
    <n v="32.9"/>
    <n v="32.9"/>
    <d v="2025-02-10T00:00:00"/>
    <d v="2025-02-15T00:00:00"/>
    <s v="F"/>
    <x v="0"/>
    <n v="4"/>
    <s v="California"/>
    <s v="Los Angeles County"/>
    <n v="5"/>
    <x v="6"/>
    <x v="2"/>
  </r>
  <r>
    <s v="TX501029"/>
    <s v="Bikinis"/>
    <n v="3"/>
    <n v="31.9"/>
    <n v="95.699999999999989"/>
    <d v="2025-02-10T00:00:00"/>
    <d v="2025-02-15T00:00:00"/>
    <s v="F"/>
    <x v="0"/>
    <n v="4"/>
    <s v="California"/>
    <s v="Los Angeles County"/>
    <n v="5"/>
    <x v="6"/>
    <x v="2"/>
  </r>
  <r>
    <s v="TX501030"/>
    <s v="Jeans"/>
    <n v="2"/>
    <n v="94"/>
    <n v="188"/>
    <d v="2025-02-10T00:00:00"/>
    <d v="2025-02-11T00:00:00"/>
    <s v="M"/>
    <x v="2"/>
    <n v="5"/>
    <s v="California"/>
    <s v="Los Angeles County"/>
    <n v="1"/>
    <x v="6"/>
    <x v="1"/>
  </r>
  <r>
    <s v="TX501031"/>
    <s v="Bikinis"/>
    <n v="2"/>
    <n v="30.7"/>
    <n v="61.4"/>
    <d v="2025-02-10T00:00:00"/>
    <d v="2025-02-11T00:00:00"/>
    <s v="F"/>
    <x v="0"/>
    <n v="3"/>
    <s v="California"/>
    <s v="Los Angeles County"/>
    <n v="1"/>
    <x v="6"/>
    <x v="2"/>
  </r>
  <r>
    <s v="TX501032"/>
    <s v="Sandals"/>
    <n v="5"/>
    <n v="90.5"/>
    <n v="452.5"/>
    <d v="2025-02-10T00:00:00"/>
    <d v="2025-02-17T00:00:00"/>
    <s v="M"/>
    <x v="0"/>
    <n v="5"/>
    <s v="California"/>
    <s v="Los Angeles County"/>
    <n v="7"/>
    <x v="6"/>
    <x v="1"/>
  </r>
  <r>
    <s v="TX501033"/>
    <s v="T-Shirts"/>
    <n v="5"/>
    <n v="25.3"/>
    <n v="126.5"/>
    <d v="2025-02-10T00:00:00"/>
    <d v="2025-02-14T00:00:00"/>
    <s v="F"/>
    <x v="0"/>
    <n v="5"/>
    <s v="California"/>
    <s v="Los Angeles County"/>
    <n v="4"/>
    <x v="6"/>
    <x v="2"/>
  </r>
  <r>
    <s v="TX501034"/>
    <s v="Jeans"/>
    <n v="3"/>
    <n v="58.1"/>
    <n v="174.3"/>
    <d v="2025-02-10T00:00:00"/>
    <d v="2025-02-14T00:00:00"/>
    <s v=""/>
    <x v="0"/>
    <n v="5"/>
    <s v="California"/>
    <s v="Los Angeles County"/>
    <n v="4"/>
    <x v="6"/>
    <x v="0"/>
  </r>
  <r>
    <s v="TX501035"/>
    <s v="Sneakers"/>
    <n v="3"/>
    <n v="74.900000000000006"/>
    <n v="224.70000000000002"/>
    <d v="2025-02-10T00:00:00"/>
    <d v="2025-02-11T00:00:00"/>
    <s v="F"/>
    <x v="4"/>
    <n v="4"/>
    <s v="California"/>
    <s v="Los Angeles County"/>
    <n v="1"/>
    <x v="6"/>
    <x v="2"/>
  </r>
  <r>
    <s v="TX501036"/>
    <s v="Graphic Tees"/>
    <n v="2"/>
    <n v="32.5"/>
    <n v="65"/>
    <d v="2025-02-10T00:00:00"/>
    <d v="2025-02-11T00:00:00"/>
    <s v="M"/>
    <x v="2"/>
    <n v="5"/>
    <s v="California"/>
    <s v="Marin County"/>
    <n v="1"/>
    <x v="6"/>
    <x v="1"/>
  </r>
  <r>
    <s v="TX501037"/>
    <s v="Graphic Tees"/>
    <n v="5"/>
    <n v="62"/>
    <n v="310"/>
    <d v="2025-02-10T00:00:00"/>
    <d v="2025-02-11T00:00:00"/>
    <s v="M"/>
    <x v="4"/>
    <n v="5"/>
    <s v="California"/>
    <s v="Orange County"/>
    <n v="1"/>
    <x v="6"/>
    <x v="1"/>
  </r>
  <r>
    <s v="TX501038"/>
    <s v="Tote Bags"/>
    <n v="6"/>
    <n v="28.9"/>
    <n v="173.39999999999998"/>
    <d v="2025-02-10T00:00:00"/>
    <d v="2025-02-13T00:00:00"/>
    <s v="F"/>
    <x v="0"/>
    <n v="3"/>
    <s v="California"/>
    <s v="Sacramento County"/>
    <n v="3"/>
    <x v="6"/>
    <x v="2"/>
  </r>
  <r>
    <s v="TX501039"/>
    <s v="Jeans"/>
    <n v="8"/>
    <n v="42.8"/>
    <n v="342.4"/>
    <d v="2025-02-10T00:00:00"/>
    <d v="2025-02-12T00:00:00"/>
    <s v="F"/>
    <x v="0"/>
    <n v="5"/>
    <s v="California"/>
    <s v="Sacramento County"/>
    <n v="2"/>
    <x v="6"/>
    <x v="2"/>
  </r>
  <r>
    <s v="TX501040"/>
    <s v="T-Shirts"/>
    <n v="8"/>
    <n v="39.4"/>
    <n v="315.2"/>
    <d v="2025-02-10T00:00:00"/>
    <d v="2025-02-12T00:00:00"/>
    <s v="M"/>
    <x v="0"/>
    <n v="4"/>
    <s v="California"/>
    <s v="San Benito County"/>
    <n v="2"/>
    <x v="6"/>
    <x v="1"/>
  </r>
  <r>
    <s v="TX501041"/>
    <s v="Leggings"/>
    <n v="3"/>
    <n v="66.400000000000006"/>
    <n v="199.20000000000002"/>
    <d v="2025-02-10T00:00:00"/>
    <d v="2025-02-11T00:00:00"/>
    <s v=""/>
    <x v="2"/>
    <n v="3"/>
    <s v="California"/>
    <s v="San Bernardino County"/>
    <n v="1"/>
    <x v="6"/>
    <x v="0"/>
  </r>
  <r>
    <s v="TX501042"/>
    <s v="Pajama Sets"/>
    <n v="4"/>
    <n v="35.9"/>
    <n v="143.6"/>
    <d v="2025-02-10T00:00:00"/>
    <d v="2025-02-17T00:00:00"/>
    <s v="F"/>
    <x v="1"/>
    <n v="4"/>
    <s v="California"/>
    <s v="San Bernardino County"/>
    <n v="7"/>
    <x v="6"/>
    <x v="2"/>
  </r>
  <r>
    <s v="TX501043"/>
    <s v="Shorts"/>
    <n v="4"/>
    <n v="26.9"/>
    <n v="107.6"/>
    <d v="2025-02-10T00:00:00"/>
    <d v="2025-02-11T00:00:00"/>
    <s v="M"/>
    <x v="1"/>
    <n v="4"/>
    <s v="California"/>
    <s v="San Bernardino County"/>
    <n v="1"/>
    <x v="6"/>
    <x v="1"/>
  </r>
  <r>
    <s v="TX501044"/>
    <s v="Sneakers"/>
    <n v="1"/>
    <n v="55.1"/>
    <n v="55.1"/>
    <d v="2025-02-10T00:00:00"/>
    <d v="2025-02-11T00:00:00"/>
    <s v="F"/>
    <x v="0"/>
    <n v="4"/>
    <s v="California"/>
    <s v="San Bernardino County"/>
    <n v="1"/>
    <x v="6"/>
    <x v="2"/>
  </r>
  <r>
    <s v="TX501045"/>
    <s v="Graphic Tees"/>
    <n v="2"/>
    <n v="23.9"/>
    <n v="47.8"/>
    <d v="2025-02-10T00:00:00"/>
    <d v="2025-02-11T00:00:00"/>
    <s v="M"/>
    <x v="0"/>
    <n v="5"/>
    <s v="California"/>
    <s v="San Diego County"/>
    <n v="1"/>
    <x v="6"/>
    <x v="1"/>
  </r>
  <r>
    <s v="TX501046"/>
    <s v="Sundresses"/>
    <n v="13"/>
    <n v="21.1"/>
    <n v="274.3"/>
    <d v="2025-02-10T00:00:00"/>
    <d v="2025-02-18T00:00:00"/>
    <s v="F"/>
    <x v="0"/>
    <n v="3"/>
    <s v="California"/>
    <s v="San Diego County"/>
    <n v="8"/>
    <x v="6"/>
    <x v="2"/>
  </r>
  <r>
    <s v="TX501047"/>
    <s v="T-Shirts"/>
    <n v="5"/>
    <n v="33.799999999999997"/>
    <n v="169"/>
    <d v="2025-02-10T00:00:00"/>
    <d v="2025-02-12T00:00:00"/>
    <s v="F"/>
    <x v="0"/>
    <n v="4"/>
    <s v="California"/>
    <s v="San Diego County"/>
    <n v="2"/>
    <x v="6"/>
    <x v="2"/>
  </r>
  <r>
    <s v="TX501048"/>
    <s v="Sneakers"/>
    <n v="4"/>
    <n v="56.1"/>
    <n v="224.4"/>
    <d v="2025-02-10T00:00:00"/>
    <d v="2025-02-10T00:00:00"/>
    <s v="F"/>
    <x v="3"/>
    <n v="5"/>
    <s v="California"/>
    <s v="San Mateo County"/>
    <n v="0"/>
    <x v="6"/>
    <x v="2"/>
  </r>
  <r>
    <s v="TX501049"/>
    <s v="Workout Tops"/>
    <n v="1"/>
    <n v="58.5"/>
    <n v="58.5"/>
    <d v="2025-02-11T00:00:00"/>
    <d v="2025-02-15T00:00:00"/>
    <s v="F"/>
    <x v="1"/>
    <n v="5"/>
    <s v="California"/>
    <s v="San Mateo County"/>
    <n v="4"/>
    <x v="6"/>
    <x v="2"/>
  </r>
  <r>
    <s v="TX501050"/>
    <s v="Jeans"/>
    <n v="1"/>
    <n v="84.2"/>
    <n v="84.2"/>
    <d v="2025-02-11T00:00:00"/>
    <d v="2025-02-13T00:00:00"/>
    <s v="M"/>
    <x v="3"/>
    <n v="4"/>
    <s v="California"/>
    <s v="Santa Clara County"/>
    <n v="2"/>
    <x v="6"/>
    <x v="1"/>
  </r>
  <r>
    <s v="TX501051"/>
    <s v="Maxi Dresses"/>
    <n v="4"/>
    <n v="52"/>
    <n v="208"/>
    <d v="2025-02-11T00:00:00"/>
    <d v="2025-02-14T00:00:00"/>
    <s v="M"/>
    <x v="0"/>
    <n v="4"/>
    <s v="California"/>
    <s v="Santa Clara County"/>
    <n v="3"/>
    <x v="6"/>
    <x v="1"/>
  </r>
  <r>
    <s v="TX501052"/>
    <s v="Graphic Tees"/>
    <n v="5"/>
    <n v="31.5"/>
    <n v="157.5"/>
    <d v="2025-02-11T00:00:00"/>
    <d v="2025-02-12T00:00:00"/>
    <s v="F"/>
    <x v="0"/>
    <n v="5"/>
    <s v="California"/>
    <s v="Santa Clara County"/>
    <n v="1"/>
    <x v="6"/>
    <x v="2"/>
  </r>
  <r>
    <s v="TX501053"/>
    <s v="Sunglasses"/>
    <n v="3"/>
    <n v="46.2"/>
    <n v="138.60000000000002"/>
    <d v="2025-02-11T00:00:00"/>
    <d v="2025-02-12T00:00:00"/>
    <s v="M"/>
    <x v="0"/>
    <n v="4"/>
    <s v="California"/>
    <s v="Shasta County"/>
    <n v="1"/>
    <x v="6"/>
    <x v="1"/>
  </r>
  <r>
    <s v="TX501054"/>
    <s v="Sneakers"/>
    <n v="6"/>
    <n v="135"/>
    <n v="810"/>
    <d v="2025-02-11T00:00:00"/>
    <d v="2025-02-12T00:00:00"/>
    <s v="F"/>
    <x v="1"/>
    <n v="5"/>
    <s v="California"/>
    <s v="Sonoma County"/>
    <n v="1"/>
    <x v="6"/>
    <x v="2"/>
  </r>
  <r>
    <s v="TX501055"/>
    <s v="Casual Dresses"/>
    <n v="3"/>
    <n v="92.2"/>
    <n v="276.60000000000002"/>
    <d v="2025-02-11T00:00:00"/>
    <d v="2025-02-15T00:00:00"/>
    <s v="M"/>
    <x v="0"/>
    <n v="4"/>
    <s v="California"/>
    <s v="Alameda County"/>
    <n v="4"/>
    <x v="6"/>
    <x v="1"/>
  </r>
  <r>
    <s v="TX501056"/>
    <s v="T-Shirts"/>
    <n v="1"/>
    <n v="36.6"/>
    <n v="36.6"/>
    <d v="2025-02-11T00:00:00"/>
    <d v="2025-02-13T00:00:00"/>
    <s v="M"/>
    <x v="2"/>
    <n v="5"/>
    <s v="California"/>
    <s v="Alameda County"/>
    <n v="2"/>
    <x v="6"/>
    <x v="1"/>
  </r>
  <r>
    <s v="TX501057"/>
    <s v="Sundresses"/>
    <n v="2"/>
    <n v="50.6"/>
    <n v="101.2"/>
    <d v="2025-02-11T00:00:00"/>
    <d v="2025-02-14T00:00:00"/>
    <s v="F"/>
    <x v="0"/>
    <n v="4"/>
    <s v="California"/>
    <s v="Fresno County"/>
    <n v="3"/>
    <x v="6"/>
    <x v="2"/>
  </r>
  <r>
    <s v="TX501058"/>
    <s v="Leggings"/>
    <n v="7"/>
    <n v="56.7"/>
    <n v="396.90000000000003"/>
    <d v="2025-02-11T00:00:00"/>
    <d v="2025-02-14T00:00:00"/>
    <s v="F"/>
    <x v="0"/>
    <n v="4"/>
    <s v="California"/>
    <s v="Fresno County"/>
    <n v="3"/>
    <x v="6"/>
    <x v="2"/>
  </r>
  <r>
    <s v="TX501059"/>
    <s v="Sundresses"/>
    <n v="13"/>
    <n v="22.9"/>
    <n v="297.7"/>
    <d v="2025-02-11T00:00:00"/>
    <d v="2025-02-12T00:00:00"/>
    <s v="F"/>
    <x v="0"/>
    <n v="3"/>
    <s v="California"/>
    <s v="Humboldt County"/>
    <n v="1"/>
    <x v="6"/>
    <x v="2"/>
  </r>
  <r>
    <s v="TX501060"/>
    <s v="Crop Tops"/>
    <n v="19"/>
    <n v="53.6"/>
    <n v="1018.4"/>
    <d v="2025-02-11T00:00:00"/>
    <d v="2025-02-12T00:00:00"/>
    <s v="M"/>
    <x v="0"/>
    <n v="4"/>
    <s v="California"/>
    <s v="Kern County"/>
    <n v="1"/>
    <x v="6"/>
    <x v="1"/>
  </r>
  <r>
    <s v="TX501061"/>
    <s v="Leggings"/>
    <n v="2"/>
    <n v="30.2"/>
    <n v="60.4"/>
    <d v="2025-02-11T00:00:00"/>
    <d v="2025-02-13T00:00:00"/>
    <s v=""/>
    <x v="2"/>
    <n v="5"/>
    <s v="California"/>
    <s v="Los Angeles County"/>
    <n v="2"/>
    <x v="6"/>
    <x v="0"/>
  </r>
  <r>
    <s v="TX501062"/>
    <s v="Crop Tops"/>
    <n v="6"/>
    <n v="83.4"/>
    <n v="500.40000000000003"/>
    <d v="2025-02-11T00:00:00"/>
    <d v="2025-02-12T00:00:00"/>
    <s v="M"/>
    <x v="1"/>
    <n v="5"/>
    <s v="California"/>
    <s v="Los Angeles County"/>
    <n v="1"/>
    <x v="6"/>
    <x v="1"/>
  </r>
  <r>
    <s v="TX501063"/>
    <s v="Tote Bags"/>
    <n v="12"/>
    <n v="16.600000000000001"/>
    <n v="199.20000000000002"/>
    <d v="2025-02-11T00:00:00"/>
    <d v="2025-02-13T00:00:00"/>
    <s v="M"/>
    <x v="1"/>
    <n v="4"/>
    <s v="California"/>
    <s v="Los Angeles County"/>
    <n v="2"/>
    <x v="6"/>
    <x v="1"/>
  </r>
  <r>
    <s v="TX501064"/>
    <s v="T-Shirts"/>
    <n v="17"/>
    <n v="21.9"/>
    <n v="372.29999999999995"/>
    <d v="2025-02-11T00:00:00"/>
    <d v="2025-02-13T00:00:00"/>
    <s v="F"/>
    <x v="4"/>
    <n v="3"/>
    <s v="California"/>
    <s v="Los Angeles County"/>
    <n v="2"/>
    <x v="6"/>
    <x v="2"/>
  </r>
  <r>
    <s v="TX501065"/>
    <s v="T-Shirts"/>
    <n v="28"/>
    <n v="33.799999999999997"/>
    <n v="946.39999999999986"/>
    <d v="2025-02-11T00:00:00"/>
    <d v="2025-02-13T00:00:00"/>
    <s v="M"/>
    <x v="2"/>
    <n v="2"/>
    <s v="California"/>
    <s v="Los Angeles County"/>
    <n v="2"/>
    <x v="6"/>
    <x v="1"/>
  </r>
  <r>
    <s v="TX501066"/>
    <s v="Leggings"/>
    <n v="2"/>
    <n v="53.2"/>
    <n v="106.4"/>
    <d v="2025-02-11T00:00:00"/>
    <d v="2025-02-11T00:00:00"/>
    <s v="M"/>
    <x v="1"/>
    <n v="4"/>
    <s v="California"/>
    <s v="Los Angeles County"/>
    <n v="0"/>
    <x v="6"/>
    <x v="1"/>
  </r>
  <r>
    <s v="TX501067"/>
    <s v="Sneakers"/>
    <n v="2"/>
    <n v="176.7"/>
    <n v="353.4"/>
    <d v="2025-02-11T00:00:00"/>
    <d v="2025-02-14T00:00:00"/>
    <s v="F"/>
    <x v="2"/>
    <n v="4"/>
    <s v="California"/>
    <s v="Los Angeles County"/>
    <n v="3"/>
    <x v="6"/>
    <x v="2"/>
  </r>
  <r>
    <s v="TX501068"/>
    <s v="Casual Dresses"/>
    <n v="3"/>
    <n v="54"/>
    <n v="162"/>
    <d v="2025-02-11T00:00:00"/>
    <d v="2025-02-14T00:00:00"/>
    <s v="M"/>
    <x v="0"/>
    <n v="3"/>
    <s v="California"/>
    <s v="Los Angeles County"/>
    <n v="3"/>
    <x v="6"/>
    <x v="1"/>
  </r>
  <r>
    <s v="TX501069"/>
    <s v="Sundresses"/>
    <n v="2"/>
    <n v="70.099999999999994"/>
    <n v="140.19999999999999"/>
    <d v="2025-02-11T00:00:00"/>
    <d v="2025-02-19T00:00:00"/>
    <s v="F"/>
    <x v="3"/>
    <n v="5"/>
    <s v="California"/>
    <s v="Los Angeles County"/>
    <n v="8"/>
    <x v="6"/>
    <x v="2"/>
  </r>
  <r>
    <s v="TX501070"/>
    <s v="T-Shirts"/>
    <n v="1"/>
    <n v="26.5"/>
    <n v="26.5"/>
    <d v="2025-02-11T00:00:00"/>
    <d v="2025-02-13T00:00:00"/>
    <s v="F"/>
    <x v="1"/>
    <n v="4"/>
    <s v="California"/>
    <s v="Los Angeles County"/>
    <n v="2"/>
    <x v="6"/>
    <x v="2"/>
  </r>
  <r>
    <s v="TX501071"/>
    <s v="Hoodies &amp; Sweatshirts"/>
    <n v="5"/>
    <n v="89"/>
    <n v="445"/>
    <d v="2025-02-11T00:00:00"/>
    <d v="2025-02-13T00:00:00"/>
    <s v="M"/>
    <x v="2"/>
    <n v="2"/>
    <s v="California"/>
    <s v="Los Angeles County"/>
    <n v="2"/>
    <x v="6"/>
    <x v="1"/>
  </r>
  <r>
    <s v="TX501072"/>
    <s v="Tank Tops"/>
    <n v="6"/>
    <n v="47"/>
    <n v="282"/>
    <d v="2025-02-11T00:00:00"/>
    <d v="2025-02-14T00:00:00"/>
    <s v="F"/>
    <x v="3"/>
    <n v="4"/>
    <s v="California"/>
    <s v="Merced County"/>
    <n v="3"/>
    <x v="6"/>
    <x v="2"/>
  </r>
  <r>
    <s v="TX501073"/>
    <s v="Workout Tops"/>
    <n v="2"/>
    <n v="55.2"/>
    <n v="110.4"/>
    <d v="2025-02-11T00:00:00"/>
    <d v="2025-02-14T00:00:00"/>
    <s v="M"/>
    <x v="1"/>
    <n v="3"/>
    <s v="California"/>
    <s v="Sacramento County"/>
    <n v="3"/>
    <x v="6"/>
    <x v="1"/>
  </r>
  <r>
    <s v="TX501074"/>
    <s v="T-Shirts"/>
    <n v="42"/>
    <n v="33.299999999999997"/>
    <n v="1398.6"/>
    <d v="2025-02-11T00:00:00"/>
    <d v="2025-02-25T00:00:00"/>
    <s v="M"/>
    <x v="1"/>
    <n v="5"/>
    <s v="California"/>
    <s v="Sacramento County"/>
    <n v="14"/>
    <x v="6"/>
    <x v="1"/>
  </r>
  <r>
    <s v="TX501075"/>
    <s v="Sneakers"/>
    <n v="4"/>
    <n v="110.9"/>
    <n v="443.6"/>
    <d v="2025-02-12T00:00:00"/>
    <d v="2025-02-12T00:00:00"/>
    <s v="M"/>
    <x v="2"/>
    <n v="2"/>
    <s v="California"/>
    <s v="Sacramento County"/>
    <n v="0"/>
    <x v="6"/>
    <x v="1"/>
  </r>
  <r>
    <s v="TX501076"/>
    <s v="Sneakers"/>
    <n v="6"/>
    <n v="67.3"/>
    <n v="403.79999999999995"/>
    <d v="2025-02-12T00:00:00"/>
    <d v="2025-02-13T00:00:00"/>
    <s v="M"/>
    <x v="0"/>
    <n v="4"/>
    <s v="California"/>
    <s v="San Diego County"/>
    <n v="1"/>
    <x v="6"/>
    <x v="1"/>
  </r>
  <r>
    <s v="TX501077"/>
    <s v="Jeans"/>
    <n v="3"/>
    <n v="69.7"/>
    <n v="209.10000000000002"/>
    <d v="2025-02-12T00:00:00"/>
    <d v="2025-02-13T00:00:00"/>
    <s v="M"/>
    <x v="2"/>
    <n v="3"/>
    <s v="California"/>
    <s v="San Diego County"/>
    <n v="1"/>
    <x v="6"/>
    <x v="1"/>
  </r>
  <r>
    <s v="TX501078"/>
    <s v="Sandals"/>
    <n v="1"/>
    <n v="39.1"/>
    <n v="39.1"/>
    <d v="2025-02-12T00:00:00"/>
    <d v="2025-02-17T00:00:00"/>
    <s v="M"/>
    <x v="0"/>
    <n v="3"/>
    <s v="California"/>
    <s v="San Francisco"/>
    <n v="5"/>
    <x v="6"/>
    <x v="1"/>
  </r>
  <r>
    <s v="TX501079"/>
    <s v="Sneakers"/>
    <n v="3"/>
    <n v="208.6"/>
    <n v="625.79999999999995"/>
    <d v="2025-02-12T00:00:00"/>
    <d v="2025-02-12T00:00:00"/>
    <s v="M"/>
    <x v="4"/>
    <n v="5"/>
    <s v="California"/>
    <s v="San Francisco"/>
    <n v="0"/>
    <x v="6"/>
    <x v="1"/>
  </r>
  <r>
    <s v="TX501080"/>
    <s v="Crop Tops"/>
    <n v="3"/>
    <n v="27.8"/>
    <n v="83.4"/>
    <d v="2025-02-12T00:00:00"/>
    <d v="2025-02-13T00:00:00"/>
    <s v="M"/>
    <x v="3"/>
    <n v="3"/>
    <s v="California"/>
    <s v="Santa Clara County"/>
    <n v="1"/>
    <x v="6"/>
    <x v="1"/>
  </r>
  <r>
    <s v="TX501081"/>
    <s v="Bikinis"/>
    <n v="5"/>
    <n v="29.4"/>
    <n v="147"/>
    <d v="2025-02-12T00:00:00"/>
    <d v="2025-02-14T00:00:00"/>
    <s v="F"/>
    <x v="0"/>
    <n v="4"/>
    <s v="California"/>
    <s v="Santa Clara County"/>
    <n v="2"/>
    <x v="6"/>
    <x v="2"/>
  </r>
  <r>
    <s v="TX501082"/>
    <s v="Sundresses"/>
    <n v="2"/>
    <n v="29.2"/>
    <n v="58.4"/>
    <d v="2025-02-12T00:00:00"/>
    <d v="2025-02-14T00:00:00"/>
    <s v="F"/>
    <x v="1"/>
    <n v="5"/>
    <s v="California"/>
    <s v="Tulare County"/>
    <n v="2"/>
    <x v="6"/>
    <x v="2"/>
  </r>
  <r>
    <s v="TX501083"/>
    <s v="Bikinis"/>
    <n v="5"/>
    <n v="26.5"/>
    <n v="132.5"/>
    <d v="2025-02-12T00:00:00"/>
    <d v="2025-02-14T00:00:00"/>
    <s v="F"/>
    <x v="0"/>
    <n v="4"/>
    <s v="California"/>
    <s v="Tuolumne County"/>
    <n v="2"/>
    <x v="6"/>
    <x v="2"/>
  </r>
  <r>
    <s v="TX501084"/>
    <s v="Sandals"/>
    <n v="1"/>
    <n v="30.3"/>
    <n v="30.3"/>
    <d v="2025-02-12T00:00:00"/>
    <d v="2025-02-13T00:00:00"/>
    <s v="F"/>
    <x v="4"/>
    <n v="3"/>
    <s v="California"/>
    <s v="Ventura County"/>
    <n v="1"/>
    <x v="6"/>
    <x v="2"/>
  </r>
  <r>
    <s v="TX501085"/>
    <s v="Sunglasses"/>
    <n v="12"/>
    <n v="39.700000000000003"/>
    <n v="476.40000000000003"/>
    <d v="2025-02-12T00:00:00"/>
    <d v="2025-02-13T00:00:00"/>
    <s v="F"/>
    <x v="0"/>
    <n v="4"/>
    <s v="California"/>
    <s v="Alameda County"/>
    <n v="1"/>
    <x v="6"/>
    <x v="2"/>
  </r>
  <r>
    <s v="TX501086"/>
    <s v="Hoodies &amp; Sweatshirts"/>
    <n v="10"/>
    <n v="58.9"/>
    <n v="589"/>
    <d v="2025-02-12T00:00:00"/>
    <d v="2025-02-14T00:00:00"/>
    <s v="F"/>
    <x v="1"/>
    <n v="2"/>
    <s v="California"/>
    <s v="Alameda County"/>
    <n v="2"/>
    <x v="6"/>
    <x v="2"/>
  </r>
  <r>
    <s v="TX501087"/>
    <s v="Sneakers"/>
    <n v="2"/>
    <n v="174.1"/>
    <n v="348.2"/>
    <d v="2025-02-12T00:00:00"/>
    <d v="2025-02-14T00:00:00"/>
    <s v="F"/>
    <x v="0"/>
    <n v="3"/>
    <s v="California"/>
    <s v="Amador County"/>
    <n v="2"/>
    <x v="6"/>
    <x v="2"/>
  </r>
  <r>
    <s v="TX501088"/>
    <s v="Jeans"/>
    <n v="2"/>
    <n v="70.8"/>
    <n v="141.6"/>
    <d v="2025-02-12T00:00:00"/>
    <d v="2025-02-15T00:00:00"/>
    <s v="M"/>
    <x v="2"/>
    <n v="4"/>
    <s v="California"/>
    <s v="Kern County"/>
    <n v="3"/>
    <x v="6"/>
    <x v="1"/>
  </r>
  <r>
    <s v="TX501089"/>
    <s v="Hoodies &amp; Sweatshirts"/>
    <n v="2"/>
    <n v="57.4"/>
    <n v="114.8"/>
    <d v="2025-02-12T00:00:00"/>
    <d v="2025-02-14T00:00:00"/>
    <s v="F"/>
    <x v="1"/>
    <n v="3"/>
    <s v="California"/>
    <s v="Kings County"/>
    <n v="2"/>
    <x v="6"/>
    <x v="2"/>
  </r>
  <r>
    <s v="TX501090"/>
    <s v="Shorts"/>
    <n v="2"/>
    <n v="28.5"/>
    <n v="57"/>
    <d v="2025-02-12T00:00:00"/>
    <d v="2025-02-14T00:00:00"/>
    <s v="M"/>
    <x v="3"/>
    <n v="3"/>
    <s v="California"/>
    <s v="Los Angeles County"/>
    <n v="2"/>
    <x v="6"/>
    <x v="1"/>
  </r>
  <r>
    <s v="TX501091"/>
    <s v="Sneakers"/>
    <n v="20"/>
    <n v="106.6"/>
    <n v="2132"/>
    <d v="2025-02-12T00:00:00"/>
    <d v="2025-02-13T00:00:00"/>
    <s v=""/>
    <x v="1"/>
    <n v="2"/>
    <s v="California"/>
    <s v="Los Angeles County"/>
    <n v="1"/>
    <x v="6"/>
    <x v="0"/>
  </r>
  <r>
    <s v="TX501092"/>
    <s v="Sneakers"/>
    <n v="3"/>
    <n v="119.7"/>
    <n v="359.1"/>
    <d v="2025-02-12T00:00:00"/>
    <d v="2025-02-13T00:00:00"/>
    <s v="F"/>
    <x v="1"/>
    <n v="2"/>
    <s v="California"/>
    <s v="Los Angeles County"/>
    <n v="1"/>
    <x v="6"/>
    <x v="2"/>
  </r>
  <r>
    <s v="TX501093"/>
    <s v="Leggings"/>
    <n v="1"/>
    <n v="73.3"/>
    <n v="73.3"/>
    <d v="2025-02-12T00:00:00"/>
    <d v="2025-02-17T00:00:00"/>
    <s v="F"/>
    <x v="0"/>
    <n v="5"/>
    <s v="California"/>
    <s v="Los Angeles County"/>
    <n v="5"/>
    <x v="6"/>
    <x v="2"/>
  </r>
  <r>
    <s v="TX501094"/>
    <s v="Shorts"/>
    <n v="2"/>
    <n v="25.8"/>
    <n v="51.6"/>
    <d v="2025-02-12T00:00:00"/>
    <d v="2025-02-26T00:00:00"/>
    <s v="M"/>
    <x v="2"/>
    <n v="4"/>
    <s v="California"/>
    <s v="Los Angeles County"/>
    <n v="14"/>
    <x v="6"/>
    <x v="1"/>
  </r>
  <r>
    <s v="TX501095"/>
    <s v="Pajama Sets"/>
    <n v="3"/>
    <n v="49.1"/>
    <n v="147.30000000000001"/>
    <d v="2025-02-12T00:00:00"/>
    <d v="2025-02-14T00:00:00"/>
    <s v="F"/>
    <x v="0"/>
    <n v="4"/>
    <s v="California"/>
    <s v="Merced County"/>
    <n v="2"/>
    <x v="6"/>
    <x v="2"/>
  </r>
  <r>
    <s v="TX501096"/>
    <s v="Tank Tops"/>
    <n v="1"/>
    <n v="44.9"/>
    <n v="44.9"/>
    <d v="2025-02-12T00:00:00"/>
    <d v="2025-02-15T00:00:00"/>
    <s v="F"/>
    <x v="3"/>
    <n v="5"/>
    <s v="California"/>
    <s v="Sacramento County"/>
    <n v="3"/>
    <x v="6"/>
    <x v="2"/>
  </r>
  <r>
    <s v="TX501097"/>
    <s v="Crop Tops"/>
    <n v="7"/>
    <n v="29.9"/>
    <n v="209.29999999999998"/>
    <d v="2025-02-12T00:00:00"/>
    <d v="2025-02-13T00:00:00"/>
    <s v="F"/>
    <x v="0"/>
    <n v="4"/>
    <s v="California"/>
    <s v="Sacramento County"/>
    <n v="1"/>
    <x v="6"/>
    <x v="2"/>
  </r>
  <r>
    <s v="TX501098"/>
    <s v="Hoodies &amp; Sweatshirts"/>
    <n v="2"/>
    <n v="54.3"/>
    <n v="108.6"/>
    <d v="2025-02-13T00:00:00"/>
    <d v="2025-02-14T00:00:00"/>
    <s v="M"/>
    <x v="3"/>
    <n v="4"/>
    <s v="California"/>
    <s v="San Benito County"/>
    <n v="1"/>
    <x v="6"/>
    <x v="1"/>
  </r>
  <r>
    <s v="TX501099"/>
    <s v="Sundresses"/>
    <n v="4"/>
    <n v="57"/>
    <n v="228"/>
    <d v="2025-02-13T00:00:00"/>
    <d v="2025-02-15T00:00:00"/>
    <s v="F"/>
    <x v="0"/>
    <n v="4"/>
    <s v="California"/>
    <s v="San Diego County"/>
    <n v="2"/>
    <x v="6"/>
    <x v="2"/>
  </r>
  <r>
    <s v="TX501100"/>
    <s v="Sneakers"/>
    <n v="1"/>
    <n v="139.19999999999999"/>
    <n v="139.19999999999999"/>
    <d v="2025-02-13T00:00:00"/>
    <d v="2025-02-14T00:00:00"/>
    <s v="F"/>
    <x v="3"/>
    <n v="5"/>
    <s v="California"/>
    <s v="San Diego County"/>
    <n v="1"/>
    <x v="6"/>
    <x v="2"/>
  </r>
  <r>
    <s v="TX501101"/>
    <s v="Bikinis"/>
    <n v="1"/>
    <n v="33"/>
    <n v="33"/>
    <d v="2025-02-13T00:00:00"/>
    <d v="2025-02-16T00:00:00"/>
    <s v="F"/>
    <x v="0"/>
    <n v="5"/>
    <s v="California"/>
    <s v="San Diego County"/>
    <n v="3"/>
    <x v="6"/>
    <x v="2"/>
  </r>
  <r>
    <s v="TX501102"/>
    <s v="Maxi Dresses"/>
    <n v="6"/>
    <n v="80.2"/>
    <n v="481.20000000000005"/>
    <d v="2025-02-13T00:00:00"/>
    <d v="2025-02-15T00:00:00"/>
    <s v="M"/>
    <x v="1"/>
    <n v="2"/>
    <s v="California"/>
    <s v="San Diego County"/>
    <n v="2"/>
    <x v="6"/>
    <x v="1"/>
  </r>
  <r>
    <s v="TX501103"/>
    <s v="Leggings"/>
    <n v="8"/>
    <n v="49"/>
    <n v="392"/>
    <d v="2025-02-13T00:00:00"/>
    <d v="2025-02-14T00:00:00"/>
    <s v=""/>
    <x v="2"/>
    <n v="3"/>
    <s v="California"/>
    <s v="San Mateo County"/>
    <n v="1"/>
    <x v="6"/>
    <x v="0"/>
  </r>
  <r>
    <s v="TX501104"/>
    <s v="Tank Tops"/>
    <n v="4"/>
    <n v="104.4"/>
    <n v="417.6"/>
    <d v="2025-02-13T00:00:00"/>
    <d v="2025-02-13T00:00:00"/>
    <s v="F"/>
    <x v="0"/>
    <n v="4"/>
    <s v="California"/>
    <s v="San Mateo County"/>
    <n v="0"/>
    <x v="6"/>
    <x v="2"/>
  </r>
  <r>
    <s v="TX501105"/>
    <s v="Workout Tops"/>
    <n v="1"/>
    <n v="41.6"/>
    <n v="41.6"/>
    <d v="2025-02-13T00:00:00"/>
    <d v="2025-02-16T00:00:00"/>
    <s v="M"/>
    <x v="3"/>
    <n v="4"/>
    <s v="California"/>
    <s v="Santa Clara County"/>
    <n v="3"/>
    <x v="6"/>
    <x v="1"/>
  </r>
  <r>
    <s v="TX501106"/>
    <s v="Jewelry"/>
    <n v="2"/>
    <n v="16.399999999999999"/>
    <n v="32.799999999999997"/>
    <d v="2025-02-13T00:00:00"/>
    <d v="2025-02-14T00:00:00"/>
    <s v="O"/>
    <x v="0"/>
    <n v="5"/>
    <s v="California"/>
    <s v="Santa Clara County"/>
    <n v="1"/>
    <x v="6"/>
    <x v="3"/>
  </r>
  <r>
    <s v="TX501107"/>
    <s v="T-Shirts"/>
    <n v="2"/>
    <n v="22"/>
    <n v="44"/>
    <d v="2025-02-13T00:00:00"/>
    <d v="2025-02-14T00:00:00"/>
    <s v="M"/>
    <x v="2"/>
    <n v="5"/>
    <s v="California"/>
    <s v="Shasta County"/>
    <n v="1"/>
    <x v="6"/>
    <x v="1"/>
  </r>
  <r>
    <s v="TX501108"/>
    <s v="Crop Tops"/>
    <n v="2"/>
    <n v="33.6"/>
    <n v="67.2"/>
    <d v="2025-02-13T00:00:00"/>
    <d v="2025-02-18T00:00:00"/>
    <s v="F"/>
    <x v="0"/>
    <n v="4"/>
    <s v="California"/>
    <s v="Alameda County"/>
    <n v="5"/>
    <x v="6"/>
    <x v="2"/>
  </r>
  <r>
    <s v="TX501109"/>
    <s v="Maxi Dresses"/>
    <n v="6"/>
    <n v="43"/>
    <n v="258"/>
    <d v="2025-02-13T00:00:00"/>
    <d v="2025-02-14T00:00:00"/>
    <s v="F"/>
    <x v="2"/>
    <n v="4"/>
    <s v="California"/>
    <s v="Alameda County"/>
    <n v="1"/>
    <x v="6"/>
    <x v="2"/>
  </r>
  <r>
    <s v="TX501110"/>
    <s v="Jeans"/>
    <n v="5"/>
    <n v="108.8"/>
    <n v="544"/>
    <d v="2025-02-13T00:00:00"/>
    <d v="2025-02-16T00:00:00"/>
    <s v="F"/>
    <x v="4"/>
    <n v="5"/>
    <s v="California"/>
    <s v="Alameda County"/>
    <n v="3"/>
    <x v="6"/>
    <x v="2"/>
  </r>
  <r>
    <s v="TX501111"/>
    <s v="Shorts"/>
    <n v="9"/>
    <n v="29.3"/>
    <n v="263.7"/>
    <d v="2025-02-13T00:00:00"/>
    <d v="2025-02-15T00:00:00"/>
    <s v="M"/>
    <x v="4"/>
    <n v="5"/>
    <s v="California"/>
    <s v="Alameda County"/>
    <n v="2"/>
    <x v="6"/>
    <x v="1"/>
  </r>
  <r>
    <s v="TX501112"/>
    <s v="Sneakers"/>
    <n v="1"/>
    <n v="122.7"/>
    <n v="122.7"/>
    <d v="2025-02-13T00:00:00"/>
    <d v="2025-02-16T00:00:00"/>
    <s v="O"/>
    <x v="0"/>
    <n v="5"/>
    <s v="California"/>
    <s v="Contra Costa County"/>
    <n v="3"/>
    <x v="6"/>
    <x v="3"/>
  </r>
  <r>
    <s v="TX501113"/>
    <s v="Graphic Tees"/>
    <n v="7"/>
    <n v="22.9"/>
    <n v="160.29999999999998"/>
    <d v="2025-02-13T00:00:00"/>
    <d v="2025-02-14T00:00:00"/>
    <s v="F"/>
    <x v="0"/>
    <n v="4"/>
    <s v="California"/>
    <s v="El Dorado County"/>
    <n v="1"/>
    <x v="6"/>
    <x v="2"/>
  </r>
  <r>
    <s v="TX501114"/>
    <s v="T-Shirts"/>
    <n v="10"/>
    <n v="25.5"/>
    <n v="255"/>
    <d v="2025-02-13T00:00:00"/>
    <d v="2025-02-20T00:00:00"/>
    <s v="F"/>
    <x v="0"/>
    <n v="4"/>
    <s v="California"/>
    <s v="Imperial County"/>
    <n v="7"/>
    <x v="6"/>
    <x v="2"/>
  </r>
  <r>
    <s v="TX501115"/>
    <s v="Pajama Sets"/>
    <n v="3"/>
    <n v="23.4"/>
    <n v="70.199999999999989"/>
    <d v="2025-02-13T00:00:00"/>
    <d v="2025-02-17T00:00:00"/>
    <s v="F"/>
    <x v="0"/>
    <n v="5"/>
    <s v="California"/>
    <s v="Los Angeles County"/>
    <n v="4"/>
    <x v="6"/>
    <x v="2"/>
  </r>
  <r>
    <s v="TX501116"/>
    <s v="Sandals"/>
    <n v="8"/>
    <n v="27.4"/>
    <n v="219.2"/>
    <d v="2025-02-13T00:00:00"/>
    <d v="2025-02-16T00:00:00"/>
    <s v="F"/>
    <x v="2"/>
    <n v="4"/>
    <s v="California"/>
    <s v="Los Angeles County"/>
    <n v="3"/>
    <x v="6"/>
    <x v="2"/>
  </r>
  <r>
    <s v="TX501117"/>
    <s v="Sandals"/>
    <n v="5"/>
    <n v="68.400000000000006"/>
    <n v="342"/>
    <d v="2025-02-13T00:00:00"/>
    <d v="2025-02-14T00:00:00"/>
    <s v="F"/>
    <x v="0"/>
    <n v="4"/>
    <s v="California"/>
    <s v="Los Angeles County"/>
    <n v="1"/>
    <x v="6"/>
    <x v="2"/>
  </r>
  <r>
    <s v="TX501118"/>
    <s v="Jeans"/>
    <n v="1"/>
    <n v="51.9"/>
    <n v="51.9"/>
    <d v="2025-02-13T00:00:00"/>
    <d v="2025-02-13T00:00:00"/>
    <s v="F"/>
    <x v="0"/>
    <n v="4"/>
    <s v="California"/>
    <s v="Los Angeles County"/>
    <n v="0"/>
    <x v="6"/>
    <x v="2"/>
  </r>
  <r>
    <s v="TX501119"/>
    <s v="Shorts"/>
    <n v="5"/>
    <n v="26.4"/>
    <n v="132"/>
    <d v="2025-02-13T00:00:00"/>
    <d v="2025-02-16T00:00:00"/>
    <s v="F"/>
    <x v="0"/>
    <n v="5"/>
    <s v="California"/>
    <s v="Los Angeles County"/>
    <n v="3"/>
    <x v="6"/>
    <x v="2"/>
  </r>
  <r>
    <s v="TX501120"/>
    <s v="Casual Dresses"/>
    <n v="2"/>
    <n v="117"/>
    <n v="234"/>
    <d v="2025-02-13T00:00:00"/>
    <d v="2025-02-14T00:00:00"/>
    <s v="F"/>
    <x v="1"/>
    <n v="3"/>
    <s v="California"/>
    <s v="Los Angeles County"/>
    <n v="1"/>
    <x v="6"/>
    <x v="2"/>
  </r>
  <r>
    <s v="TX501121"/>
    <s v="Hoodies &amp; Sweatshirts"/>
    <n v="3"/>
    <n v="49.6"/>
    <n v="148.80000000000001"/>
    <d v="2025-02-14T00:00:00"/>
    <d v="2025-02-16T00:00:00"/>
    <s v="F"/>
    <x v="0"/>
    <n v="4"/>
    <s v="California"/>
    <s v="Los Angeles County"/>
    <n v="2"/>
    <x v="6"/>
    <x v="2"/>
  </r>
  <r>
    <s v="TX501122"/>
    <s v="Graphic Tees"/>
    <n v="3"/>
    <n v="38"/>
    <n v="114"/>
    <d v="2025-02-14T00:00:00"/>
    <d v="2025-02-17T00:00:00"/>
    <s v="M"/>
    <x v="2"/>
    <n v="2"/>
    <s v="California"/>
    <s v="Los Angeles County"/>
    <n v="3"/>
    <x v="6"/>
    <x v="1"/>
  </r>
  <r>
    <s v="TX501123"/>
    <s v="Shorts"/>
    <n v="3"/>
    <n v="20.6"/>
    <n v="61.800000000000004"/>
    <d v="2025-02-14T00:00:00"/>
    <d v="2025-02-16T00:00:00"/>
    <s v="F"/>
    <x v="4"/>
    <n v="5"/>
    <s v="California"/>
    <s v="Los Angeles County"/>
    <n v="2"/>
    <x v="6"/>
    <x v="2"/>
  </r>
  <r>
    <s v="TX501124"/>
    <s v="Shorts"/>
    <n v="2"/>
    <n v="16"/>
    <n v="32"/>
    <d v="2025-02-14T00:00:00"/>
    <d v="2025-02-15T00:00:00"/>
    <s v="M"/>
    <x v="1"/>
    <n v="3"/>
    <s v="California"/>
    <s v="Monterey County"/>
    <n v="1"/>
    <x v="6"/>
    <x v="1"/>
  </r>
  <r>
    <s v="TX501125"/>
    <s v="Crop Tops"/>
    <n v="4"/>
    <n v="49.3"/>
    <n v="197.2"/>
    <d v="2025-02-14T00:00:00"/>
    <d v="2025-02-15T00:00:00"/>
    <s v="F"/>
    <x v="2"/>
    <n v="4"/>
    <s v="California"/>
    <s v="Riverside County"/>
    <n v="1"/>
    <x v="6"/>
    <x v="2"/>
  </r>
  <r>
    <s v="TX501126"/>
    <s v="Sundresses"/>
    <n v="2"/>
    <n v="24.1"/>
    <n v="48.2"/>
    <d v="2025-02-14T00:00:00"/>
    <d v="2025-02-18T00:00:00"/>
    <s v="F"/>
    <x v="0"/>
    <n v="4"/>
    <s v="California"/>
    <s v="Sacramento County"/>
    <n v="4"/>
    <x v="6"/>
    <x v="2"/>
  </r>
  <r>
    <s v="TX501127"/>
    <s v="Crop Tops"/>
    <n v="8"/>
    <n v="32.700000000000003"/>
    <n v="261.60000000000002"/>
    <d v="2025-02-14T00:00:00"/>
    <d v="2025-02-15T00:00:00"/>
    <s v="F"/>
    <x v="1"/>
    <n v="4"/>
    <s v="California"/>
    <s v="Sacramento County"/>
    <n v="1"/>
    <x v="6"/>
    <x v="2"/>
  </r>
  <r>
    <s v="TX501128"/>
    <s v="Jeans"/>
    <n v="3"/>
    <n v="74.400000000000006"/>
    <n v="223.20000000000002"/>
    <d v="2025-02-14T00:00:00"/>
    <d v="2025-02-15T00:00:00"/>
    <s v="F"/>
    <x v="3"/>
    <n v="5"/>
    <s v="California"/>
    <s v="San Diego County"/>
    <n v="1"/>
    <x v="6"/>
    <x v="2"/>
  </r>
  <r>
    <s v="TX501129"/>
    <s v="Casual Dresses"/>
    <n v="1"/>
    <n v="45.6"/>
    <n v="45.6"/>
    <d v="2025-02-14T00:00:00"/>
    <d v="2025-02-18T00:00:00"/>
    <s v="F"/>
    <x v="4"/>
    <n v="4"/>
    <s v="California"/>
    <s v="San Diego County"/>
    <n v="4"/>
    <x v="6"/>
    <x v="2"/>
  </r>
  <r>
    <s v="TX501130"/>
    <s v="T-Shirts"/>
    <n v="8"/>
    <n v="19.600000000000001"/>
    <n v="156.80000000000001"/>
    <d v="2025-02-14T00:00:00"/>
    <d v="2025-02-27T00:00:00"/>
    <s v="F"/>
    <x v="0"/>
    <n v="4"/>
    <s v="California"/>
    <s v="San Diego County"/>
    <n v="13"/>
    <x v="6"/>
    <x v="2"/>
  </r>
  <r>
    <s v="TX501131"/>
    <s v="Sundresses"/>
    <n v="1"/>
    <n v="51.8"/>
    <n v="51.8"/>
    <d v="2025-02-14T00:00:00"/>
    <d v="2025-02-15T00:00:00"/>
    <s v="F"/>
    <x v="1"/>
    <n v="4"/>
    <s v="California"/>
    <s v="San Diego County"/>
    <n v="1"/>
    <x v="6"/>
    <x v="2"/>
  </r>
  <r>
    <s v="TX501132"/>
    <s v="Jeans"/>
    <n v="1"/>
    <n v="74.7"/>
    <n v="74.7"/>
    <d v="2025-02-14T00:00:00"/>
    <d v="2025-02-15T00:00:00"/>
    <s v="M"/>
    <x v="0"/>
    <n v="3"/>
    <s v="California"/>
    <s v="San Diego County"/>
    <n v="1"/>
    <x v="6"/>
    <x v="1"/>
  </r>
  <r>
    <s v="TX501133"/>
    <s v="Jewelry"/>
    <n v="3"/>
    <n v="22.4"/>
    <n v="67.199999999999989"/>
    <d v="2025-02-14T00:00:00"/>
    <d v="2025-02-15T00:00:00"/>
    <s v="F"/>
    <x v="1"/>
    <n v="5"/>
    <s v="California"/>
    <s v="San Mateo County"/>
    <n v="1"/>
    <x v="6"/>
    <x v="2"/>
  </r>
  <r>
    <s v="TX501134"/>
    <s v="Tank Tops"/>
    <n v="4"/>
    <n v="31.4"/>
    <n v="125.6"/>
    <d v="2025-02-14T00:00:00"/>
    <d v="2025-02-15T00:00:00"/>
    <s v="F"/>
    <x v="1"/>
    <n v="4"/>
    <s v="California"/>
    <s v="San Mateo County"/>
    <n v="1"/>
    <x v="6"/>
    <x v="2"/>
  </r>
  <r>
    <s v="TX501135"/>
    <s v="Jeans"/>
    <n v="1"/>
    <n v="94"/>
    <n v="94"/>
    <d v="2025-02-14T00:00:00"/>
    <d v="2025-02-14T00:00:00"/>
    <s v="F"/>
    <x v="1"/>
    <n v="5"/>
    <s v="California"/>
    <s v="Santa Barbara County"/>
    <n v="0"/>
    <x v="6"/>
    <x v="2"/>
  </r>
  <r>
    <s v="TX501136"/>
    <s v="Bikinis"/>
    <n v="1"/>
    <n v="22.3"/>
    <n v="22.3"/>
    <d v="2025-02-14T00:00:00"/>
    <d v="2025-02-15T00:00:00"/>
    <s v="M"/>
    <x v="4"/>
    <n v="4"/>
    <s v="California"/>
    <s v="Tulare County"/>
    <n v="1"/>
    <x v="6"/>
    <x v="1"/>
  </r>
  <r>
    <s v="TX501137"/>
    <s v="Shorts"/>
    <n v="1"/>
    <n v="21.9"/>
    <n v="21.9"/>
    <d v="2025-02-14T00:00:00"/>
    <d v="2025-02-17T00:00:00"/>
    <s v="F"/>
    <x v="2"/>
    <n v="4"/>
    <s v="California"/>
    <s v="Alameda County"/>
    <n v="3"/>
    <x v="6"/>
    <x v="2"/>
  </r>
  <r>
    <s v="TX501138"/>
    <s v="Pajama Sets"/>
    <n v="3"/>
    <n v="27"/>
    <n v="81"/>
    <d v="2025-02-14T00:00:00"/>
    <d v="2025-02-16T00:00:00"/>
    <s v="F"/>
    <x v="4"/>
    <n v="5"/>
    <s v="California"/>
    <s v="Fresno County"/>
    <n v="2"/>
    <x v="6"/>
    <x v="2"/>
  </r>
  <r>
    <s v="TX501139"/>
    <s v="Sneakers"/>
    <n v="4"/>
    <n v="149.6"/>
    <n v="598.4"/>
    <d v="2025-02-14T00:00:00"/>
    <d v="2025-02-14T00:00:00"/>
    <s v="F"/>
    <x v="4"/>
    <n v="4"/>
    <s v="California"/>
    <s v="Kern County"/>
    <n v="0"/>
    <x v="6"/>
    <x v="2"/>
  </r>
  <r>
    <s v="TX501140"/>
    <s v="Sneakers"/>
    <n v="4"/>
    <n v="129.1"/>
    <n v="516.4"/>
    <d v="2025-02-14T00:00:00"/>
    <d v="2025-02-24T00:00:00"/>
    <s v="M"/>
    <x v="0"/>
    <n v="3"/>
    <s v="California"/>
    <s v="Los Angeles County"/>
    <n v="10"/>
    <x v="6"/>
    <x v="1"/>
  </r>
  <r>
    <s v="TX501141"/>
    <s v="Tank Tops"/>
    <n v="12"/>
    <n v="40.4"/>
    <n v="484.79999999999995"/>
    <d v="2025-02-14T00:00:00"/>
    <d v="2025-02-15T00:00:00"/>
    <s v="M"/>
    <x v="1"/>
    <n v="3"/>
    <s v="California"/>
    <s v="Los Angeles County"/>
    <n v="1"/>
    <x v="6"/>
    <x v="1"/>
  </r>
  <r>
    <s v="TX501142"/>
    <s v="Graphic Tees"/>
    <n v="3"/>
    <n v="48.5"/>
    <n v="145.5"/>
    <d v="2025-02-14T00:00:00"/>
    <d v="2025-02-16T00:00:00"/>
    <s v="F"/>
    <x v="0"/>
    <n v="2"/>
    <s v="California"/>
    <s v="Los Angeles County"/>
    <n v="2"/>
    <x v="6"/>
    <x v="2"/>
  </r>
  <r>
    <s v="TX501143"/>
    <s v="Sundresses"/>
    <n v="2"/>
    <n v="37.6"/>
    <n v="75.2"/>
    <d v="2025-02-14T00:00:00"/>
    <d v="2025-02-16T00:00:00"/>
    <s v="F"/>
    <x v="1"/>
    <n v="5"/>
    <s v="California"/>
    <s v="Los Angeles County"/>
    <n v="2"/>
    <x v="6"/>
    <x v="2"/>
  </r>
  <r>
    <s v="TX501144"/>
    <s v="T-Shirts"/>
    <n v="2"/>
    <n v="19.600000000000001"/>
    <n v="39.200000000000003"/>
    <d v="2025-02-14T00:00:00"/>
    <d v="2025-02-15T00:00:00"/>
    <s v="M"/>
    <x v="3"/>
    <n v="2"/>
    <s v="California"/>
    <s v="Marin County"/>
    <n v="1"/>
    <x v="6"/>
    <x v="1"/>
  </r>
  <r>
    <s v="TX501145"/>
    <s v="T-Shirts"/>
    <n v="5"/>
    <n v="18.5"/>
    <n v="92.5"/>
    <d v="2025-02-14T00:00:00"/>
    <d v="2025-02-15T00:00:00"/>
    <s v="F"/>
    <x v="2"/>
    <n v="3"/>
    <s v="California"/>
    <s v="Sacramento County"/>
    <n v="1"/>
    <x v="6"/>
    <x v="2"/>
  </r>
  <r>
    <s v="TX501146"/>
    <s v="Sandals"/>
    <n v="3"/>
    <n v="25.5"/>
    <n v="76.5"/>
    <d v="2025-02-14T00:00:00"/>
    <d v="2025-02-16T00:00:00"/>
    <s v="F"/>
    <x v="4"/>
    <n v="3"/>
    <s v="California"/>
    <s v="Sacramento County"/>
    <n v="2"/>
    <x v="6"/>
    <x v="2"/>
  </r>
  <r>
    <s v="TX501147"/>
    <s v="Sneakers"/>
    <n v="2"/>
    <n v="94.7"/>
    <n v="189.4"/>
    <d v="2025-02-14T00:00:00"/>
    <d v="2025-02-15T00:00:00"/>
    <s v="F"/>
    <x v="2"/>
    <n v="4"/>
    <s v="California"/>
    <s v="San Benito County"/>
    <n v="1"/>
    <x v="6"/>
    <x v="2"/>
  </r>
  <r>
    <s v="TX501148"/>
    <s v="Tank Tops"/>
    <n v="6"/>
    <n v="38.799999999999997"/>
    <n v="232.79999999999998"/>
    <d v="2025-02-14T00:00:00"/>
    <d v="2025-02-19T00:00:00"/>
    <s v="F"/>
    <x v="2"/>
    <n v="5"/>
    <s v="California"/>
    <s v="San Diego County"/>
    <n v="5"/>
    <x v="6"/>
    <x v="2"/>
  </r>
  <r>
    <s v="TX501149"/>
    <s v="Sundresses"/>
    <n v="2"/>
    <n v="49.4"/>
    <n v="98.8"/>
    <d v="2025-02-15T00:00:00"/>
    <d v="2025-02-23T00:00:00"/>
    <s v="M"/>
    <x v="4"/>
    <n v="3"/>
    <s v="California"/>
    <s v="San Diego County"/>
    <n v="8"/>
    <x v="6"/>
    <x v="1"/>
  </r>
  <r>
    <s v="TX501150"/>
    <s v="Hoodies &amp; Sweatshirts"/>
    <n v="3"/>
    <n v="68"/>
    <n v="204"/>
    <d v="2025-02-15T00:00:00"/>
    <d v="2025-02-18T00:00:00"/>
    <s v="M"/>
    <x v="0"/>
    <n v="5"/>
    <s v="California"/>
    <s v="San Diego County"/>
    <n v="3"/>
    <x v="6"/>
    <x v="1"/>
  </r>
  <r>
    <s v="TX501151"/>
    <s v="Crop Tops"/>
    <n v="7"/>
    <n v="63.7"/>
    <n v="445.90000000000003"/>
    <d v="2025-02-15T00:00:00"/>
    <d v="2025-02-16T00:00:00"/>
    <s v="F"/>
    <x v="2"/>
    <n v="5"/>
    <s v="California"/>
    <s v="San Diego County"/>
    <n v="1"/>
    <x v="6"/>
    <x v="2"/>
  </r>
  <r>
    <s v="TX501152"/>
    <s v="Bikinis"/>
    <n v="2"/>
    <n v="66.2"/>
    <n v="132.4"/>
    <d v="2025-02-15T00:00:00"/>
    <d v="2025-02-16T00:00:00"/>
    <s v="F"/>
    <x v="4"/>
    <n v="5"/>
    <s v="California"/>
    <s v="San Francisco"/>
    <n v="1"/>
    <x v="6"/>
    <x v="2"/>
  </r>
  <r>
    <s v="TX501153"/>
    <s v="Casual Dresses"/>
    <n v="3"/>
    <n v="32.299999999999997"/>
    <n v="96.899999999999991"/>
    <d v="2025-02-15T00:00:00"/>
    <d v="2025-02-16T00:00:00"/>
    <s v="O"/>
    <x v="2"/>
    <n v="3"/>
    <s v="California"/>
    <s v="San Mateo County"/>
    <n v="1"/>
    <x v="6"/>
    <x v="3"/>
  </r>
  <r>
    <s v="TX501154"/>
    <s v="Graphic Tees"/>
    <n v="2"/>
    <n v="66.900000000000006"/>
    <n v="133.80000000000001"/>
    <d v="2025-02-15T00:00:00"/>
    <d v="2025-02-18T00:00:00"/>
    <s v="M"/>
    <x v="1"/>
    <n v="4"/>
    <s v="California"/>
    <s v="Santa Clara County"/>
    <n v="3"/>
    <x v="6"/>
    <x v="1"/>
  </r>
  <r>
    <s v="TX501155"/>
    <s v="Graphic Tees"/>
    <n v="12"/>
    <n v="25.2"/>
    <n v="302.39999999999998"/>
    <d v="2025-02-15T00:00:00"/>
    <d v="2025-02-19T00:00:00"/>
    <s v="F"/>
    <x v="0"/>
    <n v="3"/>
    <s v="California"/>
    <s v="Santa Clara County"/>
    <n v="4"/>
    <x v="6"/>
    <x v="2"/>
  </r>
  <r>
    <s v="TX501156"/>
    <s v="Bikinis"/>
    <n v="6"/>
    <n v="29.5"/>
    <n v="177"/>
    <d v="2025-02-15T00:00:00"/>
    <d v="2025-02-16T00:00:00"/>
    <s v="M"/>
    <x v="2"/>
    <n v="4"/>
    <s v="California"/>
    <s v="Santa Clara County"/>
    <n v="1"/>
    <x v="6"/>
    <x v="1"/>
  </r>
  <r>
    <s v="TX501157"/>
    <s v="T-Shirts"/>
    <n v="5"/>
    <n v="21.6"/>
    <n v="108"/>
    <d v="2025-02-15T00:00:00"/>
    <d v="2025-02-17T00:00:00"/>
    <s v="F"/>
    <x v="0"/>
    <n v="5"/>
    <s v="California"/>
    <s v="Santa Cruz County"/>
    <n v="2"/>
    <x v="6"/>
    <x v="2"/>
  </r>
  <r>
    <s v="TX501158"/>
    <s v="Casual Dresses"/>
    <n v="3"/>
    <n v="69"/>
    <n v="207"/>
    <d v="2025-02-15T00:00:00"/>
    <d v="2025-02-16T00:00:00"/>
    <s v="F"/>
    <x v="0"/>
    <n v="4"/>
    <s v="California"/>
    <s v="Sonoma County"/>
    <n v="1"/>
    <x v="6"/>
    <x v="2"/>
  </r>
  <r>
    <s v="TX501159"/>
    <s v="Hoodies &amp; Sweatshirts"/>
    <n v="2"/>
    <n v="115"/>
    <n v="230"/>
    <d v="2025-02-15T00:00:00"/>
    <d v="2025-02-19T00:00:00"/>
    <s v="M"/>
    <x v="0"/>
    <n v="5"/>
    <s v="California"/>
    <s v="Sonoma County"/>
    <n v="4"/>
    <x v="6"/>
    <x v="1"/>
  </r>
  <r>
    <s v="TX501160"/>
    <s v="Sneakers"/>
    <n v="2"/>
    <n v="109.3"/>
    <n v="218.6"/>
    <d v="2025-02-15T00:00:00"/>
    <d v="2025-02-17T00:00:00"/>
    <s v=""/>
    <x v="3"/>
    <n v="3"/>
    <s v="California"/>
    <s v="Stanislaus County"/>
    <n v="2"/>
    <x v="6"/>
    <x v="0"/>
  </r>
  <r>
    <s v="TX501161"/>
    <s v="Sundresses"/>
    <n v="2"/>
    <n v="66.599999999999994"/>
    <n v="133.19999999999999"/>
    <d v="2025-02-15T00:00:00"/>
    <d v="2025-02-18T00:00:00"/>
    <s v=""/>
    <x v="4"/>
    <n v="3"/>
    <s v="California"/>
    <s v="Stanislaus County"/>
    <n v="3"/>
    <x v="6"/>
    <x v="0"/>
  </r>
  <r>
    <s v="TX501162"/>
    <s v="Casual Dresses"/>
    <n v="5"/>
    <n v="47.7"/>
    <n v="238.5"/>
    <d v="2025-02-15T00:00:00"/>
    <d v="2025-02-16T00:00:00"/>
    <s v="M"/>
    <x v="3"/>
    <n v="5"/>
    <s v="California"/>
    <s v="Alameda County"/>
    <n v="1"/>
    <x v="6"/>
    <x v="1"/>
  </r>
  <r>
    <s v="TX501163"/>
    <s v="T-Shirts"/>
    <n v="2"/>
    <n v="46"/>
    <n v="92"/>
    <d v="2025-02-15T00:00:00"/>
    <d v="2025-02-16T00:00:00"/>
    <s v="F"/>
    <x v="4"/>
    <n v="2"/>
    <s v="California"/>
    <s v="Kern County"/>
    <n v="1"/>
    <x v="6"/>
    <x v="2"/>
  </r>
  <r>
    <s v="TX501164"/>
    <s v="Tank Tops"/>
    <n v="6"/>
    <n v="39.299999999999997"/>
    <n v="235.79999999999998"/>
    <d v="2025-02-15T00:00:00"/>
    <d v="2025-02-17T00:00:00"/>
    <s v="M"/>
    <x v="3"/>
    <n v="5"/>
    <s v="California"/>
    <s v="Los Angeles County"/>
    <n v="2"/>
    <x v="6"/>
    <x v="1"/>
  </r>
  <r>
    <s v="TX501165"/>
    <s v="Sundresses"/>
    <n v="1"/>
    <n v="70.2"/>
    <n v="70.2"/>
    <d v="2025-02-15T00:00:00"/>
    <d v="2025-02-16T00:00:00"/>
    <s v="F"/>
    <x v="0"/>
    <n v="2"/>
    <s v="California"/>
    <s v="Los Angeles County"/>
    <n v="1"/>
    <x v="6"/>
    <x v="2"/>
  </r>
  <r>
    <s v="TX501166"/>
    <s v="Workout Tops"/>
    <n v="4"/>
    <n v="71.5"/>
    <n v="286"/>
    <d v="2025-02-15T00:00:00"/>
    <d v="2025-02-15T00:00:00"/>
    <s v="F"/>
    <x v="1"/>
    <n v="5"/>
    <s v="California"/>
    <s v="Los Angeles County"/>
    <n v="0"/>
    <x v="6"/>
    <x v="2"/>
  </r>
  <r>
    <s v="TX501167"/>
    <s v="Bikinis"/>
    <n v="7"/>
    <n v="31"/>
    <n v="217"/>
    <d v="2025-02-15T00:00:00"/>
    <d v="2025-02-22T00:00:00"/>
    <s v="F"/>
    <x v="3"/>
    <n v="5"/>
    <s v="California"/>
    <s v="Los Angeles County"/>
    <n v="7"/>
    <x v="6"/>
    <x v="2"/>
  </r>
  <r>
    <s v="TX501168"/>
    <s v="Sneakers"/>
    <n v="5"/>
    <n v="68.2"/>
    <n v="341"/>
    <d v="2025-02-15T00:00:00"/>
    <d v="2025-02-20T00:00:00"/>
    <s v="F"/>
    <x v="0"/>
    <n v="5"/>
    <s v="California"/>
    <s v="Los Angeles County"/>
    <n v="5"/>
    <x v="6"/>
    <x v="2"/>
  </r>
  <r>
    <s v="TX501169"/>
    <s v="Sneakers"/>
    <n v="1"/>
    <n v="91.4"/>
    <n v="91.4"/>
    <d v="2025-02-15T00:00:00"/>
    <d v="2025-02-19T00:00:00"/>
    <s v="F"/>
    <x v="1"/>
    <n v="5"/>
    <s v="California"/>
    <s v="Sacramento County"/>
    <n v="4"/>
    <x v="6"/>
    <x v="2"/>
  </r>
  <r>
    <s v="TX501170"/>
    <s v="Jeans"/>
    <n v="10"/>
    <n v="112.9"/>
    <n v="1129"/>
    <d v="2025-02-15T00:00:00"/>
    <d v="2025-02-16T00:00:00"/>
    <s v="F"/>
    <x v="0"/>
    <n v="4"/>
    <s v="California"/>
    <s v="Sacramento County"/>
    <n v="1"/>
    <x v="6"/>
    <x v="2"/>
  </r>
  <r>
    <s v="TX501171"/>
    <s v="Pajama Sets"/>
    <n v="9"/>
    <n v="33.700000000000003"/>
    <n v="303.3"/>
    <d v="2025-02-15T00:00:00"/>
    <d v="2025-02-16T00:00:00"/>
    <s v="F"/>
    <x v="1"/>
    <n v="5"/>
    <s v="California"/>
    <s v="San Diego County"/>
    <n v="1"/>
    <x v="6"/>
    <x v="2"/>
  </r>
  <r>
    <s v="TX501172"/>
    <s v="Crop Tops"/>
    <n v="10"/>
    <n v="35.299999999999997"/>
    <n v="353"/>
    <d v="2025-02-15T00:00:00"/>
    <d v="2025-02-17T00:00:00"/>
    <s v="M"/>
    <x v="2"/>
    <n v="4"/>
    <s v="California"/>
    <s v="San Diego County"/>
    <n v="2"/>
    <x v="6"/>
    <x v="1"/>
  </r>
  <r>
    <s v="TX501173"/>
    <s v="Leggings"/>
    <n v="3"/>
    <n v="45.6"/>
    <n v="136.80000000000001"/>
    <d v="2025-02-15T00:00:00"/>
    <d v="2025-02-19T00:00:00"/>
    <s v="M"/>
    <x v="3"/>
    <n v="4"/>
    <s v="California"/>
    <s v="San Diego County"/>
    <n v="4"/>
    <x v="6"/>
    <x v="1"/>
  </r>
  <r>
    <s v="TX501174"/>
    <s v="Hoodies &amp; Sweatshirts"/>
    <n v="7"/>
    <n v="47.1"/>
    <n v="329.7"/>
    <d v="2025-02-15T00:00:00"/>
    <d v="2025-02-16T00:00:00"/>
    <s v="F"/>
    <x v="4"/>
    <n v="5"/>
    <s v="California"/>
    <s v="San Mateo County"/>
    <n v="1"/>
    <x v="6"/>
    <x v="2"/>
  </r>
  <r>
    <s v="TX501175"/>
    <s v="T-Shirts"/>
    <n v="5"/>
    <n v="16.2"/>
    <n v="81"/>
    <d v="2025-02-15T00:00:00"/>
    <d v="2025-02-17T00:00:00"/>
    <s v="F"/>
    <x v="3"/>
    <n v="5"/>
    <s v="California"/>
    <s v="Stanislaus County"/>
    <n v="2"/>
    <x v="6"/>
    <x v="2"/>
  </r>
  <r>
    <s v="TX501176"/>
    <s v="Tank Tops"/>
    <n v="2"/>
    <n v="159.69999999999999"/>
    <n v="319.39999999999998"/>
    <d v="2025-02-16T00:00:00"/>
    <d v="2025-02-17T00:00:00"/>
    <s v="M"/>
    <x v="4"/>
    <n v="4"/>
    <s v="California"/>
    <s v="Ventura County"/>
    <n v="1"/>
    <x v="6"/>
    <x v="1"/>
  </r>
  <r>
    <s v="TX501177"/>
    <s v="T-Shirts"/>
    <n v="4"/>
    <n v="19"/>
    <n v="76"/>
    <d v="2025-02-16T00:00:00"/>
    <d v="2025-02-23T00:00:00"/>
    <s v="F"/>
    <x v="2"/>
    <n v="5"/>
    <s v="California"/>
    <s v="Alameda County"/>
    <n v="7"/>
    <x v="6"/>
    <x v="2"/>
  </r>
  <r>
    <s v="TX501178"/>
    <s v="Jeans"/>
    <n v="6"/>
    <n v="91.1"/>
    <n v="546.59999999999991"/>
    <d v="2025-02-16T00:00:00"/>
    <d v="2025-02-25T00:00:00"/>
    <s v="F"/>
    <x v="4"/>
    <n v="4"/>
    <s v="California"/>
    <s v="Alameda County"/>
    <n v="9"/>
    <x v="6"/>
    <x v="2"/>
  </r>
  <r>
    <s v="TX501179"/>
    <s v="Sneakers"/>
    <n v="5"/>
    <n v="94.1"/>
    <n v="470.5"/>
    <d v="2025-02-16T00:00:00"/>
    <d v="2025-02-19T00:00:00"/>
    <s v=""/>
    <x v="1"/>
    <n v="3"/>
    <s v="California"/>
    <s v="Alameda County"/>
    <n v="3"/>
    <x v="6"/>
    <x v="0"/>
  </r>
  <r>
    <s v="TX501180"/>
    <s v="Sundresses"/>
    <n v="9"/>
    <n v="21.1"/>
    <n v="189.9"/>
    <d v="2025-02-16T00:00:00"/>
    <d v="2025-02-17T00:00:00"/>
    <s v="F"/>
    <x v="4"/>
    <n v="5"/>
    <s v="California"/>
    <s v="Butte County"/>
    <n v="1"/>
    <x v="6"/>
    <x v="2"/>
  </r>
  <r>
    <s v="TX501181"/>
    <s v="T-Shirts"/>
    <n v="7"/>
    <n v="15.3"/>
    <n v="107.10000000000001"/>
    <d v="2025-02-16T00:00:00"/>
    <d v="2025-02-24T00:00:00"/>
    <s v="F"/>
    <x v="2"/>
    <n v="4"/>
    <s v="California"/>
    <s v="Contra Costa County"/>
    <n v="8"/>
    <x v="6"/>
    <x v="2"/>
  </r>
  <r>
    <s v="TX501182"/>
    <s v="Crop Tops"/>
    <n v="4"/>
    <n v="21.3"/>
    <n v="85.2"/>
    <d v="2025-02-16T00:00:00"/>
    <d v="2025-02-19T00:00:00"/>
    <s v="M"/>
    <x v="1"/>
    <n v="4"/>
    <s v="California"/>
    <s v="Los Angeles County"/>
    <n v="3"/>
    <x v="6"/>
    <x v="1"/>
  </r>
  <r>
    <s v="TX501183"/>
    <s v="Shorts"/>
    <n v="2"/>
    <n v="23.2"/>
    <n v="46.4"/>
    <d v="2025-02-16T00:00:00"/>
    <d v="2025-02-16T00:00:00"/>
    <s v=""/>
    <x v="3"/>
    <n v="3"/>
    <s v="California"/>
    <s v="Los Angeles County"/>
    <n v="0"/>
    <x v="6"/>
    <x v="0"/>
  </r>
  <r>
    <s v="TX501184"/>
    <s v="Graphic Tees"/>
    <n v="3"/>
    <n v="25.7"/>
    <n v="77.099999999999994"/>
    <d v="2025-02-16T00:00:00"/>
    <d v="2025-02-17T00:00:00"/>
    <s v="M"/>
    <x v="4"/>
    <n v="4"/>
    <s v="California"/>
    <s v="Los Angeles County"/>
    <n v="1"/>
    <x v="6"/>
    <x v="1"/>
  </r>
  <r>
    <s v="TX501185"/>
    <s v="Shorts"/>
    <n v="9"/>
    <n v="31.6"/>
    <n v="284.40000000000003"/>
    <d v="2025-02-16T00:00:00"/>
    <d v="2025-02-18T00:00:00"/>
    <s v="F"/>
    <x v="0"/>
    <n v="4"/>
    <s v="California"/>
    <s v="Los Angeles County"/>
    <n v="2"/>
    <x v="6"/>
    <x v="2"/>
  </r>
  <r>
    <s v="TX501186"/>
    <s v="Jeans"/>
    <n v="1"/>
    <n v="64.2"/>
    <n v="64.2"/>
    <d v="2025-02-16T00:00:00"/>
    <d v="2025-02-21T00:00:00"/>
    <s v="M"/>
    <x v="0"/>
    <n v="4"/>
    <s v="California"/>
    <s v="Los Angeles County"/>
    <n v="5"/>
    <x v="6"/>
    <x v="1"/>
  </r>
  <r>
    <s v="TX501187"/>
    <s v="T-Shirts"/>
    <n v="2"/>
    <n v="55.8"/>
    <n v="111.6"/>
    <d v="2025-02-16T00:00:00"/>
    <d v="2025-02-18T00:00:00"/>
    <s v=""/>
    <x v="0"/>
    <n v="4"/>
    <s v="California"/>
    <s v="Los Angeles County"/>
    <n v="2"/>
    <x v="6"/>
    <x v="0"/>
  </r>
  <r>
    <s v="TX501188"/>
    <s v="T-Shirts"/>
    <n v="2"/>
    <n v="28.1"/>
    <n v="56.2"/>
    <d v="2025-02-16T00:00:00"/>
    <d v="2025-02-17T00:00:00"/>
    <s v="F"/>
    <x v="4"/>
    <n v="3"/>
    <s v="California"/>
    <s v="Los Angeles County"/>
    <n v="1"/>
    <x v="6"/>
    <x v="2"/>
  </r>
  <r>
    <s v="TX501189"/>
    <s v="Shorts"/>
    <n v="2"/>
    <n v="11.6"/>
    <n v="23.2"/>
    <d v="2025-02-16T00:00:00"/>
    <d v="2025-02-18T00:00:00"/>
    <s v="F"/>
    <x v="1"/>
    <n v="4"/>
    <s v="California"/>
    <s v="Merced County"/>
    <n v="2"/>
    <x v="6"/>
    <x v="2"/>
  </r>
  <r>
    <s v="TX501190"/>
    <s v="Sandals"/>
    <n v="3"/>
    <n v="50.4"/>
    <n v="151.19999999999999"/>
    <d v="2025-02-16T00:00:00"/>
    <d v="2025-02-17T00:00:00"/>
    <s v="M"/>
    <x v="4"/>
    <n v="5"/>
    <s v="California"/>
    <s v="Orange County"/>
    <n v="1"/>
    <x v="6"/>
    <x v="1"/>
  </r>
  <r>
    <s v="TX501191"/>
    <s v="Jeans"/>
    <n v="6"/>
    <n v="48.3"/>
    <n v="289.79999999999995"/>
    <d v="2025-02-16T00:00:00"/>
    <d v="2025-02-20T00:00:00"/>
    <s v="F"/>
    <x v="0"/>
    <n v="4"/>
    <s v="California"/>
    <s v="Orange County"/>
    <n v="4"/>
    <x v="6"/>
    <x v="2"/>
  </r>
  <r>
    <s v="TX501192"/>
    <s v="Pajama Sets"/>
    <n v="7"/>
    <n v="32.200000000000003"/>
    <n v="225.40000000000003"/>
    <d v="2025-02-16T00:00:00"/>
    <d v="2025-02-18T00:00:00"/>
    <s v="F"/>
    <x v="2"/>
    <n v="4"/>
    <s v="California"/>
    <s v="Orange County"/>
    <n v="2"/>
    <x v="6"/>
    <x v="2"/>
  </r>
  <r>
    <s v="TX501193"/>
    <s v="Hoodies &amp; Sweatshirts"/>
    <n v="28"/>
    <n v="48.5"/>
    <n v="1358"/>
    <d v="2025-02-16T00:00:00"/>
    <d v="2025-02-17T00:00:00"/>
    <s v="M"/>
    <x v="0"/>
    <n v="4"/>
    <s v="California"/>
    <s v="Placer County"/>
    <n v="1"/>
    <x v="6"/>
    <x v="1"/>
  </r>
  <r>
    <s v="TX501194"/>
    <s v="Sneakers"/>
    <n v="5"/>
    <n v="62"/>
    <n v="310"/>
    <d v="2025-02-16T00:00:00"/>
    <d v="2025-02-19T00:00:00"/>
    <s v="F"/>
    <x v="1"/>
    <n v="4"/>
    <s v="California"/>
    <s v="Sacramento County"/>
    <n v="3"/>
    <x v="6"/>
    <x v="2"/>
  </r>
  <r>
    <s v="TX501195"/>
    <s v="T-Shirts"/>
    <n v="3"/>
    <n v="32.1"/>
    <n v="96.300000000000011"/>
    <d v="2025-02-17T00:00:00"/>
    <d v="2025-02-19T00:00:00"/>
    <s v="M"/>
    <x v="0"/>
    <n v="4"/>
    <s v="California"/>
    <s v="Sacramento County"/>
    <n v="2"/>
    <x v="7"/>
    <x v="1"/>
  </r>
  <r>
    <s v="TX501196"/>
    <s v="Casual Dresses"/>
    <n v="3"/>
    <n v="106.1"/>
    <n v="318.29999999999995"/>
    <d v="2025-02-17T00:00:00"/>
    <d v="2025-02-19T00:00:00"/>
    <s v="M"/>
    <x v="0"/>
    <n v="3"/>
    <s v="California"/>
    <s v="San Bernardino County"/>
    <n v="2"/>
    <x v="7"/>
    <x v="1"/>
  </r>
  <r>
    <s v="TX501197"/>
    <s v="Bikinis"/>
    <n v="3"/>
    <n v="23.5"/>
    <n v="70.5"/>
    <d v="2025-02-17T00:00:00"/>
    <d v="2025-02-20T00:00:00"/>
    <s v="M"/>
    <x v="0"/>
    <n v="2"/>
    <s v="California"/>
    <s v="San Bernardino County"/>
    <n v="3"/>
    <x v="7"/>
    <x v="1"/>
  </r>
  <r>
    <s v="TX501198"/>
    <s v="Tank Tops"/>
    <n v="2"/>
    <n v="35.6"/>
    <n v="71.2"/>
    <d v="2025-02-17T00:00:00"/>
    <d v="2025-02-22T00:00:00"/>
    <s v="M"/>
    <x v="4"/>
    <n v="4"/>
    <s v="California"/>
    <s v="San Diego County"/>
    <n v="5"/>
    <x v="7"/>
    <x v="1"/>
  </r>
  <r>
    <s v="TX501199"/>
    <s v="Tank Tops"/>
    <n v="2"/>
    <n v="63.5"/>
    <n v="127"/>
    <d v="2025-02-17T00:00:00"/>
    <d v="2025-02-17T00:00:00"/>
    <s v="F"/>
    <x v="1"/>
    <n v="5"/>
    <s v="California"/>
    <s v="San Diego County"/>
    <n v="0"/>
    <x v="7"/>
    <x v="2"/>
  </r>
  <r>
    <s v="TX501200"/>
    <s v="Jeans"/>
    <n v="7"/>
    <n v="82.9"/>
    <n v="580.30000000000007"/>
    <d v="2025-02-17T00:00:00"/>
    <d v="2025-02-22T00:00:00"/>
    <s v="F"/>
    <x v="4"/>
    <n v="4"/>
    <s v="California"/>
    <s v="San Mateo County"/>
    <n v="5"/>
    <x v="7"/>
    <x v="2"/>
  </r>
  <r>
    <s v="TX501201"/>
    <s v="Jeans"/>
    <n v="2"/>
    <n v="83.6"/>
    <n v="167.2"/>
    <d v="2025-02-17T00:00:00"/>
    <d v="2025-02-22T00:00:00"/>
    <s v="F"/>
    <x v="0"/>
    <n v="4"/>
    <s v="California"/>
    <s v="Santa Clara County"/>
    <n v="5"/>
    <x v="7"/>
    <x v="2"/>
  </r>
  <r>
    <s v="TX501202"/>
    <s v="Graphic Tees"/>
    <n v="2"/>
    <n v="29.4"/>
    <n v="58.8"/>
    <d v="2025-02-17T00:00:00"/>
    <d v="2025-02-17T00:00:00"/>
    <s v="F"/>
    <x v="0"/>
    <n v="3"/>
    <s v="California"/>
    <s v="Siskiyou County"/>
    <n v="0"/>
    <x v="7"/>
    <x v="2"/>
  </r>
  <r>
    <s v="TX501203"/>
    <s v="Sneakers"/>
    <n v="3"/>
    <n v="107.1"/>
    <n v="321.29999999999995"/>
    <d v="2025-02-17T00:00:00"/>
    <d v="2025-02-21T00:00:00"/>
    <s v="F"/>
    <x v="2"/>
    <n v="4"/>
    <s v="California"/>
    <s v="Tulare County"/>
    <n v="4"/>
    <x v="7"/>
    <x v="2"/>
  </r>
  <r>
    <s v="TX501204"/>
    <s v="Sneakers"/>
    <n v="1"/>
    <n v="62.7"/>
    <n v="62.7"/>
    <d v="2025-02-17T00:00:00"/>
    <d v="2025-02-21T00:00:00"/>
    <s v="M"/>
    <x v="1"/>
    <n v="4"/>
    <s v="California"/>
    <s v="Alameda County"/>
    <n v="4"/>
    <x v="7"/>
    <x v="1"/>
  </r>
  <r>
    <s v="TX501205"/>
    <s v="Maxi Dresses"/>
    <n v="1"/>
    <n v="41.6"/>
    <n v="41.6"/>
    <d v="2025-02-17T00:00:00"/>
    <d v="2025-02-18T00:00:00"/>
    <s v="M"/>
    <x v="0"/>
    <n v="3"/>
    <s v="California"/>
    <s v="Contra Costa County"/>
    <n v="1"/>
    <x v="7"/>
    <x v="1"/>
  </r>
  <r>
    <s v="TX501206"/>
    <s v="Jeans"/>
    <n v="1"/>
    <n v="44.2"/>
    <n v="44.2"/>
    <d v="2025-02-17T00:00:00"/>
    <d v="2025-02-18T00:00:00"/>
    <s v="O"/>
    <x v="0"/>
    <n v="3"/>
    <s v="California"/>
    <s v="Contra Costa County"/>
    <n v="1"/>
    <x v="7"/>
    <x v="3"/>
  </r>
  <r>
    <s v="TX501207"/>
    <s v="Graphic Tees"/>
    <n v="6"/>
    <n v="40.4"/>
    <n v="242.39999999999998"/>
    <d v="2025-02-17T00:00:00"/>
    <d v="2025-03-02T00:00:00"/>
    <s v="F"/>
    <x v="2"/>
    <n v="4"/>
    <s v="California"/>
    <s v="Kern County"/>
    <n v="13"/>
    <x v="7"/>
    <x v="2"/>
  </r>
  <r>
    <s v="TX501208"/>
    <s v="Crop Tops"/>
    <n v="6"/>
    <n v="59.6"/>
    <n v="357.6"/>
    <d v="2025-02-17T00:00:00"/>
    <d v="2025-02-18T00:00:00"/>
    <s v="F"/>
    <x v="4"/>
    <n v="4"/>
    <s v="California"/>
    <s v="Kings County"/>
    <n v="1"/>
    <x v="7"/>
    <x v="2"/>
  </r>
  <r>
    <s v="TX501209"/>
    <s v="Pajama Sets"/>
    <n v="12"/>
    <n v="63.8"/>
    <n v="765.59999999999991"/>
    <d v="2025-02-17T00:00:00"/>
    <d v="2025-02-18T00:00:00"/>
    <s v="M"/>
    <x v="1"/>
    <n v="4"/>
    <s v="California"/>
    <s v="Los Angeles County"/>
    <n v="1"/>
    <x v="7"/>
    <x v="1"/>
  </r>
  <r>
    <s v="TX501210"/>
    <s v="Sundresses"/>
    <n v="6"/>
    <n v="30.8"/>
    <n v="184.8"/>
    <d v="2025-02-17T00:00:00"/>
    <d v="2025-02-19T00:00:00"/>
    <s v="M"/>
    <x v="4"/>
    <n v="4"/>
    <s v="California"/>
    <s v="Los Angeles County"/>
    <n v="2"/>
    <x v="7"/>
    <x v="1"/>
  </r>
  <r>
    <s v="TX501211"/>
    <s v="Tank Tops"/>
    <n v="2"/>
    <n v="41.5"/>
    <n v="83"/>
    <d v="2025-02-17T00:00:00"/>
    <d v="2025-02-20T00:00:00"/>
    <s v="O"/>
    <x v="0"/>
    <n v="4"/>
    <s v="California"/>
    <s v="Los Angeles County"/>
    <n v="3"/>
    <x v="7"/>
    <x v="3"/>
  </r>
  <r>
    <s v="TX501212"/>
    <s v="Bikinis"/>
    <n v="4"/>
    <n v="44.7"/>
    <n v="178.8"/>
    <d v="2025-02-17T00:00:00"/>
    <d v="2025-02-19T00:00:00"/>
    <s v="F"/>
    <x v="2"/>
    <n v="3"/>
    <s v="California"/>
    <s v="Los Angeles County"/>
    <n v="2"/>
    <x v="7"/>
    <x v="2"/>
  </r>
  <r>
    <s v="TX501213"/>
    <s v="Casual Dresses"/>
    <n v="2"/>
    <n v="64.099999999999994"/>
    <n v="128.19999999999999"/>
    <d v="2025-02-17T00:00:00"/>
    <d v="2025-02-21T00:00:00"/>
    <s v="F"/>
    <x v="1"/>
    <n v="2"/>
    <s v="California"/>
    <s v="Los Angeles County"/>
    <n v="4"/>
    <x v="7"/>
    <x v="2"/>
  </r>
  <r>
    <s v="TX501214"/>
    <s v="T-Shirts"/>
    <n v="1"/>
    <n v="15.9"/>
    <n v="15.9"/>
    <d v="2025-02-17T00:00:00"/>
    <d v="2025-02-20T00:00:00"/>
    <s v=""/>
    <x v="1"/>
    <n v="4"/>
    <s v="California"/>
    <s v="Los Angeles County"/>
    <n v="3"/>
    <x v="7"/>
    <x v="0"/>
  </r>
  <r>
    <s v="TX501215"/>
    <s v="Jeans"/>
    <n v="2"/>
    <n v="78.7"/>
    <n v="157.4"/>
    <d v="2025-02-17T00:00:00"/>
    <d v="2025-02-17T00:00:00"/>
    <s v="F"/>
    <x v="2"/>
    <n v="3"/>
    <s v="California"/>
    <s v="Los Angeles County"/>
    <n v="0"/>
    <x v="7"/>
    <x v="2"/>
  </r>
  <r>
    <s v="TX501216"/>
    <s v="Sandals"/>
    <n v="12"/>
    <n v="29.6"/>
    <n v="355.20000000000005"/>
    <d v="2025-02-17T00:00:00"/>
    <d v="2025-02-21T00:00:00"/>
    <s v="M"/>
    <x v="2"/>
    <n v="2"/>
    <s v="California"/>
    <s v="Los Angeles County"/>
    <n v="4"/>
    <x v="7"/>
    <x v="1"/>
  </r>
  <r>
    <s v="TX501217"/>
    <s v="T-Shirts"/>
    <n v="4"/>
    <n v="21.5"/>
    <n v="86"/>
    <d v="2025-02-17T00:00:00"/>
    <d v="2025-02-20T00:00:00"/>
    <s v="M"/>
    <x v="1"/>
    <n v="4"/>
    <s v="California"/>
    <s v="Los Angeles County"/>
    <n v="3"/>
    <x v="7"/>
    <x v="1"/>
  </r>
  <r>
    <s v="TX501218"/>
    <s v="Sundresses"/>
    <n v="3"/>
    <n v="74.900000000000006"/>
    <n v="224.70000000000002"/>
    <d v="2025-02-17T00:00:00"/>
    <d v="2025-02-26T00:00:00"/>
    <s v="M"/>
    <x v="3"/>
    <n v="3"/>
    <s v="California"/>
    <s v="Los Angeles County"/>
    <n v="9"/>
    <x v="7"/>
    <x v="1"/>
  </r>
  <r>
    <s v="TX501219"/>
    <s v="Bikinis"/>
    <n v="6"/>
    <n v="45"/>
    <n v="270"/>
    <d v="2025-02-17T00:00:00"/>
    <d v="2025-02-22T00:00:00"/>
    <s v="F"/>
    <x v="2"/>
    <n v="4"/>
    <s v="California"/>
    <s v="Los Angeles County"/>
    <n v="5"/>
    <x v="7"/>
    <x v="2"/>
  </r>
  <r>
    <s v="TX501220"/>
    <s v="Hoodies &amp; Sweatshirts"/>
    <n v="34"/>
    <n v="37.9"/>
    <n v="1288.5999999999999"/>
    <d v="2025-02-17T00:00:00"/>
    <d v="2025-02-18T00:00:00"/>
    <s v="M"/>
    <x v="0"/>
    <n v="4"/>
    <s v="California"/>
    <s v="Los Angeles County"/>
    <n v="1"/>
    <x v="7"/>
    <x v="1"/>
  </r>
  <r>
    <s v="TX501221"/>
    <s v="Jeans"/>
    <n v="3"/>
    <n v="56.6"/>
    <n v="169.8"/>
    <d v="2025-02-17T00:00:00"/>
    <d v="2025-02-18T00:00:00"/>
    <s v="M"/>
    <x v="3"/>
    <n v="4"/>
    <s v="California"/>
    <s v="Los Angeles County"/>
    <n v="1"/>
    <x v="7"/>
    <x v="1"/>
  </r>
  <r>
    <s v="TX501222"/>
    <s v="Workout Tops"/>
    <n v="13"/>
    <n v="84.5"/>
    <n v="1098.5"/>
    <d v="2025-02-17T00:00:00"/>
    <d v="2025-02-20T00:00:00"/>
    <s v="F"/>
    <x v="1"/>
    <n v="2"/>
    <s v="California"/>
    <s v="Los Angeles County"/>
    <n v="3"/>
    <x v="7"/>
    <x v="2"/>
  </r>
  <r>
    <s v="TX501223"/>
    <s v="Sneakers"/>
    <n v="5"/>
    <n v="105.4"/>
    <n v="527"/>
    <d v="2025-02-17T00:00:00"/>
    <d v="2025-02-19T00:00:00"/>
    <s v="F"/>
    <x v="1"/>
    <n v="3"/>
    <s v="California"/>
    <s v="Los Angeles County"/>
    <n v="2"/>
    <x v="7"/>
    <x v="2"/>
  </r>
  <r>
    <s v="TX501224"/>
    <s v="Leggings"/>
    <n v="7"/>
    <n v="39.4"/>
    <n v="275.8"/>
    <d v="2025-02-18T00:00:00"/>
    <d v="2025-02-18T00:00:00"/>
    <s v="M"/>
    <x v="1"/>
    <n v="4"/>
    <s v="California"/>
    <s v="Madera County"/>
    <n v="0"/>
    <x v="7"/>
    <x v="1"/>
  </r>
  <r>
    <s v="TX501225"/>
    <s v="Jewelry"/>
    <n v="3"/>
    <n v="38"/>
    <n v="114"/>
    <d v="2025-02-18T00:00:00"/>
    <d v="2025-02-21T00:00:00"/>
    <s v="M"/>
    <x v="4"/>
    <n v="3"/>
    <s v="California"/>
    <s v="Sacramento County"/>
    <n v="3"/>
    <x v="7"/>
    <x v="1"/>
  </r>
  <r>
    <s v="TX501226"/>
    <s v="Pajama Sets"/>
    <n v="4"/>
    <n v="42.5"/>
    <n v="170"/>
    <d v="2025-02-18T00:00:00"/>
    <d v="2025-02-20T00:00:00"/>
    <s v=""/>
    <x v="0"/>
    <n v="4"/>
    <s v="California"/>
    <s v="Sacramento County"/>
    <n v="2"/>
    <x v="7"/>
    <x v="0"/>
  </r>
  <r>
    <s v="TX501227"/>
    <s v="Crop Tops"/>
    <n v="1"/>
    <n v="62.3"/>
    <n v="62.3"/>
    <d v="2025-02-18T00:00:00"/>
    <d v="2025-02-27T00:00:00"/>
    <s v="M"/>
    <x v="0"/>
    <n v="5"/>
    <s v="California"/>
    <s v="Sacramento County"/>
    <n v="9"/>
    <x v="7"/>
    <x v="1"/>
  </r>
  <r>
    <s v="TX501228"/>
    <s v="Jeans"/>
    <n v="5"/>
    <n v="49.1"/>
    <n v="245.5"/>
    <d v="2025-02-18T00:00:00"/>
    <d v="2025-02-20T00:00:00"/>
    <s v="F"/>
    <x v="1"/>
    <n v="5"/>
    <s v="California"/>
    <s v="San Bernardino County"/>
    <n v="2"/>
    <x v="7"/>
    <x v="2"/>
  </r>
  <r>
    <s v="TX501229"/>
    <s v="Workout Tops"/>
    <n v="2"/>
    <n v="30.5"/>
    <n v="61"/>
    <d v="2025-02-18T00:00:00"/>
    <d v="2025-02-21T00:00:00"/>
    <s v="M"/>
    <x v="0"/>
    <n v="5"/>
    <s v="California"/>
    <s v="San Diego County"/>
    <n v="3"/>
    <x v="7"/>
    <x v="1"/>
  </r>
  <r>
    <s v="TX501230"/>
    <s v="Sneakers"/>
    <n v="2"/>
    <n v="154.80000000000001"/>
    <n v="309.60000000000002"/>
    <d v="2025-02-18T00:00:00"/>
    <d v="2025-02-21T00:00:00"/>
    <s v="F"/>
    <x v="1"/>
    <n v="2"/>
    <s v="California"/>
    <s v="San Diego County"/>
    <n v="3"/>
    <x v="7"/>
    <x v="2"/>
  </r>
  <r>
    <s v="TX501231"/>
    <s v="Jeans"/>
    <n v="1"/>
    <n v="45"/>
    <n v="45"/>
    <d v="2025-02-18T00:00:00"/>
    <d v="2025-02-22T00:00:00"/>
    <s v="M"/>
    <x v="3"/>
    <n v="3"/>
    <s v="California"/>
    <s v="San Diego County"/>
    <n v="4"/>
    <x v="7"/>
    <x v="1"/>
  </r>
  <r>
    <s v="TX501232"/>
    <s v="Shorts"/>
    <n v="7"/>
    <n v="15.3"/>
    <n v="107.10000000000001"/>
    <d v="2025-02-18T00:00:00"/>
    <d v="2025-02-19T00:00:00"/>
    <s v="M"/>
    <x v="0"/>
    <n v="5"/>
    <s v="California"/>
    <s v="San Diego County"/>
    <n v="1"/>
    <x v="7"/>
    <x v="1"/>
  </r>
  <r>
    <s v="TX501233"/>
    <s v="Sneakers"/>
    <n v="11"/>
    <n v="88.6"/>
    <n v="974.59999999999991"/>
    <d v="2025-02-18T00:00:00"/>
    <d v="2025-02-21T00:00:00"/>
    <s v="F"/>
    <x v="0"/>
    <n v="2"/>
    <s v="California"/>
    <s v="San Francisco"/>
    <n v="3"/>
    <x v="7"/>
    <x v="2"/>
  </r>
  <r>
    <s v="TX501234"/>
    <s v="Sundresses"/>
    <n v="2"/>
    <n v="49.7"/>
    <n v="99.4"/>
    <d v="2025-02-18T00:00:00"/>
    <d v="2025-02-20T00:00:00"/>
    <s v="O"/>
    <x v="4"/>
    <n v="4"/>
    <s v="California"/>
    <s v="Santa Barbara County"/>
    <n v="2"/>
    <x v="7"/>
    <x v="3"/>
  </r>
  <r>
    <s v="TX501235"/>
    <s v="Bikinis"/>
    <n v="1"/>
    <n v="29"/>
    <n v="29"/>
    <d v="2025-02-18T00:00:00"/>
    <d v="2025-02-19T00:00:00"/>
    <s v="M"/>
    <x v="0"/>
    <n v="4"/>
    <s v="California"/>
    <s v="Santa Clara County"/>
    <n v="1"/>
    <x v="7"/>
    <x v="1"/>
  </r>
  <r>
    <s v="TX501236"/>
    <s v="Tank Tops"/>
    <n v="1"/>
    <n v="60.7"/>
    <n v="60.7"/>
    <d v="2025-02-18T00:00:00"/>
    <d v="2025-02-19T00:00:00"/>
    <s v="O"/>
    <x v="0"/>
    <n v="3"/>
    <s v="California"/>
    <s v="Santa Clara County"/>
    <n v="1"/>
    <x v="7"/>
    <x v="3"/>
  </r>
  <r>
    <s v="TX501237"/>
    <s v="Pajama Sets"/>
    <n v="4"/>
    <n v="87.4"/>
    <n v="349.6"/>
    <d v="2025-02-18T00:00:00"/>
    <d v="2025-02-20T00:00:00"/>
    <s v=""/>
    <x v="0"/>
    <n v="4"/>
    <s v="California"/>
    <s v="Santa Clara County"/>
    <n v="2"/>
    <x v="7"/>
    <x v="0"/>
  </r>
  <r>
    <s v="TX501238"/>
    <s v="Graphic Tees"/>
    <n v="7"/>
    <n v="44.5"/>
    <n v="311.5"/>
    <d v="2025-02-18T00:00:00"/>
    <d v="2025-02-22T00:00:00"/>
    <s v="F"/>
    <x v="2"/>
    <n v="5"/>
    <s v="California"/>
    <s v="Stanislaus County"/>
    <n v="4"/>
    <x v="7"/>
    <x v="2"/>
  </r>
  <r>
    <s v="TX501239"/>
    <s v="Sneakers"/>
    <n v="1"/>
    <n v="141"/>
    <n v="141"/>
    <d v="2025-02-18T00:00:00"/>
    <d v="2025-02-19T00:00:00"/>
    <s v="M"/>
    <x v="4"/>
    <n v="5"/>
    <s v="California"/>
    <s v="Stanislaus County"/>
    <n v="1"/>
    <x v="7"/>
    <x v="1"/>
  </r>
  <r>
    <s v="TX501240"/>
    <s v="Shorts"/>
    <n v="3"/>
    <n v="16.7"/>
    <n v="50.099999999999994"/>
    <d v="2025-02-18T00:00:00"/>
    <d v="2025-02-26T00:00:00"/>
    <s v="F"/>
    <x v="0"/>
    <n v="4"/>
    <s v="California"/>
    <s v="Tulare County"/>
    <n v="8"/>
    <x v="7"/>
    <x v="2"/>
  </r>
  <r>
    <s v="TX501241"/>
    <s v="Tank Tops"/>
    <n v="2"/>
    <n v="77.5"/>
    <n v="155"/>
    <d v="2025-02-18T00:00:00"/>
    <d v="2025-02-19T00:00:00"/>
    <s v=""/>
    <x v="2"/>
    <n v="5"/>
    <s v="California"/>
    <s v="Ventura County"/>
    <n v="1"/>
    <x v="7"/>
    <x v="0"/>
  </r>
  <r>
    <s v="TX501242"/>
    <s v="Sneakers"/>
    <n v="2"/>
    <n v="163"/>
    <n v="326"/>
    <d v="2025-02-18T00:00:00"/>
    <d v="2025-02-24T00:00:00"/>
    <s v="F"/>
    <x v="4"/>
    <n v="4"/>
    <s v="California"/>
    <s v="Alameda County"/>
    <n v="6"/>
    <x v="7"/>
    <x v="2"/>
  </r>
  <r>
    <s v="TX501243"/>
    <s v="Graphic Tees"/>
    <n v="9"/>
    <n v="21.4"/>
    <n v="192.6"/>
    <d v="2025-02-18T00:00:00"/>
    <d v="2025-02-21T00:00:00"/>
    <s v="F"/>
    <x v="0"/>
    <n v="4"/>
    <s v="California"/>
    <s v="Butte County"/>
    <n v="3"/>
    <x v="7"/>
    <x v="2"/>
  </r>
  <r>
    <s v="TX501244"/>
    <s v="Bikinis"/>
    <n v="11"/>
    <n v="31"/>
    <n v="341"/>
    <d v="2025-02-18T00:00:00"/>
    <d v="2025-02-20T00:00:00"/>
    <s v="F"/>
    <x v="3"/>
    <n v="5"/>
    <s v="California"/>
    <s v="Contra Costa County"/>
    <n v="2"/>
    <x v="7"/>
    <x v="2"/>
  </r>
  <r>
    <s v="TX501245"/>
    <s v="Hoodies &amp; Sweatshirts"/>
    <n v="2"/>
    <n v="34.299999999999997"/>
    <n v="68.599999999999994"/>
    <d v="2025-02-18T00:00:00"/>
    <d v="2025-02-20T00:00:00"/>
    <s v="F"/>
    <x v="0"/>
    <n v="1"/>
    <s v="California"/>
    <s v="Contra Costa County"/>
    <n v="2"/>
    <x v="7"/>
    <x v="2"/>
  </r>
  <r>
    <s v="TX501246"/>
    <s v="Pajama Sets"/>
    <n v="5"/>
    <n v="48.2"/>
    <n v="241"/>
    <d v="2025-02-18T00:00:00"/>
    <d v="2025-02-19T00:00:00"/>
    <s v="M"/>
    <x v="1"/>
    <n v="3"/>
    <s v="California"/>
    <s v="Fresno County"/>
    <n v="1"/>
    <x v="7"/>
    <x v="1"/>
  </r>
  <r>
    <s v="TX501247"/>
    <s v="Bikinis"/>
    <n v="1"/>
    <n v="51.4"/>
    <n v="51.4"/>
    <d v="2025-02-18T00:00:00"/>
    <d v="2025-02-19T00:00:00"/>
    <s v="M"/>
    <x v="0"/>
    <n v="4"/>
    <s v="California"/>
    <s v="Los Angeles County"/>
    <n v="1"/>
    <x v="7"/>
    <x v="1"/>
  </r>
  <r>
    <s v="TX501248"/>
    <s v="Sneakers"/>
    <n v="5"/>
    <n v="117.2"/>
    <n v="586"/>
    <d v="2025-02-18T00:00:00"/>
    <d v="2025-02-21T00:00:00"/>
    <s v="F"/>
    <x v="4"/>
    <n v="2"/>
    <s v="California"/>
    <s v="Los Angeles County"/>
    <n v="3"/>
    <x v="7"/>
    <x v="2"/>
  </r>
  <r>
    <s v="TX501249"/>
    <s v="T-Shirts"/>
    <n v="1"/>
    <n v="38.1"/>
    <n v="38.1"/>
    <d v="2025-02-18T00:00:00"/>
    <d v="2025-02-18T00:00:00"/>
    <s v="M"/>
    <x v="4"/>
    <n v="3"/>
    <s v="California"/>
    <s v="Los Angeles County"/>
    <n v="0"/>
    <x v="7"/>
    <x v="1"/>
  </r>
  <r>
    <s v="TX501250"/>
    <s v="Shorts"/>
    <n v="2"/>
    <n v="44.1"/>
    <n v="88.2"/>
    <d v="2025-02-18T00:00:00"/>
    <d v="2025-02-20T00:00:00"/>
    <s v="F"/>
    <x v="2"/>
    <n v="4"/>
    <s v="California"/>
    <s v="Los Angeles County"/>
    <n v="2"/>
    <x v="7"/>
    <x v="2"/>
  </r>
  <r>
    <s v="TX501251"/>
    <s v="Crop Tops"/>
    <n v="4"/>
    <n v="80.5"/>
    <n v="322"/>
    <d v="2025-02-18T00:00:00"/>
    <d v="2025-02-23T00:00:00"/>
    <s v="M"/>
    <x v="0"/>
    <n v="4"/>
    <s v="California"/>
    <s v="Los Angeles County"/>
    <n v="5"/>
    <x v="7"/>
    <x v="1"/>
  </r>
  <r>
    <s v="TX501252"/>
    <s v="Leggings"/>
    <n v="4"/>
    <n v="33.6"/>
    <n v="134.4"/>
    <d v="2025-02-18T00:00:00"/>
    <d v="2025-02-23T00:00:00"/>
    <s v=""/>
    <x v="0"/>
    <n v="5"/>
    <s v="California"/>
    <s v="Los Angeles County"/>
    <n v="5"/>
    <x v="7"/>
    <x v="0"/>
  </r>
  <r>
    <s v="TX501253"/>
    <s v="Sundresses"/>
    <n v="9"/>
    <n v="41.8"/>
    <n v="376.2"/>
    <d v="2025-02-18T00:00:00"/>
    <d v="2025-02-19T00:00:00"/>
    <s v="F"/>
    <x v="0"/>
    <n v="3"/>
    <s v="California"/>
    <s v="Los Angeles County"/>
    <n v="1"/>
    <x v="7"/>
    <x v="2"/>
  </r>
  <r>
    <s v="TX501254"/>
    <s v="Tank Tops"/>
    <n v="2"/>
    <n v="106.2"/>
    <n v="212.4"/>
    <d v="2025-02-18T00:00:00"/>
    <d v="2025-02-18T00:00:00"/>
    <s v="F"/>
    <x v="4"/>
    <n v="5"/>
    <s v="California"/>
    <s v="Los Angeles County"/>
    <n v="0"/>
    <x v="7"/>
    <x v="2"/>
  </r>
  <r>
    <s v="TX501255"/>
    <s v="Tank Tops"/>
    <n v="2"/>
    <n v="52.6"/>
    <n v="105.2"/>
    <d v="2025-02-18T00:00:00"/>
    <d v="2025-02-19T00:00:00"/>
    <s v="F"/>
    <x v="0"/>
    <n v="5"/>
    <s v="California"/>
    <s v="Placer County"/>
    <n v="1"/>
    <x v="7"/>
    <x v="2"/>
  </r>
  <r>
    <s v="TX501256"/>
    <s v="Maxi Dresses"/>
    <n v="7"/>
    <n v="68.5"/>
    <n v="479.5"/>
    <d v="2025-02-18T00:00:00"/>
    <d v="2025-02-19T00:00:00"/>
    <s v="F"/>
    <x v="1"/>
    <n v="4"/>
    <s v="California"/>
    <s v="Placer County"/>
    <n v="1"/>
    <x v="7"/>
    <x v="2"/>
  </r>
  <r>
    <s v="TX501257"/>
    <s v="Tank Tops"/>
    <n v="2"/>
    <n v="55.6"/>
    <n v="111.2"/>
    <d v="2025-02-18T00:00:00"/>
    <d v="2025-02-20T00:00:00"/>
    <s v="M"/>
    <x v="1"/>
    <n v="5"/>
    <s v="California"/>
    <s v="Sacramento County"/>
    <n v="2"/>
    <x v="7"/>
    <x v="1"/>
  </r>
  <r>
    <s v="TX501258"/>
    <s v="Sneakers"/>
    <n v="3"/>
    <n v="134.9"/>
    <n v="404.70000000000005"/>
    <d v="2025-02-18T00:00:00"/>
    <d v="2025-02-19T00:00:00"/>
    <s v="M"/>
    <x v="1"/>
    <n v="3"/>
    <s v="California"/>
    <s v="Sacramento County"/>
    <n v="1"/>
    <x v="7"/>
    <x v="1"/>
  </r>
  <r>
    <s v="TX501259"/>
    <s v="Bikinis"/>
    <n v="5"/>
    <n v="42.6"/>
    <n v="213"/>
    <d v="2025-02-18T00:00:00"/>
    <d v="2025-02-19T00:00:00"/>
    <s v="M"/>
    <x v="0"/>
    <n v="4"/>
    <s v="California"/>
    <s v="Sacramento County"/>
    <n v="1"/>
    <x v="7"/>
    <x v="1"/>
  </r>
  <r>
    <s v="TX501260"/>
    <s v="Hoodies &amp; Sweatshirts"/>
    <n v="5"/>
    <n v="60.6"/>
    <n v="303"/>
    <d v="2025-02-18T00:00:00"/>
    <d v="2025-02-20T00:00:00"/>
    <s v="M"/>
    <x v="4"/>
    <n v="4"/>
    <s v="California"/>
    <s v="Sacramento County"/>
    <n v="2"/>
    <x v="7"/>
    <x v="1"/>
  </r>
  <r>
    <s v="TX501261"/>
    <s v="T-Shirts"/>
    <n v="2"/>
    <n v="43.5"/>
    <n v="87"/>
    <d v="2025-02-18T00:00:00"/>
    <d v="2025-02-19T00:00:00"/>
    <s v="M"/>
    <x v="4"/>
    <n v="4"/>
    <s v="California"/>
    <s v="San Bernardino County"/>
    <n v="1"/>
    <x v="7"/>
    <x v="1"/>
  </r>
  <r>
    <s v="TX501262"/>
    <s v="Sneakers"/>
    <n v="2"/>
    <n v="187.1"/>
    <n v="374.2"/>
    <d v="2025-02-18T00:00:00"/>
    <d v="2025-02-19T00:00:00"/>
    <s v="M"/>
    <x v="1"/>
    <n v="5"/>
    <s v="California"/>
    <s v="San Diego County"/>
    <n v="1"/>
    <x v="7"/>
    <x v="1"/>
  </r>
  <r>
    <s v="TX501263"/>
    <s v="Sundresses"/>
    <n v="3"/>
    <n v="32"/>
    <n v="96"/>
    <d v="2025-02-18T00:00:00"/>
    <d v="2025-02-20T00:00:00"/>
    <s v="M"/>
    <x v="0"/>
    <n v="4"/>
    <s v="California"/>
    <s v="San Diego County"/>
    <n v="2"/>
    <x v="7"/>
    <x v="1"/>
  </r>
  <r>
    <s v="TX501264"/>
    <s v="Sundresses"/>
    <n v="2"/>
    <n v="110.8"/>
    <n v="221.6"/>
    <d v="2025-02-18T00:00:00"/>
    <d v="2025-02-18T00:00:00"/>
    <s v="M"/>
    <x v="0"/>
    <n v="5"/>
    <s v="California"/>
    <s v="San Diego County"/>
    <n v="0"/>
    <x v="7"/>
    <x v="1"/>
  </r>
  <r>
    <s v="TX501265"/>
    <s v="Bikinis"/>
    <n v="13"/>
    <n v="36.1"/>
    <n v="469.3"/>
    <d v="2025-02-18T00:00:00"/>
    <d v="2025-02-21T00:00:00"/>
    <s v="F"/>
    <x v="0"/>
    <n v="3"/>
    <s v="California"/>
    <s v="San Diego County"/>
    <n v="3"/>
    <x v="7"/>
    <x v="2"/>
  </r>
  <r>
    <s v="TX501266"/>
    <s v="Shorts"/>
    <n v="1"/>
    <n v="24.1"/>
    <n v="24.1"/>
    <d v="2025-02-18T00:00:00"/>
    <d v="2025-02-20T00:00:00"/>
    <s v="F"/>
    <x v="4"/>
    <n v="5"/>
    <s v="California"/>
    <s v="San Diego County"/>
    <n v="2"/>
    <x v="7"/>
    <x v="2"/>
  </r>
  <r>
    <s v="TX501267"/>
    <s v="Jewelry"/>
    <n v="3"/>
    <n v="30.5"/>
    <n v="91.5"/>
    <d v="2025-02-18T00:00:00"/>
    <d v="2025-02-20T00:00:00"/>
    <s v="M"/>
    <x v="1"/>
    <n v="4"/>
    <s v="California"/>
    <s v="San Diego County"/>
    <n v="2"/>
    <x v="7"/>
    <x v="1"/>
  </r>
  <r>
    <s v="TX501268"/>
    <s v="Leggings"/>
    <n v="6"/>
    <n v="68.3"/>
    <n v="409.79999999999995"/>
    <d v="2025-02-18T00:00:00"/>
    <d v="2025-02-21T00:00:00"/>
    <s v="M"/>
    <x v="0"/>
    <n v="4"/>
    <s v="California"/>
    <s v="San Diego County"/>
    <n v="3"/>
    <x v="7"/>
    <x v="1"/>
  </r>
  <r>
    <s v="TX501269"/>
    <s v="Hoodies &amp; Sweatshirts"/>
    <n v="3"/>
    <n v="43.3"/>
    <n v="129.89999999999998"/>
    <d v="2025-02-18T00:00:00"/>
    <d v="2025-02-22T00:00:00"/>
    <s v="F"/>
    <x v="0"/>
    <n v="4"/>
    <s v="California"/>
    <s v="San Francisco"/>
    <n v="4"/>
    <x v="7"/>
    <x v="2"/>
  </r>
  <r>
    <s v="TX501270"/>
    <s v="Workout Tops"/>
    <n v="1"/>
    <n v="101.7"/>
    <n v="101.7"/>
    <d v="2025-02-18T00:00:00"/>
    <d v="2025-02-21T00:00:00"/>
    <s v="F"/>
    <x v="0"/>
    <n v="3"/>
    <s v="California"/>
    <s v="San Francisco"/>
    <n v="3"/>
    <x v="7"/>
    <x v="2"/>
  </r>
  <r>
    <s v="TX501271"/>
    <s v="Maxi Dresses"/>
    <n v="2"/>
    <n v="54.2"/>
    <n v="108.4"/>
    <d v="2025-02-18T00:00:00"/>
    <d v="2025-02-19T00:00:00"/>
    <s v="F"/>
    <x v="0"/>
    <n v="3"/>
    <s v="California"/>
    <s v="San Francisco"/>
    <n v="1"/>
    <x v="7"/>
    <x v="2"/>
  </r>
  <r>
    <s v="TX501272"/>
    <s v="Sunglasses"/>
    <n v="2"/>
    <n v="51"/>
    <n v="102"/>
    <d v="2025-02-18T00:00:00"/>
    <d v="2025-02-18T00:00:00"/>
    <s v="M"/>
    <x v="1"/>
    <n v="4"/>
    <s v="California"/>
    <s v="San Joaquin County"/>
    <n v="0"/>
    <x v="7"/>
    <x v="1"/>
  </r>
  <r>
    <s v="TX501273"/>
    <s v="Graphic Tees"/>
    <n v="2"/>
    <n v="23.1"/>
    <n v="46.2"/>
    <d v="2025-02-18T00:00:00"/>
    <d v="2025-02-21T00:00:00"/>
    <s v="M"/>
    <x v="1"/>
    <n v="4"/>
    <s v="California"/>
    <s v="Santa Barbara County"/>
    <n v="3"/>
    <x v="7"/>
    <x v="1"/>
  </r>
  <r>
    <s v="TX501274"/>
    <s v="Casual Dresses"/>
    <n v="6"/>
    <n v="60.1"/>
    <n v="360.6"/>
    <d v="2025-02-18T00:00:00"/>
    <d v="2025-02-18T00:00:00"/>
    <s v="F"/>
    <x v="3"/>
    <n v="4"/>
    <s v="California"/>
    <s v="Santa Clara County"/>
    <n v="0"/>
    <x v="7"/>
    <x v="2"/>
  </r>
  <r>
    <s v="TX501275"/>
    <s v="Sneakers"/>
    <n v="7"/>
    <n v="87.5"/>
    <n v="612.5"/>
    <d v="2025-02-18T00:00:00"/>
    <d v="2025-02-20T00:00:00"/>
    <s v="F"/>
    <x v="0"/>
    <n v="3"/>
    <s v="California"/>
    <s v="Santa Clara County"/>
    <n v="2"/>
    <x v="7"/>
    <x v="2"/>
  </r>
  <r>
    <s v="TX501276"/>
    <s v="Tank Tops"/>
    <n v="3"/>
    <n v="51"/>
    <n v="153"/>
    <d v="2025-02-18T00:00:00"/>
    <d v="2025-02-19T00:00:00"/>
    <s v="F"/>
    <x v="1"/>
    <n v="4"/>
    <s v="California"/>
    <s v="Santa Clara County"/>
    <n v="1"/>
    <x v="7"/>
    <x v="2"/>
  </r>
  <r>
    <s v="TX501277"/>
    <s v="T-Shirts"/>
    <n v="4"/>
    <n v="19.2"/>
    <n v="76.8"/>
    <d v="2025-02-18T00:00:00"/>
    <d v="2025-02-20T00:00:00"/>
    <s v="F"/>
    <x v="0"/>
    <n v="4"/>
    <s v="California"/>
    <s v="Santa Clara County"/>
    <n v="2"/>
    <x v="7"/>
    <x v="2"/>
  </r>
  <r>
    <s v="TX501278"/>
    <s v="Sandals"/>
    <n v="8"/>
    <n v="26.5"/>
    <n v="212"/>
    <d v="2025-02-18T00:00:00"/>
    <d v="2025-02-19T00:00:00"/>
    <s v=""/>
    <x v="3"/>
    <n v="5"/>
    <s v="California"/>
    <s v="Santa Clara County"/>
    <n v="1"/>
    <x v="7"/>
    <x v="0"/>
  </r>
  <r>
    <s v="TX501279"/>
    <s v="Sneakers"/>
    <n v="2"/>
    <n v="220.3"/>
    <n v="440.6"/>
    <d v="2025-02-18T00:00:00"/>
    <d v="2025-02-19T00:00:00"/>
    <s v="F"/>
    <x v="1"/>
    <n v="2"/>
    <s v="California"/>
    <s v="Shasta County"/>
    <n v="1"/>
    <x v="7"/>
    <x v="2"/>
  </r>
  <r>
    <s v="TX501280"/>
    <s v="T-Shirts"/>
    <n v="3"/>
    <n v="45.7"/>
    <n v="137.10000000000002"/>
    <d v="2025-02-18T00:00:00"/>
    <d v="2025-02-19T00:00:00"/>
    <s v="F"/>
    <x v="4"/>
    <n v="4"/>
    <s v="California"/>
    <s v="Siskiyou County"/>
    <n v="1"/>
    <x v="7"/>
    <x v="2"/>
  </r>
  <r>
    <s v="TX501281"/>
    <s v="Sandals"/>
    <n v="5"/>
    <n v="47.1"/>
    <n v="235.5"/>
    <d v="2025-02-18T00:00:00"/>
    <d v="2025-02-22T00:00:00"/>
    <s v="F"/>
    <x v="3"/>
    <n v="4"/>
    <s v="California"/>
    <s v="Ventura County"/>
    <n v="4"/>
    <x v="7"/>
    <x v="2"/>
  </r>
  <r>
    <s v="TX501282"/>
    <s v="Tank Tops"/>
    <n v="5"/>
    <n v="81.7"/>
    <n v="408.5"/>
    <d v="2025-02-18T00:00:00"/>
    <d v="2025-02-19T00:00:00"/>
    <s v="F"/>
    <x v="0"/>
    <n v="5"/>
    <s v="California"/>
    <s v="Alameda County"/>
    <n v="1"/>
    <x v="7"/>
    <x v="2"/>
  </r>
  <r>
    <s v="TX501283"/>
    <s v="Jeans"/>
    <n v="10"/>
    <n v="97.8"/>
    <n v="978"/>
    <d v="2025-02-18T00:00:00"/>
    <d v="2025-02-18T00:00:00"/>
    <s v="M"/>
    <x v="1"/>
    <n v="3"/>
    <s v="California"/>
    <s v="Alameda County"/>
    <n v="0"/>
    <x v="7"/>
    <x v="1"/>
  </r>
  <r>
    <s v="TX501284"/>
    <s v="Jeans"/>
    <n v="3"/>
    <n v="42.4"/>
    <n v="127.19999999999999"/>
    <d v="2025-02-18T00:00:00"/>
    <d v="2025-02-19T00:00:00"/>
    <s v="F"/>
    <x v="0"/>
    <n v="5"/>
    <s v="California"/>
    <s v="Colusa County"/>
    <n v="1"/>
    <x v="7"/>
    <x v="2"/>
  </r>
  <r>
    <s v="TX501285"/>
    <s v="Sneakers"/>
    <n v="10"/>
    <n v="74.5"/>
    <n v="745"/>
    <d v="2025-02-18T00:00:00"/>
    <d v="2025-02-19T00:00:00"/>
    <s v="M"/>
    <x v="2"/>
    <n v="3"/>
    <s v="California"/>
    <s v="Contra Costa County"/>
    <n v="1"/>
    <x v="7"/>
    <x v="1"/>
  </r>
  <r>
    <s v="TX501286"/>
    <s v="Pajama Sets"/>
    <n v="6"/>
    <n v="47.4"/>
    <n v="284.39999999999998"/>
    <d v="2025-02-18T00:00:00"/>
    <d v="2025-02-19T00:00:00"/>
    <s v="M"/>
    <x v="1"/>
    <n v="4"/>
    <s v="California"/>
    <s v="Contra Costa County"/>
    <n v="1"/>
    <x v="7"/>
    <x v="1"/>
  </r>
  <r>
    <s v="TX501287"/>
    <s v="Baseball Caps"/>
    <n v="3"/>
    <n v="17.3"/>
    <n v="51.900000000000006"/>
    <d v="2025-02-19T00:00:00"/>
    <d v="2025-02-22T00:00:00"/>
    <s v="M"/>
    <x v="2"/>
    <n v="5"/>
    <s v="California"/>
    <s v="Contra Costa County"/>
    <n v="3"/>
    <x v="7"/>
    <x v="1"/>
  </r>
  <r>
    <s v="TX501288"/>
    <s v="Casual Dresses"/>
    <n v="4"/>
    <n v="77.900000000000006"/>
    <n v="311.60000000000002"/>
    <d v="2025-02-19T00:00:00"/>
    <d v="2025-02-20T00:00:00"/>
    <s v="M"/>
    <x v="1"/>
    <n v="4"/>
    <s v="California"/>
    <s v="Fresno County"/>
    <n v="1"/>
    <x v="7"/>
    <x v="1"/>
  </r>
  <r>
    <s v="TX501289"/>
    <s v="T-Shirts"/>
    <n v="1"/>
    <n v="29.1"/>
    <n v="29.1"/>
    <d v="2025-02-19T00:00:00"/>
    <d v="2025-02-22T00:00:00"/>
    <s v="M"/>
    <x v="0"/>
    <n v="5"/>
    <s v="California"/>
    <s v="Lake County"/>
    <n v="3"/>
    <x v="7"/>
    <x v="1"/>
  </r>
  <r>
    <s v="TX501290"/>
    <s v="T-Shirts"/>
    <n v="1"/>
    <n v="49"/>
    <n v="49"/>
    <d v="2025-02-19T00:00:00"/>
    <d v="2025-02-20T00:00:00"/>
    <s v="M"/>
    <x v="1"/>
    <n v="4"/>
    <s v="California"/>
    <s v="Los Angeles County"/>
    <n v="1"/>
    <x v="7"/>
    <x v="1"/>
  </r>
  <r>
    <s v="TX501291"/>
    <s v="T-Shirts"/>
    <n v="6"/>
    <n v="21.1"/>
    <n v="126.60000000000001"/>
    <d v="2025-02-19T00:00:00"/>
    <d v="2025-02-26T00:00:00"/>
    <s v="M"/>
    <x v="0"/>
    <n v="5"/>
    <s v="California"/>
    <s v="Los Angeles County"/>
    <n v="7"/>
    <x v="7"/>
    <x v="1"/>
  </r>
  <r>
    <s v="TX501292"/>
    <s v="Graphic Tees"/>
    <n v="19"/>
    <n v="36.9"/>
    <n v="701.1"/>
    <d v="2025-02-19T00:00:00"/>
    <d v="2025-02-19T00:00:00"/>
    <s v="F"/>
    <x v="0"/>
    <n v="4"/>
    <s v="California"/>
    <s v="Los Angeles County"/>
    <n v="0"/>
    <x v="7"/>
    <x v="2"/>
  </r>
  <r>
    <s v="TX501293"/>
    <s v="Tank Tops"/>
    <n v="10"/>
    <n v="92.6"/>
    <n v="926"/>
    <d v="2025-02-19T00:00:00"/>
    <d v="2025-02-24T00:00:00"/>
    <s v="M"/>
    <x v="4"/>
    <n v="5"/>
    <s v="California"/>
    <s v="Los Angeles County"/>
    <n v="5"/>
    <x v="7"/>
    <x v="1"/>
  </r>
  <r>
    <s v="TX501294"/>
    <s v="Bikinis"/>
    <n v="2"/>
    <n v="38"/>
    <n v="76"/>
    <d v="2025-02-19T00:00:00"/>
    <d v="2025-02-20T00:00:00"/>
    <s v="M"/>
    <x v="1"/>
    <n v="3"/>
    <s v="California"/>
    <s v="Los Angeles County"/>
    <n v="1"/>
    <x v="7"/>
    <x v="1"/>
  </r>
  <r>
    <s v="TX501295"/>
    <s v="Sandals"/>
    <n v="3"/>
    <n v="54.8"/>
    <n v="164.39999999999998"/>
    <d v="2025-02-19T00:00:00"/>
    <d v="2025-02-23T00:00:00"/>
    <s v=""/>
    <x v="0"/>
    <n v="3"/>
    <s v="California"/>
    <s v="Los Angeles County"/>
    <n v="4"/>
    <x v="7"/>
    <x v="0"/>
  </r>
  <r>
    <s v="TX501296"/>
    <s v="Bikinis"/>
    <n v="12"/>
    <n v="56.8"/>
    <n v="681.59999999999991"/>
    <d v="2025-02-19T00:00:00"/>
    <d v="2025-02-21T00:00:00"/>
    <s v="M"/>
    <x v="1"/>
    <n v="4"/>
    <s v="California"/>
    <s v="Los Angeles County"/>
    <n v="2"/>
    <x v="7"/>
    <x v="1"/>
  </r>
  <r>
    <s v="TX501297"/>
    <s v="Maxi Dresses"/>
    <n v="33"/>
    <n v="47.2"/>
    <n v="1557.6000000000001"/>
    <d v="2025-02-19T00:00:00"/>
    <d v="2025-02-22T00:00:00"/>
    <s v="F"/>
    <x v="1"/>
    <n v="4"/>
    <s v="California"/>
    <s v="Los Angeles County"/>
    <n v="3"/>
    <x v="7"/>
    <x v="2"/>
  </r>
  <r>
    <s v="TX501298"/>
    <s v="Hoodies &amp; Sweatshirts"/>
    <n v="6"/>
    <n v="45.1"/>
    <n v="270.60000000000002"/>
    <d v="2025-02-19T00:00:00"/>
    <d v="2025-02-20T00:00:00"/>
    <s v="F"/>
    <x v="2"/>
    <n v="4"/>
    <s v="California"/>
    <s v="Marin County"/>
    <n v="1"/>
    <x v="7"/>
    <x v="2"/>
  </r>
  <r>
    <s v="TX501299"/>
    <s v="Graphic Tees"/>
    <n v="12"/>
    <n v="25.2"/>
    <n v="302.39999999999998"/>
    <d v="2025-02-19T00:00:00"/>
    <d v="2025-02-24T00:00:00"/>
    <s v="F"/>
    <x v="2"/>
    <n v="4"/>
    <s v="California"/>
    <s v="Napa County"/>
    <n v="5"/>
    <x v="7"/>
    <x v="2"/>
  </r>
  <r>
    <s v="TX501300"/>
    <s v="T-Shirts"/>
    <n v="1"/>
    <n v="22"/>
    <n v="22"/>
    <d v="2025-02-19T00:00:00"/>
    <d v="2025-02-20T00:00:00"/>
    <s v="F"/>
    <x v="0"/>
    <n v="4"/>
    <s v="California"/>
    <s v="Placer County"/>
    <n v="1"/>
    <x v="7"/>
    <x v="2"/>
  </r>
  <r>
    <s v="TX501301"/>
    <s v="Jeans"/>
    <n v="2"/>
    <n v="42.2"/>
    <n v="84.4"/>
    <d v="2025-02-19T00:00:00"/>
    <d v="2025-02-20T00:00:00"/>
    <s v="F"/>
    <x v="1"/>
    <n v="3"/>
    <s v="California"/>
    <s v="Riverside County"/>
    <n v="1"/>
    <x v="7"/>
    <x v="2"/>
  </r>
  <r>
    <s v="TX501302"/>
    <s v="Tote Bags"/>
    <n v="3"/>
    <n v="20.5"/>
    <n v="61.5"/>
    <d v="2025-02-19T00:00:00"/>
    <d v="2025-02-20T00:00:00"/>
    <s v="M"/>
    <x v="0"/>
    <n v="3"/>
    <s v="California"/>
    <s v="Sacramento County"/>
    <n v="1"/>
    <x v="7"/>
    <x v="1"/>
  </r>
  <r>
    <s v="TX501303"/>
    <s v="Sneakers"/>
    <n v="1"/>
    <n v="190.4"/>
    <n v="190.4"/>
    <d v="2025-02-19T00:00:00"/>
    <d v="2025-02-24T00:00:00"/>
    <s v="M"/>
    <x v="1"/>
    <n v="2"/>
    <s v="California"/>
    <s v="Sacramento County"/>
    <n v="5"/>
    <x v="7"/>
    <x v="1"/>
  </r>
  <r>
    <s v="TX501304"/>
    <s v="Sneakers"/>
    <n v="1"/>
    <n v="121.9"/>
    <n v="121.9"/>
    <d v="2025-02-19T00:00:00"/>
    <d v="2025-02-21T00:00:00"/>
    <s v="F"/>
    <x v="1"/>
    <n v="5"/>
    <s v="California"/>
    <s v="Sacramento County"/>
    <n v="2"/>
    <x v="7"/>
    <x v="2"/>
  </r>
  <r>
    <s v="TX501305"/>
    <s v="Sneakers"/>
    <n v="6"/>
    <n v="149.19999999999999"/>
    <n v="895.19999999999993"/>
    <d v="2025-02-19T00:00:00"/>
    <d v="2025-02-20T00:00:00"/>
    <s v="F"/>
    <x v="2"/>
    <n v="5"/>
    <s v="California"/>
    <s v="San Bernardino County"/>
    <n v="1"/>
    <x v="7"/>
    <x v="2"/>
  </r>
  <r>
    <s v="TX501306"/>
    <s v="Sneakers"/>
    <n v="1"/>
    <n v="54.1"/>
    <n v="54.1"/>
    <d v="2025-02-19T00:00:00"/>
    <d v="2025-02-28T00:00:00"/>
    <s v="F"/>
    <x v="2"/>
    <n v="5"/>
    <s v="California"/>
    <s v="San Bernardino County"/>
    <n v="9"/>
    <x v="7"/>
    <x v="2"/>
  </r>
  <r>
    <s v="TX501307"/>
    <s v="Sandals"/>
    <n v="2"/>
    <n v="27.4"/>
    <n v="54.8"/>
    <d v="2025-02-19T00:00:00"/>
    <d v="2025-02-21T00:00:00"/>
    <s v="M"/>
    <x v="1"/>
    <n v="4"/>
    <s v="California"/>
    <s v="San Diego County"/>
    <n v="2"/>
    <x v="7"/>
    <x v="1"/>
  </r>
  <r>
    <s v="TX501308"/>
    <s v="Shorts"/>
    <n v="13"/>
    <n v="30.4"/>
    <n v="395.2"/>
    <d v="2025-02-19T00:00:00"/>
    <d v="2025-02-20T00:00:00"/>
    <s v="F"/>
    <x v="0"/>
    <n v="5"/>
    <s v="California"/>
    <s v="San Diego County"/>
    <n v="1"/>
    <x v="7"/>
    <x v="2"/>
  </r>
  <r>
    <s v="TX501309"/>
    <s v="Casual Dresses"/>
    <n v="3"/>
    <n v="46.2"/>
    <n v="138.60000000000002"/>
    <d v="2025-02-19T00:00:00"/>
    <d v="2025-02-21T00:00:00"/>
    <s v="M"/>
    <x v="2"/>
    <n v="3"/>
    <s v="California"/>
    <s v="San Francisco"/>
    <n v="2"/>
    <x v="7"/>
    <x v="1"/>
  </r>
  <r>
    <s v="TX501310"/>
    <s v="Hoodies &amp; Sweatshirts"/>
    <n v="8"/>
    <n v="78.599999999999994"/>
    <n v="628.79999999999995"/>
    <d v="2025-02-19T00:00:00"/>
    <d v="2025-02-23T00:00:00"/>
    <s v="M"/>
    <x v="3"/>
    <n v="4"/>
    <s v="California"/>
    <s v="San Francisco"/>
    <n v="4"/>
    <x v="7"/>
    <x v="1"/>
  </r>
  <r>
    <s v="TX501311"/>
    <s v="Pajama Sets"/>
    <n v="10"/>
    <n v="25.9"/>
    <n v="259"/>
    <d v="2025-02-19T00:00:00"/>
    <d v="2025-02-25T00:00:00"/>
    <s v="M"/>
    <x v="4"/>
    <n v="4"/>
    <s v="California"/>
    <s v="San Mateo County"/>
    <n v="6"/>
    <x v="7"/>
    <x v="1"/>
  </r>
  <r>
    <s v="TX501312"/>
    <s v="Jeans"/>
    <n v="1"/>
    <n v="134.80000000000001"/>
    <n v="134.80000000000001"/>
    <d v="2025-02-19T00:00:00"/>
    <d v="2025-02-21T00:00:00"/>
    <s v="M"/>
    <x v="2"/>
    <n v="5"/>
    <s v="California"/>
    <s v="San Mateo County"/>
    <n v="2"/>
    <x v="7"/>
    <x v="1"/>
  </r>
  <r>
    <s v="TX501313"/>
    <s v="Crop Tops"/>
    <n v="5"/>
    <n v="43.1"/>
    <n v="215.5"/>
    <d v="2025-02-19T00:00:00"/>
    <d v="2025-02-21T00:00:00"/>
    <s v="F"/>
    <x v="0"/>
    <n v="4"/>
    <s v="California"/>
    <s v="Santa Clara County"/>
    <n v="2"/>
    <x v="7"/>
    <x v="2"/>
  </r>
  <r>
    <s v="TX501314"/>
    <s v="Sneakers"/>
    <n v="2"/>
    <n v="215.6"/>
    <n v="431.2"/>
    <d v="2025-02-19T00:00:00"/>
    <d v="2025-02-20T00:00:00"/>
    <s v="F"/>
    <x v="2"/>
    <n v="4"/>
    <s v="California"/>
    <s v="Sonoma County"/>
    <n v="1"/>
    <x v="7"/>
    <x v="2"/>
  </r>
  <r>
    <s v="TX501315"/>
    <s v="Jeans"/>
    <n v="2"/>
    <n v="80.7"/>
    <n v="161.4"/>
    <d v="2025-02-19T00:00:00"/>
    <d v="2025-02-22T00:00:00"/>
    <s v="F"/>
    <x v="3"/>
    <n v="4"/>
    <s v="California"/>
    <s v="Sonoma County"/>
    <n v="3"/>
    <x v="7"/>
    <x v="2"/>
  </r>
  <r>
    <s v="TX501316"/>
    <s v="Bikinis"/>
    <n v="7"/>
    <n v="20.6"/>
    <n v="144.20000000000002"/>
    <d v="2025-02-19T00:00:00"/>
    <d v="2025-02-24T00:00:00"/>
    <s v=""/>
    <x v="2"/>
    <n v="3"/>
    <s v="California"/>
    <s v="Stanislaus County"/>
    <n v="5"/>
    <x v="7"/>
    <x v="0"/>
  </r>
  <r>
    <s v="TX501317"/>
    <s v="Casual Dresses"/>
    <n v="3"/>
    <n v="37.1"/>
    <n v="111.30000000000001"/>
    <d v="2025-02-19T00:00:00"/>
    <d v="2025-02-20T00:00:00"/>
    <s v="F"/>
    <x v="0"/>
    <n v="4"/>
    <s v="California"/>
    <s v="Tuolumne County"/>
    <n v="1"/>
    <x v="7"/>
    <x v="2"/>
  </r>
  <r>
    <s v="TX501318"/>
    <s v="Casual Dresses"/>
    <n v="1"/>
    <n v="104.8"/>
    <n v="104.8"/>
    <d v="2025-02-20T00:00:00"/>
    <d v="2025-02-22T00:00:00"/>
    <s v="F"/>
    <x v="0"/>
    <n v="4"/>
    <s v="California"/>
    <s v="Ventura County"/>
    <n v="2"/>
    <x v="7"/>
    <x v="2"/>
  </r>
  <r>
    <s v="TX501319"/>
    <s v="T-Shirts"/>
    <n v="2"/>
    <n v="59"/>
    <n v="118"/>
    <d v="2025-02-20T00:00:00"/>
    <d v="2025-02-21T00:00:00"/>
    <s v="M"/>
    <x v="1"/>
    <n v="4"/>
    <s v="California"/>
    <s v="Alameda County"/>
    <n v="1"/>
    <x v="7"/>
    <x v="1"/>
  </r>
  <r>
    <s v="TX501320"/>
    <s v="T-Shirts"/>
    <n v="2"/>
    <n v="32.299999999999997"/>
    <n v="64.599999999999994"/>
    <d v="2025-02-20T00:00:00"/>
    <d v="2025-02-21T00:00:00"/>
    <s v="M"/>
    <x v="0"/>
    <n v="5"/>
    <s v="California"/>
    <s v="Alameda County"/>
    <n v="1"/>
    <x v="7"/>
    <x v="1"/>
  </r>
  <r>
    <s v="TX501321"/>
    <s v="T-Shirts"/>
    <n v="4"/>
    <n v="28.9"/>
    <n v="115.6"/>
    <d v="2025-02-20T00:00:00"/>
    <d v="2025-02-27T00:00:00"/>
    <s v="M"/>
    <x v="0"/>
    <n v="4"/>
    <s v="California"/>
    <s v="Contra Costa County"/>
    <n v="7"/>
    <x v="7"/>
    <x v="1"/>
  </r>
  <r>
    <s v="TX501322"/>
    <s v="Shorts"/>
    <n v="2"/>
    <n v="29.6"/>
    <n v="59.2"/>
    <d v="2025-02-20T00:00:00"/>
    <d v="2025-02-22T00:00:00"/>
    <s v="M"/>
    <x v="0"/>
    <n v="4"/>
    <s v="California"/>
    <s v="Contra Costa County"/>
    <n v="2"/>
    <x v="7"/>
    <x v="1"/>
  </r>
  <r>
    <s v="TX501323"/>
    <s v="Shorts"/>
    <n v="5"/>
    <n v="29.4"/>
    <n v="147"/>
    <d v="2025-02-20T00:00:00"/>
    <d v="2025-02-23T00:00:00"/>
    <s v="F"/>
    <x v="0"/>
    <n v="4"/>
    <s v="California"/>
    <s v="Contra Costa County"/>
    <n v="3"/>
    <x v="7"/>
    <x v="2"/>
  </r>
  <r>
    <s v="TX501324"/>
    <s v="Tank Tops"/>
    <n v="2"/>
    <n v="40.6"/>
    <n v="81.2"/>
    <d v="2025-02-20T00:00:00"/>
    <d v="2025-02-21T00:00:00"/>
    <s v="M"/>
    <x v="0"/>
    <n v="2"/>
    <s v="California"/>
    <s v="Fresno County"/>
    <n v="1"/>
    <x v="7"/>
    <x v="1"/>
  </r>
  <r>
    <s v="TX501325"/>
    <s v="Shorts"/>
    <n v="3"/>
    <n v="32.5"/>
    <n v="97.5"/>
    <d v="2025-02-20T00:00:00"/>
    <d v="2025-02-21T00:00:00"/>
    <s v="M"/>
    <x v="3"/>
    <n v="5"/>
    <s v="California"/>
    <s v="Kern County"/>
    <n v="1"/>
    <x v="7"/>
    <x v="1"/>
  </r>
  <r>
    <s v="TX501326"/>
    <s v="Crop Tops"/>
    <n v="1"/>
    <n v="26.2"/>
    <n v="26.2"/>
    <d v="2025-02-20T00:00:00"/>
    <d v="2025-02-22T00:00:00"/>
    <s v="M"/>
    <x v="2"/>
    <n v="4"/>
    <s v="California"/>
    <s v="Lassen County"/>
    <n v="2"/>
    <x v="7"/>
    <x v="1"/>
  </r>
  <r>
    <s v="TX501327"/>
    <s v="Bikinis"/>
    <n v="30"/>
    <n v="44"/>
    <n v="1320"/>
    <d v="2025-02-20T00:00:00"/>
    <d v="2025-02-26T00:00:00"/>
    <s v="M"/>
    <x v="4"/>
    <n v="4"/>
    <s v="California"/>
    <s v="Los Angeles County"/>
    <n v="6"/>
    <x v="7"/>
    <x v="1"/>
  </r>
  <r>
    <s v="TX501328"/>
    <s v="Hoodies &amp; Sweatshirts"/>
    <n v="4"/>
    <n v="65.599999999999994"/>
    <n v="262.39999999999998"/>
    <d v="2025-02-20T00:00:00"/>
    <d v="2025-02-21T00:00:00"/>
    <s v="F"/>
    <x v="1"/>
    <n v="3"/>
    <s v="California"/>
    <s v="Los Angeles County"/>
    <n v="1"/>
    <x v="7"/>
    <x v="2"/>
  </r>
  <r>
    <s v="TX501329"/>
    <s v="Sandals"/>
    <n v="12"/>
    <n v="32.6"/>
    <n v="391.20000000000005"/>
    <d v="2025-02-20T00:00:00"/>
    <d v="2025-02-21T00:00:00"/>
    <s v="M"/>
    <x v="4"/>
    <n v="4"/>
    <s v="California"/>
    <s v="Los Angeles County"/>
    <n v="1"/>
    <x v="7"/>
    <x v="1"/>
  </r>
  <r>
    <s v="TX501330"/>
    <s v="Sunglasses"/>
    <n v="2"/>
    <n v="88.7"/>
    <n v="177.4"/>
    <d v="2025-02-20T00:00:00"/>
    <d v="2025-02-21T00:00:00"/>
    <s v=""/>
    <x v="3"/>
    <n v="5"/>
    <s v="California"/>
    <s v="Los Angeles County"/>
    <n v="1"/>
    <x v="7"/>
    <x v="0"/>
  </r>
  <r>
    <s v="TX501331"/>
    <s v="Graphic Tees"/>
    <n v="2"/>
    <n v="21.3"/>
    <n v="42.6"/>
    <d v="2025-02-20T00:00:00"/>
    <d v="2025-02-21T00:00:00"/>
    <s v="M"/>
    <x v="0"/>
    <n v="4"/>
    <s v="California"/>
    <s v="Los Angeles County"/>
    <n v="1"/>
    <x v="7"/>
    <x v="1"/>
  </r>
  <r>
    <s v="TX501332"/>
    <s v="Graphic Tees"/>
    <n v="6"/>
    <n v="50.6"/>
    <n v="303.60000000000002"/>
    <d v="2025-02-20T00:00:00"/>
    <d v="2025-02-24T00:00:00"/>
    <s v="F"/>
    <x v="2"/>
    <n v="4"/>
    <s v="California"/>
    <s v="Los Angeles County"/>
    <n v="4"/>
    <x v="7"/>
    <x v="2"/>
  </r>
  <r>
    <s v="TX501333"/>
    <s v="Sundresses"/>
    <n v="21"/>
    <n v="86.9"/>
    <n v="1824.9"/>
    <d v="2025-02-20T00:00:00"/>
    <d v="2025-02-23T00:00:00"/>
    <s v="F"/>
    <x v="0"/>
    <n v="3"/>
    <s v="California"/>
    <s v="Los Angeles County"/>
    <n v="3"/>
    <x v="7"/>
    <x v="2"/>
  </r>
  <r>
    <s v="TX501334"/>
    <s v="Maxi Dresses"/>
    <n v="3"/>
    <n v="31.8"/>
    <n v="95.4"/>
    <d v="2025-02-20T00:00:00"/>
    <d v="2025-02-22T00:00:00"/>
    <s v="M"/>
    <x v="0"/>
    <n v="5"/>
    <s v="California"/>
    <s v="Los Angeles County"/>
    <n v="2"/>
    <x v="7"/>
    <x v="1"/>
  </r>
  <r>
    <s v="TX501335"/>
    <s v="T-Shirts"/>
    <n v="1"/>
    <n v="19"/>
    <n v="19"/>
    <d v="2025-02-20T00:00:00"/>
    <d v="2025-02-21T00:00:00"/>
    <s v="F"/>
    <x v="0"/>
    <n v="5"/>
    <s v="California"/>
    <s v="Los Angeles County"/>
    <n v="1"/>
    <x v="7"/>
    <x v="2"/>
  </r>
  <r>
    <s v="TX501336"/>
    <s v="Sandals"/>
    <n v="1"/>
    <n v="54.5"/>
    <n v="54.5"/>
    <d v="2025-02-20T00:00:00"/>
    <d v="2025-02-22T00:00:00"/>
    <s v="M"/>
    <x v="0"/>
    <n v="4"/>
    <s v="California"/>
    <s v="Los Angeles County"/>
    <n v="2"/>
    <x v="7"/>
    <x v="1"/>
  </r>
  <r>
    <s v="TX501337"/>
    <s v="Sundresses"/>
    <n v="5"/>
    <n v="68.900000000000006"/>
    <n v="344.5"/>
    <d v="2025-02-20T00:00:00"/>
    <d v="2025-02-22T00:00:00"/>
    <s v="M"/>
    <x v="4"/>
    <n v="3"/>
    <s v="California"/>
    <s v="Los Angeles County"/>
    <n v="2"/>
    <x v="7"/>
    <x v="1"/>
  </r>
  <r>
    <s v="TX501338"/>
    <s v="Jeans"/>
    <n v="3"/>
    <n v="84"/>
    <n v="252"/>
    <d v="2025-02-20T00:00:00"/>
    <d v="2025-02-21T00:00:00"/>
    <s v="M"/>
    <x v="1"/>
    <n v="2"/>
    <s v="California"/>
    <s v="Napa County"/>
    <n v="1"/>
    <x v="7"/>
    <x v="1"/>
  </r>
  <r>
    <s v="TX501339"/>
    <s v="Crop Tops"/>
    <n v="8"/>
    <n v="23.1"/>
    <n v="184.8"/>
    <d v="2025-02-20T00:00:00"/>
    <d v="2025-02-25T00:00:00"/>
    <s v="M"/>
    <x v="0"/>
    <n v="5"/>
    <s v="California"/>
    <s v="Riverside County"/>
    <n v="5"/>
    <x v="7"/>
    <x v="1"/>
  </r>
  <r>
    <s v="TX501340"/>
    <s v="Hoodies &amp; Sweatshirts"/>
    <n v="2"/>
    <n v="62.4"/>
    <n v="124.8"/>
    <d v="2025-02-20T00:00:00"/>
    <d v="2025-02-21T00:00:00"/>
    <s v="F"/>
    <x v="0"/>
    <n v="3"/>
    <s v="California"/>
    <s v="Sacramento County"/>
    <n v="1"/>
    <x v="7"/>
    <x v="2"/>
  </r>
  <r>
    <s v="TX501341"/>
    <s v="Jeans"/>
    <n v="12"/>
    <n v="40.700000000000003"/>
    <n v="488.40000000000003"/>
    <d v="2025-02-20T00:00:00"/>
    <d v="2025-02-22T00:00:00"/>
    <s v="M"/>
    <x v="1"/>
    <n v="5"/>
    <s v="California"/>
    <s v="Sacramento County"/>
    <n v="2"/>
    <x v="7"/>
    <x v="1"/>
  </r>
  <r>
    <s v="TX501342"/>
    <s v="Jeans"/>
    <n v="1"/>
    <n v="49.6"/>
    <n v="49.6"/>
    <d v="2025-02-20T00:00:00"/>
    <d v="2025-02-23T00:00:00"/>
    <s v="M"/>
    <x v="2"/>
    <n v="4"/>
    <s v="California"/>
    <s v="San Bernardino County"/>
    <n v="3"/>
    <x v="7"/>
    <x v="1"/>
  </r>
  <r>
    <s v="TX501343"/>
    <s v="Hoodies &amp; Sweatshirts"/>
    <n v="45"/>
    <n v="66.599999999999994"/>
    <n v="2996.9999999999995"/>
    <d v="2025-02-20T00:00:00"/>
    <d v="2025-02-23T00:00:00"/>
    <s v="M"/>
    <x v="2"/>
    <n v="4"/>
    <s v="California"/>
    <s v="San Diego County"/>
    <n v="3"/>
    <x v="7"/>
    <x v="1"/>
  </r>
  <r>
    <s v="TX501344"/>
    <s v="T-Shirts"/>
    <n v="3"/>
    <n v="26.4"/>
    <n v="79.199999999999989"/>
    <d v="2025-02-20T00:00:00"/>
    <d v="2025-02-21T00:00:00"/>
    <s v="F"/>
    <x v="1"/>
    <n v="3"/>
    <s v="California"/>
    <s v="San Diego County"/>
    <n v="1"/>
    <x v="7"/>
    <x v="2"/>
  </r>
  <r>
    <s v="TX501345"/>
    <s v="Shorts"/>
    <n v="2"/>
    <n v="17.2"/>
    <n v="34.4"/>
    <d v="2025-02-20T00:00:00"/>
    <d v="2025-02-23T00:00:00"/>
    <s v="M"/>
    <x v="2"/>
    <n v="3"/>
    <s v="California"/>
    <s v="San Diego County"/>
    <n v="3"/>
    <x v="7"/>
    <x v="1"/>
  </r>
  <r>
    <s v="TX501346"/>
    <s v="Sandals"/>
    <n v="8"/>
    <n v="58.1"/>
    <n v="464.8"/>
    <d v="2025-02-20T00:00:00"/>
    <d v="2025-02-23T00:00:00"/>
    <s v="F"/>
    <x v="4"/>
    <n v="4"/>
    <s v="California"/>
    <s v="San Diego County"/>
    <n v="3"/>
    <x v="7"/>
    <x v="2"/>
  </r>
  <r>
    <s v="TX501347"/>
    <s v="Crop Tops"/>
    <n v="4"/>
    <n v="31.5"/>
    <n v="126"/>
    <d v="2025-02-20T00:00:00"/>
    <d v="2025-02-23T00:00:00"/>
    <s v="F"/>
    <x v="4"/>
    <n v="2"/>
    <s v="California"/>
    <s v="San Diego County"/>
    <n v="3"/>
    <x v="7"/>
    <x v="2"/>
  </r>
  <r>
    <s v="TX501348"/>
    <s v="Shorts"/>
    <n v="1"/>
    <n v="27.1"/>
    <n v="27.1"/>
    <d v="2025-02-20T00:00:00"/>
    <d v="2025-02-22T00:00:00"/>
    <s v="F"/>
    <x v="0"/>
    <n v="3"/>
    <s v="California"/>
    <s v="San Francisco"/>
    <n v="2"/>
    <x v="7"/>
    <x v="2"/>
  </r>
  <r>
    <s v="TX501349"/>
    <s v="Leggings"/>
    <n v="4"/>
    <n v="28.5"/>
    <n v="114"/>
    <d v="2025-02-20T00:00:00"/>
    <d v="2025-02-22T00:00:00"/>
    <s v="M"/>
    <x v="1"/>
    <n v="5"/>
    <s v="California"/>
    <s v="San Mateo County"/>
    <n v="2"/>
    <x v="7"/>
    <x v="1"/>
  </r>
  <r>
    <s v="TX501350"/>
    <s v="Bikinis"/>
    <n v="1"/>
    <n v="40.5"/>
    <n v="40.5"/>
    <d v="2025-02-21T00:00:00"/>
    <d v="2025-02-23T00:00:00"/>
    <s v="O"/>
    <x v="2"/>
    <n v="4"/>
    <s v="California"/>
    <s v="San Mateo County"/>
    <n v="2"/>
    <x v="7"/>
    <x v="3"/>
  </r>
  <r>
    <s v="TX501351"/>
    <s v="Sneakers"/>
    <n v="3"/>
    <n v="77.900000000000006"/>
    <n v="233.70000000000002"/>
    <d v="2025-02-21T00:00:00"/>
    <d v="2025-02-25T00:00:00"/>
    <s v="F"/>
    <x v="1"/>
    <n v="5"/>
    <s v="California"/>
    <s v="Stanislaus County"/>
    <n v="4"/>
    <x v="7"/>
    <x v="2"/>
  </r>
  <r>
    <s v="TX501352"/>
    <s v="Leggings"/>
    <n v="4"/>
    <n v="37.1"/>
    <n v="148.4"/>
    <d v="2025-02-21T00:00:00"/>
    <d v="2025-02-23T00:00:00"/>
    <s v="M"/>
    <x v="4"/>
    <n v="5"/>
    <s v="California"/>
    <s v="Stanislaus County"/>
    <n v="2"/>
    <x v="7"/>
    <x v="1"/>
  </r>
  <r>
    <s v="TX501353"/>
    <s v="Sunglasses"/>
    <n v="3"/>
    <n v="51.6"/>
    <n v="154.80000000000001"/>
    <d v="2025-02-21T00:00:00"/>
    <d v="2025-03-01T00:00:00"/>
    <s v="F"/>
    <x v="0"/>
    <n v="2"/>
    <s v="California"/>
    <s v="Stanislaus County"/>
    <n v="8"/>
    <x v="7"/>
    <x v="2"/>
  </r>
  <r>
    <s v="TX501354"/>
    <s v="Hoodies &amp; Sweatshirts"/>
    <n v="3"/>
    <n v="98"/>
    <n v="294"/>
    <d v="2025-02-21T00:00:00"/>
    <d v="2025-02-22T00:00:00"/>
    <s v="M"/>
    <x v="1"/>
    <n v="3"/>
    <s v="California"/>
    <s v="Stanislaus County"/>
    <n v="1"/>
    <x v="7"/>
    <x v="1"/>
  </r>
  <r>
    <s v="TX501355"/>
    <s v="Jeans"/>
    <n v="7"/>
    <n v="41.4"/>
    <n v="289.8"/>
    <d v="2025-02-21T00:00:00"/>
    <d v="2025-02-22T00:00:00"/>
    <s v="M"/>
    <x v="1"/>
    <n v="4"/>
    <s v="California"/>
    <s v="Tulare County"/>
    <n v="1"/>
    <x v="7"/>
    <x v="1"/>
  </r>
  <r>
    <s v="TX501356"/>
    <s v="Maxi Dresses"/>
    <n v="8"/>
    <n v="34"/>
    <n v="272"/>
    <d v="2025-02-21T00:00:00"/>
    <d v="2025-02-26T00:00:00"/>
    <s v="F"/>
    <x v="0"/>
    <n v="5"/>
    <s v="California"/>
    <s v="Tuolumne County"/>
    <n v="5"/>
    <x v="7"/>
    <x v="2"/>
  </r>
  <r>
    <s v="TX501357"/>
    <s v="Jeans"/>
    <n v="1"/>
    <n v="66.3"/>
    <n v="66.3"/>
    <d v="2025-02-21T00:00:00"/>
    <d v="2025-02-22T00:00:00"/>
    <s v="F"/>
    <x v="1"/>
    <n v="4"/>
    <s v="California"/>
    <s v="Ventura County"/>
    <n v="1"/>
    <x v="7"/>
    <x v="2"/>
  </r>
  <r>
    <s v="TX501358"/>
    <s v="Hoodies &amp; Sweatshirts"/>
    <n v="1"/>
    <n v="33.5"/>
    <n v="33.5"/>
    <d v="2025-02-21T00:00:00"/>
    <d v="2025-02-25T00:00:00"/>
    <s v="M"/>
    <x v="2"/>
    <n v="4"/>
    <s v="California"/>
    <s v="Ventura County"/>
    <n v="4"/>
    <x v="7"/>
    <x v="1"/>
  </r>
  <r>
    <s v="TX501359"/>
    <s v="Casual Dresses"/>
    <n v="2"/>
    <n v="70.8"/>
    <n v="141.6"/>
    <d v="2025-02-21T00:00:00"/>
    <d v="2025-02-22T00:00:00"/>
    <s v=""/>
    <x v="0"/>
    <n v="4"/>
    <s v="California"/>
    <s v="Yolo County"/>
    <n v="1"/>
    <x v="7"/>
    <x v="0"/>
  </r>
  <r>
    <s v="TX501360"/>
    <s v="Jeans"/>
    <n v="2"/>
    <n v="127.6"/>
    <n v="255.2"/>
    <d v="2025-02-21T00:00:00"/>
    <d v="2025-02-22T00:00:00"/>
    <s v="M"/>
    <x v="0"/>
    <n v="4"/>
    <s v="California"/>
    <s v="Alameda County"/>
    <n v="1"/>
    <x v="7"/>
    <x v="1"/>
  </r>
  <r>
    <s v="TX501361"/>
    <s v="Jeans"/>
    <n v="3"/>
    <n v="95.9"/>
    <n v="287.70000000000005"/>
    <d v="2025-02-21T00:00:00"/>
    <d v="2025-02-22T00:00:00"/>
    <s v="F"/>
    <x v="1"/>
    <n v="3"/>
    <s v="California"/>
    <s v="Alameda County"/>
    <n v="1"/>
    <x v="7"/>
    <x v="2"/>
  </r>
  <r>
    <s v="TX501362"/>
    <s v="Sneakers"/>
    <n v="2"/>
    <n v="78.099999999999994"/>
    <n v="156.19999999999999"/>
    <d v="2025-02-21T00:00:00"/>
    <d v="2025-02-22T00:00:00"/>
    <s v="M"/>
    <x v="0"/>
    <n v="4"/>
    <s v="California"/>
    <s v="Contra Costa County"/>
    <n v="1"/>
    <x v="7"/>
    <x v="1"/>
  </r>
  <r>
    <s v="TX501363"/>
    <s v="Tote Bags"/>
    <n v="2"/>
    <n v="43.2"/>
    <n v="86.4"/>
    <d v="2025-02-21T00:00:00"/>
    <d v="2025-02-22T00:00:00"/>
    <s v=""/>
    <x v="1"/>
    <n v="3"/>
    <s v="California"/>
    <s v="Contra Costa County"/>
    <n v="1"/>
    <x v="7"/>
    <x v="0"/>
  </r>
  <r>
    <s v="TX501364"/>
    <s v="T-Shirts"/>
    <n v="4"/>
    <n v="28.4"/>
    <n v="113.6"/>
    <d v="2025-02-21T00:00:00"/>
    <d v="2025-02-27T00:00:00"/>
    <s v="M"/>
    <x v="2"/>
    <n v="4"/>
    <s v="California"/>
    <s v="Los Angeles County"/>
    <n v="6"/>
    <x v="7"/>
    <x v="1"/>
  </r>
  <r>
    <s v="TX501365"/>
    <s v="Sneakers"/>
    <n v="2"/>
    <n v="81.7"/>
    <n v="163.4"/>
    <d v="2025-02-21T00:00:00"/>
    <d v="2025-02-21T00:00:00"/>
    <s v="M"/>
    <x v="0"/>
    <n v="4"/>
    <s v="California"/>
    <s v="Los Angeles County"/>
    <n v="0"/>
    <x v="7"/>
    <x v="1"/>
  </r>
  <r>
    <s v="TX501366"/>
    <s v="Leggings"/>
    <n v="2"/>
    <n v="56.7"/>
    <n v="113.4"/>
    <d v="2025-02-21T00:00:00"/>
    <d v="2025-02-23T00:00:00"/>
    <s v=""/>
    <x v="0"/>
    <n v="5"/>
    <s v="California"/>
    <s v="Los Angeles County"/>
    <n v="2"/>
    <x v="7"/>
    <x v="0"/>
  </r>
  <r>
    <s v="TX501367"/>
    <s v="Workout Tops"/>
    <n v="4"/>
    <n v="66.5"/>
    <n v="266"/>
    <d v="2025-02-21T00:00:00"/>
    <d v="2025-02-21T00:00:00"/>
    <s v="F"/>
    <x v="0"/>
    <n v="5"/>
    <s v="California"/>
    <s v="Los Angeles County"/>
    <n v="0"/>
    <x v="7"/>
    <x v="2"/>
  </r>
  <r>
    <s v="TX501368"/>
    <s v="Tank Tops"/>
    <n v="2"/>
    <n v="105.3"/>
    <n v="210.6"/>
    <d v="2025-02-21T00:00:00"/>
    <d v="2025-02-25T00:00:00"/>
    <s v="M"/>
    <x v="0"/>
    <n v="3"/>
    <s v="California"/>
    <s v="Los Angeles County"/>
    <n v="4"/>
    <x v="7"/>
    <x v="1"/>
  </r>
  <r>
    <s v="TX501369"/>
    <s v="Bikinis"/>
    <n v="5"/>
    <n v="33.799999999999997"/>
    <n v="169"/>
    <d v="2025-02-21T00:00:00"/>
    <d v="2025-02-26T00:00:00"/>
    <s v="M"/>
    <x v="0"/>
    <n v="4"/>
    <s v="California"/>
    <s v="Los Angeles County"/>
    <n v="5"/>
    <x v="7"/>
    <x v="1"/>
  </r>
  <r>
    <s v="TX501370"/>
    <s v="Jeans"/>
    <n v="3"/>
    <n v="63.4"/>
    <n v="190.2"/>
    <d v="2025-02-21T00:00:00"/>
    <d v="2025-02-26T00:00:00"/>
    <s v="M"/>
    <x v="3"/>
    <n v="3"/>
    <s v="California"/>
    <s v="Merced County"/>
    <n v="5"/>
    <x v="7"/>
    <x v="1"/>
  </r>
  <r>
    <s v="TX501371"/>
    <s v="Jeans"/>
    <n v="3"/>
    <n v="49"/>
    <n v="147"/>
    <d v="2025-02-21T00:00:00"/>
    <d v="2025-02-25T00:00:00"/>
    <s v="M"/>
    <x v="3"/>
    <n v="4"/>
    <s v="California"/>
    <s v="Monterey County"/>
    <n v="4"/>
    <x v="7"/>
    <x v="1"/>
  </r>
  <r>
    <s v="TX501372"/>
    <s v="Tank Tops"/>
    <n v="2"/>
    <n v="40"/>
    <n v="80"/>
    <d v="2025-02-21T00:00:00"/>
    <d v="2025-02-22T00:00:00"/>
    <s v="F"/>
    <x v="4"/>
    <n v="3"/>
    <s v="California"/>
    <s v="Riverside County"/>
    <n v="1"/>
    <x v="7"/>
    <x v="2"/>
  </r>
  <r>
    <s v="TX501373"/>
    <s v="Jeans"/>
    <n v="4"/>
    <n v="86.3"/>
    <n v="345.2"/>
    <d v="2025-02-21T00:00:00"/>
    <d v="2025-02-22T00:00:00"/>
    <s v="O"/>
    <x v="0"/>
    <n v="4"/>
    <s v="California"/>
    <s v="Sacramento County"/>
    <n v="1"/>
    <x v="7"/>
    <x v="3"/>
  </r>
  <r>
    <s v="TX501374"/>
    <s v="Jeans"/>
    <n v="1"/>
    <n v="51.6"/>
    <n v="51.6"/>
    <d v="2025-02-21T00:00:00"/>
    <d v="2025-02-23T00:00:00"/>
    <s v="F"/>
    <x v="2"/>
    <n v="5"/>
    <s v="California"/>
    <s v="Sacramento County"/>
    <n v="2"/>
    <x v="7"/>
    <x v="2"/>
  </r>
  <r>
    <s v="TX501375"/>
    <s v="Bikinis"/>
    <n v="3"/>
    <n v="26.7"/>
    <n v="80.099999999999994"/>
    <d v="2025-02-21T00:00:00"/>
    <d v="2025-02-26T00:00:00"/>
    <s v="F"/>
    <x v="2"/>
    <n v="3"/>
    <s v="California"/>
    <s v="Sacramento County"/>
    <n v="5"/>
    <x v="7"/>
    <x v="2"/>
  </r>
  <r>
    <s v="TX501376"/>
    <s v="Leggings"/>
    <n v="2"/>
    <n v="68.099999999999994"/>
    <n v="136.19999999999999"/>
    <d v="2025-02-21T00:00:00"/>
    <d v="2025-02-22T00:00:00"/>
    <s v="M"/>
    <x v="0"/>
    <n v="3"/>
    <s v="California"/>
    <s v="Sacramento County"/>
    <n v="1"/>
    <x v="7"/>
    <x v="1"/>
  </r>
  <r>
    <s v="TX501377"/>
    <s v="Tank Tops"/>
    <n v="1"/>
    <n v="81.7"/>
    <n v="81.7"/>
    <d v="2025-02-21T00:00:00"/>
    <d v="2025-02-22T00:00:00"/>
    <s v="M"/>
    <x v="0"/>
    <n v="4"/>
    <s v="California"/>
    <s v="San Bernardino County"/>
    <n v="1"/>
    <x v="7"/>
    <x v="1"/>
  </r>
  <r>
    <s v="TX501378"/>
    <s v="Leggings"/>
    <n v="10"/>
    <n v="25.1"/>
    <n v="251"/>
    <d v="2025-02-21T00:00:00"/>
    <d v="2025-02-24T00:00:00"/>
    <s v="M"/>
    <x v="3"/>
    <n v="3"/>
    <s v="California"/>
    <s v="San Diego County"/>
    <n v="3"/>
    <x v="7"/>
    <x v="1"/>
  </r>
  <r>
    <s v="TX501379"/>
    <s v="T-Shirts"/>
    <n v="1"/>
    <n v="20.2"/>
    <n v="20.2"/>
    <d v="2025-02-21T00:00:00"/>
    <d v="2025-02-25T00:00:00"/>
    <s v="F"/>
    <x v="0"/>
    <n v="4"/>
    <s v="California"/>
    <s v="San Diego County"/>
    <n v="4"/>
    <x v="7"/>
    <x v="2"/>
  </r>
  <r>
    <s v="TX501380"/>
    <s v="T-Shirts"/>
    <n v="3"/>
    <n v="15.4"/>
    <n v="46.2"/>
    <d v="2025-02-21T00:00:00"/>
    <d v="2025-02-22T00:00:00"/>
    <s v="M"/>
    <x v="1"/>
    <n v="5"/>
    <s v="California"/>
    <s v="San Diego County"/>
    <n v="1"/>
    <x v="7"/>
    <x v="1"/>
  </r>
  <r>
    <s v="TX501381"/>
    <s v="Bikinis"/>
    <n v="1"/>
    <n v="59.2"/>
    <n v="59.2"/>
    <d v="2025-02-21T00:00:00"/>
    <d v="2025-02-22T00:00:00"/>
    <s v="M"/>
    <x v="2"/>
    <n v="5"/>
    <s v="California"/>
    <s v="San Francisco"/>
    <n v="1"/>
    <x v="7"/>
    <x v="1"/>
  </r>
  <r>
    <s v="TX501382"/>
    <s v="Shorts"/>
    <n v="1"/>
    <n v="46.7"/>
    <n v="46.7"/>
    <d v="2025-02-21T00:00:00"/>
    <d v="2025-02-26T00:00:00"/>
    <s v="M"/>
    <x v="0"/>
    <n v="4"/>
    <s v="California"/>
    <s v="San Francisco"/>
    <n v="5"/>
    <x v="7"/>
    <x v="1"/>
  </r>
  <r>
    <s v="TX501383"/>
    <s v="Jeans"/>
    <n v="15"/>
    <n v="41.6"/>
    <n v="624"/>
    <d v="2025-02-21T00:00:00"/>
    <d v="2025-02-23T00:00:00"/>
    <s v="M"/>
    <x v="1"/>
    <n v="4"/>
    <s v="California"/>
    <s v="San Joaquin County"/>
    <n v="2"/>
    <x v="7"/>
    <x v="1"/>
  </r>
  <r>
    <s v="TX501384"/>
    <s v="T-Shirts"/>
    <n v="2"/>
    <n v="19.2"/>
    <n v="38.4"/>
    <d v="2025-02-21T00:00:00"/>
    <d v="2025-02-24T00:00:00"/>
    <s v="M"/>
    <x v="4"/>
    <n v="5"/>
    <s v="California"/>
    <s v="San Mateo County"/>
    <n v="3"/>
    <x v="7"/>
    <x v="1"/>
  </r>
  <r>
    <s v="TX501385"/>
    <s v="Pajama Sets"/>
    <n v="7"/>
    <n v="41.8"/>
    <n v="292.59999999999997"/>
    <d v="2025-02-21T00:00:00"/>
    <d v="2025-02-23T00:00:00"/>
    <s v="F"/>
    <x v="2"/>
    <n v="4"/>
    <s v="California"/>
    <s v="Santa Clara County"/>
    <n v="2"/>
    <x v="7"/>
    <x v="2"/>
  </r>
  <r>
    <s v="TX501386"/>
    <s v="T-Shirts"/>
    <n v="6"/>
    <n v="37.4"/>
    <n v="224.39999999999998"/>
    <d v="2025-02-21T00:00:00"/>
    <d v="2025-02-23T00:00:00"/>
    <s v="M"/>
    <x v="0"/>
    <n v="5"/>
    <s v="California"/>
    <s v="Santa Clara County"/>
    <n v="2"/>
    <x v="7"/>
    <x v="1"/>
  </r>
  <r>
    <s v="TX501387"/>
    <s v="Bikinis"/>
    <n v="3"/>
    <n v="60.2"/>
    <n v="180.60000000000002"/>
    <d v="2025-02-21T00:00:00"/>
    <d v="2025-02-24T00:00:00"/>
    <s v="M"/>
    <x v="4"/>
    <n v="3"/>
    <s v="California"/>
    <s v="Solano County"/>
    <n v="3"/>
    <x v="7"/>
    <x v="1"/>
  </r>
  <r>
    <s v="TX501388"/>
    <s v="Sundresses"/>
    <n v="2"/>
    <n v="91.5"/>
    <n v="183"/>
    <d v="2025-02-22T00:00:00"/>
    <d v="2025-02-23T00:00:00"/>
    <s v="M"/>
    <x v="0"/>
    <n v="4"/>
    <s v="California"/>
    <s v="Ventura County"/>
    <n v="1"/>
    <x v="7"/>
    <x v="1"/>
  </r>
  <r>
    <s v="TX501389"/>
    <s v="Workout Tops"/>
    <n v="5"/>
    <n v="55.7"/>
    <n v="278.5"/>
    <d v="2025-02-22T00:00:00"/>
    <d v="2025-02-24T00:00:00"/>
    <s v=""/>
    <x v="1"/>
    <n v="5"/>
    <s v="California"/>
    <s v="Alameda County"/>
    <n v="2"/>
    <x v="7"/>
    <x v="0"/>
  </r>
  <r>
    <s v="TX501390"/>
    <s v="Hoodies &amp; Sweatshirts"/>
    <n v="2"/>
    <n v="76.7"/>
    <n v="153.4"/>
    <d v="2025-02-22T00:00:00"/>
    <d v="2025-02-24T00:00:00"/>
    <s v="M"/>
    <x v="0"/>
    <n v="3"/>
    <s v="California"/>
    <s v="Alameda County"/>
    <n v="2"/>
    <x v="7"/>
    <x v="1"/>
  </r>
  <r>
    <s v="TX501391"/>
    <s v="T-Shirts"/>
    <n v="21"/>
    <n v="28.2"/>
    <n v="592.19999999999993"/>
    <d v="2025-02-22T00:00:00"/>
    <d v="2025-02-27T00:00:00"/>
    <s v="M"/>
    <x v="2"/>
    <n v="4"/>
    <s v="California"/>
    <s v="Contra Costa County"/>
    <n v="5"/>
    <x v="7"/>
    <x v="1"/>
  </r>
  <r>
    <s v="TX501392"/>
    <s v="Hoodies &amp; Sweatshirts"/>
    <n v="5"/>
    <n v="93.2"/>
    <n v="466"/>
    <d v="2025-02-22T00:00:00"/>
    <d v="2025-02-24T00:00:00"/>
    <s v="F"/>
    <x v="4"/>
    <n v="5"/>
    <s v="California"/>
    <s v="Contra Costa County"/>
    <n v="2"/>
    <x v="7"/>
    <x v="2"/>
  </r>
  <r>
    <s v="TX501393"/>
    <s v="Pajama Sets"/>
    <n v="1"/>
    <n v="33.299999999999997"/>
    <n v="33.299999999999997"/>
    <d v="2025-02-22T00:00:00"/>
    <d v="2025-02-23T00:00:00"/>
    <s v="M"/>
    <x v="4"/>
    <n v="4"/>
    <s v="California"/>
    <s v="Fresno County"/>
    <n v="1"/>
    <x v="7"/>
    <x v="1"/>
  </r>
  <r>
    <s v="TX501394"/>
    <s v="Bikinis"/>
    <n v="2"/>
    <n v="39.1"/>
    <n v="78.2"/>
    <d v="2025-02-22T00:00:00"/>
    <d v="2025-02-25T00:00:00"/>
    <s v="M"/>
    <x v="0"/>
    <n v="4"/>
    <s v="California"/>
    <s v="Humboldt County"/>
    <n v="3"/>
    <x v="7"/>
    <x v="1"/>
  </r>
  <r>
    <s v="TX501395"/>
    <s v="Hoodies &amp; Sweatshirts"/>
    <n v="12"/>
    <n v="45.3"/>
    <n v="543.59999999999991"/>
    <d v="2025-02-22T00:00:00"/>
    <d v="2025-02-23T00:00:00"/>
    <s v="M"/>
    <x v="2"/>
    <n v="4"/>
    <s v="California"/>
    <s v="Imperial County"/>
    <n v="1"/>
    <x v="7"/>
    <x v="1"/>
  </r>
  <r>
    <s v="TX501396"/>
    <s v="Sundresses"/>
    <n v="7"/>
    <n v="33.9"/>
    <n v="237.29999999999998"/>
    <d v="2025-02-22T00:00:00"/>
    <d v="2025-02-23T00:00:00"/>
    <s v="M"/>
    <x v="4"/>
    <n v="4"/>
    <s v="California"/>
    <s v="Imperial County"/>
    <n v="1"/>
    <x v="7"/>
    <x v="1"/>
  </r>
  <r>
    <s v="TX501397"/>
    <s v="T-Shirts"/>
    <n v="3"/>
    <n v="19"/>
    <n v="57"/>
    <d v="2025-02-22T00:00:00"/>
    <d v="2025-02-23T00:00:00"/>
    <s v="M"/>
    <x v="0"/>
    <n v="5"/>
    <s v="California"/>
    <s v="Inyo County"/>
    <n v="1"/>
    <x v="7"/>
    <x v="1"/>
  </r>
  <r>
    <s v="TX501398"/>
    <s v="Graphic Tees"/>
    <n v="1"/>
    <n v="41.9"/>
    <n v="41.9"/>
    <d v="2025-02-22T00:00:00"/>
    <d v="2025-02-25T00:00:00"/>
    <s v="F"/>
    <x v="2"/>
    <n v="4"/>
    <s v="California"/>
    <s v="Kern County"/>
    <n v="3"/>
    <x v="7"/>
    <x v="2"/>
  </r>
  <r>
    <s v="TX501399"/>
    <s v="Tank Tops"/>
    <n v="4"/>
    <n v="37.5"/>
    <n v="150"/>
    <d v="2025-02-22T00:00:00"/>
    <d v="2025-02-22T00:00:00"/>
    <s v="F"/>
    <x v="0"/>
    <n v="4"/>
    <s v="California"/>
    <s v="Los Angeles County"/>
    <n v="0"/>
    <x v="7"/>
    <x v="2"/>
  </r>
  <r>
    <s v="TX501400"/>
    <s v="Shorts"/>
    <n v="2"/>
    <n v="40.799999999999997"/>
    <n v="81.599999999999994"/>
    <d v="2025-02-22T00:00:00"/>
    <d v="2025-02-25T00:00:00"/>
    <s v="M"/>
    <x v="0"/>
    <n v="4"/>
    <s v="California"/>
    <s v="Los Angeles County"/>
    <n v="3"/>
    <x v="7"/>
    <x v="1"/>
  </r>
  <r>
    <s v="TX501401"/>
    <s v="Shorts"/>
    <n v="4"/>
    <n v="23.1"/>
    <n v="92.4"/>
    <d v="2025-02-22T00:00:00"/>
    <d v="2025-02-23T00:00:00"/>
    <s v="F"/>
    <x v="4"/>
    <n v="4"/>
    <s v="California"/>
    <s v="Los Angeles County"/>
    <n v="1"/>
    <x v="7"/>
    <x v="2"/>
  </r>
  <r>
    <s v="TX501402"/>
    <s v="T-Shirts"/>
    <n v="5"/>
    <n v="39.299999999999997"/>
    <n v="196.5"/>
    <d v="2025-02-22T00:00:00"/>
    <d v="2025-02-23T00:00:00"/>
    <s v="F"/>
    <x v="0"/>
    <n v="4"/>
    <s v="California"/>
    <s v="Los Angeles County"/>
    <n v="1"/>
    <x v="7"/>
    <x v="2"/>
  </r>
  <r>
    <s v="TX501403"/>
    <s v="Sneakers"/>
    <n v="4"/>
    <n v="85.2"/>
    <n v="340.8"/>
    <d v="2025-02-22T00:00:00"/>
    <d v="2025-02-27T00:00:00"/>
    <s v="M"/>
    <x v="2"/>
    <n v="4"/>
    <s v="California"/>
    <s v="Los Angeles County"/>
    <n v="5"/>
    <x v="7"/>
    <x v="1"/>
  </r>
  <r>
    <s v="TX501404"/>
    <s v="T-Shirts"/>
    <n v="6"/>
    <n v="16"/>
    <n v="96"/>
    <d v="2025-02-22T00:00:00"/>
    <d v="2025-02-25T00:00:00"/>
    <s v="M"/>
    <x v="1"/>
    <n v="4"/>
    <s v="California"/>
    <s v="Los Angeles County"/>
    <n v="3"/>
    <x v="7"/>
    <x v="1"/>
  </r>
  <r>
    <s v="TX501405"/>
    <s v="Tank Tops"/>
    <n v="2"/>
    <n v="33.799999999999997"/>
    <n v="67.599999999999994"/>
    <d v="2025-02-22T00:00:00"/>
    <d v="2025-02-26T00:00:00"/>
    <s v="F"/>
    <x v="1"/>
    <n v="4"/>
    <s v="California"/>
    <s v="Los Angeles County"/>
    <n v="4"/>
    <x v="7"/>
    <x v="2"/>
  </r>
  <r>
    <s v="TX501406"/>
    <s v="Workout Tops"/>
    <n v="1"/>
    <n v="70"/>
    <n v="70"/>
    <d v="2025-02-22T00:00:00"/>
    <d v="2025-02-23T00:00:00"/>
    <s v="F"/>
    <x v="0"/>
    <n v="4"/>
    <s v="California"/>
    <s v="Los Angeles County"/>
    <n v="1"/>
    <x v="7"/>
    <x v="2"/>
  </r>
  <r>
    <s v="TX501407"/>
    <s v="Sundresses"/>
    <n v="1"/>
    <n v="88"/>
    <n v="88"/>
    <d v="2025-02-22T00:00:00"/>
    <d v="2025-02-27T00:00:00"/>
    <s v="F"/>
    <x v="3"/>
    <n v="4"/>
    <s v="California"/>
    <s v="Los Angeles County"/>
    <n v="5"/>
    <x v="7"/>
    <x v="2"/>
  </r>
  <r>
    <s v="TX501408"/>
    <s v="Sneakers"/>
    <n v="3"/>
    <n v="74.099999999999994"/>
    <n v="222.29999999999998"/>
    <d v="2025-02-22T00:00:00"/>
    <d v="2025-02-22T00:00:00"/>
    <s v="M"/>
    <x v="4"/>
    <n v="3"/>
    <s v="California"/>
    <s v="Los Angeles County"/>
    <n v="0"/>
    <x v="7"/>
    <x v="1"/>
  </r>
  <r>
    <s v="TX501409"/>
    <s v="Sneakers"/>
    <n v="1"/>
    <n v="161.9"/>
    <n v="161.9"/>
    <d v="2025-02-22T00:00:00"/>
    <d v="2025-02-24T00:00:00"/>
    <s v="M"/>
    <x v="2"/>
    <n v="4"/>
    <s v="California"/>
    <s v="Los Angeles County"/>
    <n v="2"/>
    <x v="7"/>
    <x v="1"/>
  </r>
  <r>
    <s v="TX501410"/>
    <s v="Graphic Tees"/>
    <n v="2"/>
    <n v="44"/>
    <n v="88"/>
    <d v="2025-02-22T00:00:00"/>
    <d v="2025-02-23T00:00:00"/>
    <s v="O"/>
    <x v="4"/>
    <n v="3"/>
    <s v="California"/>
    <s v="Los Angeles County"/>
    <n v="1"/>
    <x v="7"/>
    <x v="3"/>
  </r>
  <r>
    <s v="TX501411"/>
    <s v="Maxi Dresses"/>
    <n v="1"/>
    <n v="32.1"/>
    <n v="32.1"/>
    <d v="2025-02-22T00:00:00"/>
    <d v="2025-02-22T00:00:00"/>
    <s v="F"/>
    <x v="3"/>
    <n v="1"/>
    <s v="California"/>
    <s v="Los Angeles County"/>
    <n v="0"/>
    <x v="7"/>
    <x v="2"/>
  </r>
  <r>
    <s v="TX501412"/>
    <s v="Sneakers"/>
    <n v="4"/>
    <n v="104.8"/>
    <n v="419.2"/>
    <d v="2025-02-23T00:00:00"/>
    <d v="2025-02-25T00:00:00"/>
    <s v="O"/>
    <x v="0"/>
    <n v="4"/>
    <s v="California"/>
    <s v="Los Angeles County"/>
    <n v="2"/>
    <x v="7"/>
    <x v="3"/>
  </r>
  <r>
    <s v="TX501413"/>
    <s v="Sundresses"/>
    <n v="6"/>
    <n v="67.400000000000006"/>
    <n v="404.40000000000003"/>
    <d v="2025-02-23T00:00:00"/>
    <d v="2025-02-24T00:00:00"/>
    <s v="F"/>
    <x v="3"/>
    <n v="4"/>
    <s v="California"/>
    <s v="Los Angeles County"/>
    <n v="1"/>
    <x v="7"/>
    <x v="2"/>
  </r>
  <r>
    <s v="TX501414"/>
    <s v="Jeans"/>
    <n v="2"/>
    <n v="115.2"/>
    <n v="230.4"/>
    <d v="2025-02-23T00:00:00"/>
    <d v="2025-02-24T00:00:00"/>
    <s v="F"/>
    <x v="1"/>
    <n v="4"/>
    <s v="California"/>
    <s v="Nevada County"/>
    <n v="1"/>
    <x v="7"/>
    <x v="2"/>
  </r>
  <r>
    <s v="TX501415"/>
    <s v="T-Shirts"/>
    <n v="29"/>
    <n v="15.5"/>
    <n v="449.5"/>
    <d v="2025-02-23T00:00:00"/>
    <d v="2025-02-25T00:00:00"/>
    <s v="F"/>
    <x v="0"/>
    <n v="3"/>
    <s v="California"/>
    <s v="Riverside County"/>
    <n v="2"/>
    <x v="7"/>
    <x v="2"/>
  </r>
  <r>
    <s v="TX501416"/>
    <s v="Jeans"/>
    <n v="11"/>
    <n v="66.400000000000006"/>
    <n v="730.40000000000009"/>
    <d v="2025-02-23T00:00:00"/>
    <d v="2025-02-25T00:00:00"/>
    <s v="F"/>
    <x v="0"/>
    <n v="4"/>
    <s v="California"/>
    <s v="Sacramento County"/>
    <n v="2"/>
    <x v="7"/>
    <x v="2"/>
  </r>
  <r>
    <s v="TX501417"/>
    <s v="Sundresses"/>
    <n v="12"/>
    <n v="68.099999999999994"/>
    <n v="817.19999999999993"/>
    <d v="2025-02-23T00:00:00"/>
    <d v="2025-02-24T00:00:00"/>
    <s v="F"/>
    <x v="2"/>
    <n v="4"/>
    <s v="California"/>
    <s v="San Diego County"/>
    <n v="1"/>
    <x v="7"/>
    <x v="2"/>
  </r>
  <r>
    <s v="TX501418"/>
    <s v="T-Shirts"/>
    <n v="5"/>
    <n v="32.5"/>
    <n v="162.5"/>
    <d v="2025-02-23T00:00:00"/>
    <d v="2025-02-27T00:00:00"/>
    <s v="M"/>
    <x v="2"/>
    <n v="3"/>
    <s v="California"/>
    <s v="San Diego County"/>
    <n v="4"/>
    <x v="7"/>
    <x v="1"/>
  </r>
  <r>
    <s v="TX501419"/>
    <s v="Crop Tops"/>
    <n v="3"/>
    <n v="61.2"/>
    <n v="183.60000000000002"/>
    <d v="2025-02-23T00:00:00"/>
    <d v="2025-02-25T00:00:00"/>
    <s v="F"/>
    <x v="1"/>
    <n v="3"/>
    <s v="California"/>
    <s v="San Diego County"/>
    <n v="2"/>
    <x v="7"/>
    <x v="2"/>
  </r>
  <r>
    <s v="TX501420"/>
    <s v="Sundresses"/>
    <n v="2"/>
    <n v="54.2"/>
    <n v="108.4"/>
    <d v="2025-02-23T00:00:00"/>
    <d v="2025-02-24T00:00:00"/>
    <s v="F"/>
    <x v="1"/>
    <n v="4"/>
    <s v="California"/>
    <s v="San Diego County"/>
    <n v="1"/>
    <x v="7"/>
    <x v="2"/>
  </r>
  <r>
    <s v="TX501421"/>
    <s v="Maxi Dresses"/>
    <n v="8"/>
    <n v="28.7"/>
    <n v="229.6"/>
    <d v="2025-02-23T00:00:00"/>
    <d v="2025-02-25T00:00:00"/>
    <s v="M"/>
    <x v="1"/>
    <n v="4"/>
    <s v="California"/>
    <s v="San Mateo County"/>
    <n v="2"/>
    <x v="7"/>
    <x v="1"/>
  </r>
  <r>
    <s v="TX501422"/>
    <s v="Casual Dresses"/>
    <n v="6"/>
    <n v="38.200000000000003"/>
    <n v="229.20000000000002"/>
    <d v="2025-02-23T00:00:00"/>
    <d v="2025-02-27T00:00:00"/>
    <s v="F"/>
    <x v="0"/>
    <n v="3"/>
    <s v="California"/>
    <s v="San Mateo County"/>
    <n v="4"/>
    <x v="7"/>
    <x v="2"/>
  </r>
  <r>
    <s v="TX501423"/>
    <s v="T-Shirts"/>
    <n v="12"/>
    <n v="17.600000000000001"/>
    <n v="211.20000000000002"/>
    <d v="2025-02-23T00:00:00"/>
    <d v="2025-02-24T00:00:00"/>
    <s v="F"/>
    <x v="2"/>
    <n v="3"/>
    <s v="California"/>
    <s v="San Mateo County"/>
    <n v="1"/>
    <x v="7"/>
    <x v="2"/>
  </r>
  <r>
    <s v="TX501424"/>
    <s v="Bikinis"/>
    <n v="3"/>
    <n v="74.599999999999994"/>
    <n v="223.79999999999998"/>
    <d v="2025-02-23T00:00:00"/>
    <d v="2025-02-23T00:00:00"/>
    <s v="F"/>
    <x v="2"/>
    <n v="4"/>
    <s v="California"/>
    <s v="Santa Clara County"/>
    <n v="0"/>
    <x v="7"/>
    <x v="2"/>
  </r>
  <r>
    <s v="TX501425"/>
    <s v="Sunglasses"/>
    <n v="15"/>
    <n v="72.599999999999994"/>
    <n v="1089"/>
    <d v="2025-02-23T00:00:00"/>
    <d v="2025-02-23T00:00:00"/>
    <s v=""/>
    <x v="1"/>
    <n v="3"/>
    <s v="California"/>
    <s v="Santa Clara County"/>
    <n v="0"/>
    <x v="7"/>
    <x v="0"/>
  </r>
  <r>
    <s v="TX501426"/>
    <s v="Hoodies &amp; Sweatshirts"/>
    <n v="1"/>
    <n v="62.3"/>
    <n v="62.3"/>
    <d v="2025-02-23T00:00:00"/>
    <d v="2025-02-24T00:00:00"/>
    <s v="F"/>
    <x v="1"/>
    <n v="4"/>
    <s v="California"/>
    <s v="Santa Clara County"/>
    <n v="1"/>
    <x v="7"/>
    <x v="2"/>
  </r>
  <r>
    <s v="TX501427"/>
    <s v="Workout Tops"/>
    <n v="3"/>
    <n v="33.799999999999997"/>
    <n v="101.39999999999999"/>
    <d v="2025-02-23T00:00:00"/>
    <d v="2025-02-25T00:00:00"/>
    <s v="M"/>
    <x v="0"/>
    <n v="5"/>
    <s v="California"/>
    <s v="Tulare County"/>
    <n v="2"/>
    <x v="7"/>
    <x v="1"/>
  </r>
  <r>
    <s v="TX501428"/>
    <s v="Sundresses"/>
    <n v="1"/>
    <n v="85.7"/>
    <n v="85.7"/>
    <d v="2025-02-23T00:00:00"/>
    <d v="2025-02-26T00:00:00"/>
    <s v="M"/>
    <x v="3"/>
    <n v="3"/>
    <s v="California"/>
    <s v="Alameda County"/>
    <n v="3"/>
    <x v="7"/>
    <x v="1"/>
  </r>
  <r>
    <s v="TX501429"/>
    <s v="Jeans"/>
    <n v="2"/>
    <n v="92.1"/>
    <n v="184.2"/>
    <d v="2025-02-23T00:00:00"/>
    <d v="2025-02-25T00:00:00"/>
    <s v="M"/>
    <x v="1"/>
    <n v="4"/>
    <s v="California"/>
    <s v="Alameda County"/>
    <n v="2"/>
    <x v="7"/>
    <x v="1"/>
  </r>
  <r>
    <s v="TX501430"/>
    <s v="Sunglasses"/>
    <n v="3"/>
    <n v="65.099999999999994"/>
    <n v="195.29999999999998"/>
    <d v="2025-02-23T00:00:00"/>
    <d v="2025-02-26T00:00:00"/>
    <s v="M"/>
    <x v="0"/>
    <n v="4"/>
    <s v="California"/>
    <s v="Contra Costa County"/>
    <n v="3"/>
    <x v="7"/>
    <x v="1"/>
  </r>
  <r>
    <s v="TX501431"/>
    <s v="Sundresses"/>
    <n v="7"/>
    <n v="20.3"/>
    <n v="142.1"/>
    <d v="2025-02-23T00:00:00"/>
    <d v="2025-02-24T00:00:00"/>
    <s v="F"/>
    <x v="2"/>
    <n v="5"/>
    <s v="California"/>
    <s v="Fresno County"/>
    <n v="1"/>
    <x v="7"/>
    <x v="2"/>
  </r>
  <r>
    <s v="TX501432"/>
    <s v="Jewelry"/>
    <n v="2"/>
    <n v="29.8"/>
    <n v="59.6"/>
    <d v="2025-02-23T00:00:00"/>
    <d v="2025-02-25T00:00:00"/>
    <s v="F"/>
    <x v="1"/>
    <n v="5"/>
    <s v="California"/>
    <s v="Kings County"/>
    <n v="2"/>
    <x v="7"/>
    <x v="2"/>
  </r>
  <r>
    <s v="TX501433"/>
    <s v="Shorts"/>
    <n v="2"/>
    <n v="24.2"/>
    <n v="48.4"/>
    <d v="2025-02-23T00:00:00"/>
    <d v="2025-02-25T00:00:00"/>
    <s v="F"/>
    <x v="3"/>
    <n v="5"/>
    <s v="California"/>
    <s v="Los Angeles County"/>
    <n v="2"/>
    <x v="7"/>
    <x v="2"/>
  </r>
  <r>
    <s v="TX501434"/>
    <s v="Workout Tops"/>
    <n v="1"/>
    <n v="57.3"/>
    <n v="57.3"/>
    <d v="2025-02-23T00:00:00"/>
    <d v="2025-02-25T00:00:00"/>
    <s v="M"/>
    <x v="0"/>
    <n v="4"/>
    <s v="California"/>
    <s v="Los Angeles County"/>
    <n v="2"/>
    <x v="7"/>
    <x v="1"/>
  </r>
  <r>
    <s v="TX501435"/>
    <s v="Sneakers"/>
    <n v="1"/>
    <n v="108.9"/>
    <n v="108.9"/>
    <d v="2025-02-23T00:00:00"/>
    <d v="2025-02-25T00:00:00"/>
    <s v="F"/>
    <x v="1"/>
    <n v="4"/>
    <s v="California"/>
    <s v="Los Angeles County"/>
    <n v="2"/>
    <x v="7"/>
    <x v="2"/>
  </r>
  <r>
    <s v="TX501436"/>
    <s v="Hoodies &amp; Sweatshirts"/>
    <n v="5"/>
    <n v="50.7"/>
    <n v="253.5"/>
    <d v="2025-02-23T00:00:00"/>
    <d v="2025-02-24T00:00:00"/>
    <s v="F"/>
    <x v="0"/>
    <n v="4"/>
    <s v="California"/>
    <s v="Los Angeles County"/>
    <n v="1"/>
    <x v="7"/>
    <x v="2"/>
  </r>
  <r>
    <s v="TX501437"/>
    <s v="Hoodies &amp; Sweatshirts"/>
    <n v="9"/>
    <n v="66.099999999999994"/>
    <n v="594.9"/>
    <d v="2025-02-23T00:00:00"/>
    <d v="2025-03-09T00:00:00"/>
    <s v="F"/>
    <x v="1"/>
    <n v="4"/>
    <s v="California"/>
    <s v="Los Angeles County"/>
    <n v="14"/>
    <x v="7"/>
    <x v="2"/>
  </r>
  <r>
    <s v="TX501438"/>
    <s v="Casual Dresses"/>
    <n v="5"/>
    <n v="36.700000000000003"/>
    <n v="183.5"/>
    <d v="2025-02-23T00:00:00"/>
    <d v="2025-02-27T00:00:00"/>
    <s v="F"/>
    <x v="4"/>
    <n v="4"/>
    <s v="California"/>
    <s v="Los Angeles County"/>
    <n v="4"/>
    <x v="7"/>
    <x v="2"/>
  </r>
  <r>
    <s v="TX501439"/>
    <s v="T-Shirts"/>
    <n v="17"/>
    <n v="19.3"/>
    <n v="328.1"/>
    <d v="2025-02-23T00:00:00"/>
    <d v="2025-02-25T00:00:00"/>
    <s v="M"/>
    <x v="0"/>
    <n v="4"/>
    <s v="California"/>
    <s v="Marin County"/>
    <n v="2"/>
    <x v="7"/>
    <x v="1"/>
  </r>
  <r>
    <s v="TX501440"/>
    <s v="T-Shirts"/>
    <n v="4"/>
    <n v="20.7"/>
    <n v="82.8"/>
    <d v="2025-02-23T00:00:00"/>
    <d v="2025-02-24T00:00:00"/>
    <s v="M"/>
    <x v="1"/>
    <n v="5"/>
    <s v="California"/>
    <s v="Sacramento County"/>
    <n v="1"/>
    <x v="7"/>
    <x v="1"/>
  </r>
  <r>
    <s v="TX501441"/>
    <s v="Sandals"/>
    <n v="3"/>
    <n v="54.7"/>
    <n v="164.10000000000002"/>
    <d v="2025-02-23T00:00:00"/>
    <d v="2025-02-23T00:00:00"/>
    <s v="O"/>
    <x v="1"/>
    <n v="2"/>
    <s v="California"/>
    <s v="Sacramento County"/>
    <n v="0"/>
    <x v="7"/>
    <x v="3"/>
  </r>
  <r>
    <s v="TX501442"/>
    <s v="Graphic Tees"/>
    <n v="2"/>
    <n v="19.8"/>
    <n v="39.6"/>
    <d v="2025-02-23T00:00:00"/>
    <d v="2025-02-27T00:00:00"/>
    <s v="F"/>
    <x v="4"/>
    <n v="3"/>
    <s v="California"/>
    <s v="San Diego County"/>
    <n v="4"/>
    <x v="7"/>
    <x v="2"/>
  </r>
  <r>
    <s v="TX501443"/>
    <s v="Hoodies &amp; Sweatshirts"/>
    <n v="1"/>
    <n v="41.1"/>
    <n v="41.1"/>
    <d v="2025-02-23T00:00:00"/>
    <d v="2025-02-25T00:00:00"/>
    <s v="F"/>
    <x v="0"/>
    <n v="5"/>
    <s v="California"/>
    <s v="San Diego County"/>
    <n v="2"/>
    <x v="7"/>
    <x v="2"/>
  </r>
  <r>
    <s v="TX501444"/>
    <s v="Maxi Dresses"/>
    <n v="8"/>
    <n v="43.5"/>
    <n v="348"/>
    <d v="2025-02-23T00:00:00"/>
    <d v="2025-02-27T00:00:00"/>
    <s v="F"/>
    <x v="3"/>
    <n v="4"/>
    <s v="California"/>
    <s v="San Diego County"/>
    <n v="4"/>
    <x v="7"/>
    <x v="2"/>
  </r>
  <r>
    <s v="TX501445"/>
    <s v="T-Shirts"/>
    <n v="14"/>
    <n v="19"/>
    <n v="266"/>
    <d v="2025-02-23T00:00:00"/>
    <d v="2025-02-24T00:00:00"/>
    <s v="M"/>
    <x v="0"/>
    <n v="4"/>
    <s v="California"/>
    <s v="San Joaquin County"/>
    <n v="1"/>
    <x v="7"/>
    <x v="1"/>
  </r>
  <r>
    <s v="TX501446"/>
    <s v="Sneakers"/>
    <n v="4"/>
    <n v="51.4"/>
    <n v="205.6"/>
    <d v="2025-02-23T00:00:00"/>
    <d v="2025-02-23T00:00:00"/>
    <s v="F"/>
    <x v="0"/>
    <n v="4"/>
    <s v="California"/>
    <s v="San Joaquin County"/>
    <n v="0"/>
    <x v="7"/>
    <x v="2"/>
  </r>
  <r>
    <s v="TX501447"/>
    <s v="Bikinis"/>
    <n v="2"/>
    <n v="39.799999999999997"/>
    <n v="79.599999999999994"/>
    <d v="2025-02-23T00:00:00"/>
    <d v="2025-02-26T00:00:00"/>
    <s v="M"/>
    <x v="3"/>
    <n v="3"/>
    <s v="California"/>
    <s v="Ventura County"/>
    <n v="3"/>
    <x v="7"/>
    <x v="1"/>
  </r>
  <r>
    <s v="TX501448"/>
    <s v="Jeans"/>
    <n v="5"/>
    <n v="61"/>
    <n v="305"/>
    <d v="2025-02-23T00:00:00"/>
    <d v="2025-02-24T00:00:00"/>
    <s v=""/>
    <x v="0"/>
    <n v="5"/>
    <s v="California"/>
    <s v="Alameda County"/>
    <n v="1"/>
    <x v="7"/>
    <x v="0"/>
  </r>
  <r>
    <s v="TX501449"/>
    <s v="T-Shirts"/>
    <n v="11"/>
    <n v="15.1"/>
    <n v="166.1"/>
    <d v="2025-02-24T00:00:00"/>
    <d v="2025-03-01T00:00:00"/>
    <s v="M"/>
    <x v="3"/>
    <n v="5"/>
    <s v="California"/>
    <s v="Fresno County"/>
    <n v="5"/>
    <x v="8"/>
    <x v="1"/>
  </r>
  <r>
    <s v="TX501450"/>
    <s v="Tank Tops"/>
    <n v="7"/>
    <n v="71.3"/>
    <n v="499.09999999999997"/>
    <d v="2025-02-24T00:00:00"/>
    <d v="2025-02-25T00:00:00"/>
    <s v="M"/>
    <x v="4"/>
    <n v="4"/>
    <s v="California"/>
    <s v="Los Angeles County"/>
    <n v="1"/>
    <x v="8"/>
    <x v="1"/>
  </r>
  <r>
    <s v="TX501451"/>
    <s v="Bikinis"/>
    <n v="1"/>
    <n v="25.8"/>
    <n v="25.8"/>
    <d v="2025-02-24T00:00:00"/>
    <d v="2025-02-26T00:00:00"/>
    <s v="F"/>
    <x v="0"/>
    <n v="5"/>
    <s v="California"/>
    <s v="Los Angeles County"/>
    <n v="2"/>
    <x v="8"/>
    <x v="2"/>
  </r>
  <r>
    <s v="TX501452"/>
    <s v="T-Shirts"/>
    <n v="5"/>
    <n v="39.6"/>
    <n v="198"/>
    <d v="2025-02-24T00:00:00"/>
    <d v="2025-02-26T00:00:00"/>
    <s v="M"/>
    <x v="1"/>
    <n v="5"/>
    <s v="California"/>
    <s v="Los Angeles County"/>
    <n v="2"/>
    <x v="8"/>
    <x v="1"/>
  </r>
  <r>
    <s v="TX501453"/>
    <s v="Sandals"/>
    <n v="2"/>
    <n v="64"/>
    <n v="128"/>
    <d v="2025-02-24T00:00:00"/>
    <d v="2025-02-24T00:00:00"/>
    <s v="M"/>
    <x v="1"/>
    <n v="3"/>
    <s v="California"/>
    <s v="Los Angeles County"/>
    <n v="0"/>
    <x v="8"/>
    <x v="1"/>
  </r>
  <r>
    <s v="TX501454"/>
    <s v="T-Shirts"/>
    <n v="2"/>
    <n v="30.6"/>
    <n v="61.2"/>
    <d v="2025-02-24T00:00:00"/>
    <d v="2025-02-27T00:00:00"/>
    <s v="M"/>
    <x v="0"/>
    <n v="5"/>
    <s v="California"/>
    <s v="Los Angeles County"/>
    <n v="3"/>
    <x v="8"/>
    <x v="1"/>
  </r>
  <r>
    <s v="TX501455"/>
    <s v="T-Shirts"/>
    <n v="2"/>
    <n v="21.3"/>
    <n v="42.6"/>
    <d v="2025-02-24T00:00:00"/>
    <d v="2025-02-25T00:00:00"/>
    <s v="M"/>
    <x v="0"/>
    <n v="3"/>
    <s v="California"/>
    <s v="Los Angeles County"/>
    <n v="1"/>
    <x v="8"/>
    <x v="1"/>
  </r>
  <r>
    <s v="TX501456"/>
    <s v="Hoodies &amp; Sweatshirts"/>
    <n v="1"/>
    <n v="40.799999999999997"/>
    <n v="40.799999999999997"/>
    <d v="2025-02-24T00:00:00"/>
    <d v="2025-02-26T00:00:00"/>
    <s v="F"/>
    <x v="4"/>
    <n v="4"/>
    <s v="California"/>
    <s v="Los Angeles County"/>
    <n v="2"/>
    <x v="8"/>
    <x v="2"/>
  </r>
  <r>
    <s v="TX501457"/>
    <s v="Sundresses"/>
    <n v="4"/>
    <n v="27.7"/>
    <n v="110.8"/>
    <d v="2025-02-24T00:00:00"/>
    <d v="2025-02-25T00:00:00"/>
    <s v="F"/>
    <x v="0"/>
    <n v="3"/>
    <s v="California"/>
    <s v="Los Angeles County"/>
    <n v="1"/>
    <x v="8"/>
    <x v="2"/>
  </r>
  <r>
    <s v="TX501458"/>
    <s v="Jeans"/>
    <n v="2"/>
    <n v="64.599999999999994"/>
    <n v="129.19999999999999"/>
    <d v="2025-02-24T00:00:00"/>
    <d v="2025-02-25T00:00:00"/>
    <s v="M"/>
    <x v="0"/>
    <n v="3"/>
    <s v="California"/>
    <s v="Los Angeles County"/>
    <n v="1"/>
    <x v="8"/>
    <x v="1"/>
  </r>
  <r>
    <s v="TX501459"/>
    <s v="Jeans"/>
    <n v="16"/>
    <n v="91.1"/>
    <n v="1457.6"/>
    <d v="2025-02-24T00:00:00"/>
    <d v="2025-02-25T00:00:00"/>
    <s v="F"/>
    <x v="1"/>
    <n v="5"/>
    <s v="California"/>
    <s v="Los Angeles County"/>
    <n v="1"/>
    <x v="8"/>
    <x v="2"/>
  </r>
  <r>
    <s v="TX501460"/>
    <s v="Tank Tops"/>
    <n v="1"/>
    <n v="39.5"/>
    <n v="39.5"/>
    <d v="2025-02-24T00:00:00"/>
    <d v="2025-03-04T00:00:00"/>
    <s v="F"/>
    <x v="0"/>
    <n v="4"/>
    <s v="California"/>
    <s v="Los Angeles County"/>
    <n v="8"/>
    <x v="8"/>
    <x v="2"/>
  </r>
  <r>
    <s v="TX501461"/>
    <s v="Sundresses"/>
    <n v="2"/>
    <n v="21.8"/>
    <n v="43.6"/>
    <d v="2025-02-24T00:00:00"/>
    <d v="2025-02-28T00:00:00"/>
    <s v="M"/>
    <x v="4"/>
    <n v="5"/>
    <s v="California"/>
    <s v="Los Angeles County"/>
    <n v="4"/>
    <x v="8"/>
    <x v="1"/>
  </r>
  <r>
    <s v="TX501462"/>
    <s v="T-Shirts"/>
    <n v="2"/>
    <n v="51"/>
    <n v="102"/>
    <d v="2025-02-24T00:00:00"/>
    <d v="2025-02-27T00:00:00"/>
    <s v="M"/>
    <x v="3"/>
    <n v="5"/>
    <s v="California"/>
    <s v="Los Angeles County"/>
    <n v="3"/>
    <x v="8"/>
    <x v="1"/>
  </r>
  <r>
    <s v="TX501463"/>
    <s v="Sneakers"/>
    <n v="1"/>
    <n v="92.6"/>
    <n v="92.6"/>
    <d v="2025-02-24T00:00:00"/>
    <d v="2025-02-27T00:00:00"/>
    <s v="F"/>
    <x v="0"/>
    <n v="5"/>
    <s v="California"/>
    <s v="Plumas County"/>
    <n v="3"/>
    <x v="8"/>
    <x v="2"/>
  </r>
  <r>
    <s v="TX501464"/>
    <s v="Sundresses"/>
    <n v="2"/>
    <n v="31.1"/>
    <n v="62.2"/>
    <d v="2025-02-24T00:00:00"/>
    <d v="2025-03-01T00:00:00"/>
    <s v=""/>
    <x v="1"/>
    <n v="1"/>
    <s v="California"/>
    <s v="Riverside County"/>
    <n v="5"/>
    <x v="8"/>
    <x v="0"/>
  </r>
  <r>
    <s v="TX501465"/>
    <s v="Sandals"/>
    <n v="3"/>
    <n v="56.4"/>
    <n v="169.2"/>
    <d v="2025-02-24T00:00:00"/>
    <d v="2025-02-25T00:00:00"/>
    <s v=""/>
    <x v="1"/>
    <n v="4"/>
    <s v="California"/>
    <s v="Sacramento County"/>
    <n v="1"/>
    <x v="8"/>
    <x v="0"/>
  </r>
  <r>
    <s v="TX501466"/>
    <s v="Sundresses"/>
    <n v="1"/>
    <n v="41.9"/>
    <n v="41.9"/>
    <d v="2025-02-24T00:00:00"/>
    <d v="2025-02-24T00:00:00"/>
    <s v="M"/>
    <x v="1"/>
    <n v="4"/>
    <s v="California"/>
    <s v="Sacramento County"/>
    <n v="0"/>
    <x v="8"/>
    <x v="1"/>
  </r>
  <r>
    <s v="TX501467"/>
    <s v="Bikinis"/>
    <n v="7"/>
    <n v="45.9"/>
    <n v="321.3"/>
    <d v="2025-02-24T00:00:00"/>
    <d v="2025-02-25T00:00:00"/>
    <s v="M"/>
    <x v="3"/>
    <n v="5"/>
    <s v="California"/>
    <s v="San Diego County"/>
    <n v="1"/>
    <x v="8"/>
    <x v="1"/>
  </r>
  <r>
    <s v="TX501468"/>
    <s v="Baseball Caps"/>
    <n v="9"/>
    <n v="24.4"/>
    <n v="219.6"/>
    <d v="2025-02-24T00:00:00"/>
    <d v="2025-02-28T00:00:00"/>
    <s v="M"/>
    <x v="3"/>
    <n v="5"/>
    <s v="California"/>
    <s v="San Diego County"/>
    <n v="4"/>
    <x v="8"/>
    <x v="1"/>
  </r>
  <r>
    <s v="TX501469"/>
    <s v="T-Shirts"/>
    <n v="1"/>
    <n v="18.2"/>
    <n v="18.2"/>
    <d v="2025-02-24T00:00:00"/>
    <d v="2025-02-25T00:00:00"/>
    <s v="F"/>
    <x v="2"/>
    <n v="5"/>
    <s v="California"/>
    <s v="San Diego County"/>
    <n v="1"/>
    <x v="8"/>
    <x v="2"/>
  </r>
  <r>
    <s v="TX501470"/>
    <s v="T-Shirts"/>
    <n v="4"/>
    <n v="51.2"/>
    <n v="204.8"/>
    <d v="2025-02-24T00:00:00"/>
    <d v="2025-02-25T00:00:00"/>
    <s v="F"/>
    <x v="0"/>
    <n v="4"/>
    <s v="California"/>
    <s v="San Diego County"/>
    <n v="1"/>
    <x v="8"/>
    <x v="2"/>
  </r>
  <r>
    <s v="TX501471"/>
    <s v="Jeans"/>
    <n v="1"/>
    <n v="59.7"/>
    <n v="59.7"/>
    <d v="2025-02-24T00:00:00"/>
    <d v="2025-02-27T00:00:00"/>
    <s v="M"/>
    <x v="0"/>
    <n v="5"/>
    <s v="California"/>
    <s v="San Diego County"/>
    <n v="3"/>
    <x v="8"/>
    <x v="1"/>
  </r>
  <r>
    <s v="TX501472"/>
    <s v="Graphic Tees"/>
    <n v="2"/>
    <n v="33.6"/>
    <n v="67.2"/>
    <d v="2025-02-24T00:00:00"/>
    <d v="2025-02-26T00:00:00"/>
    <s v="F"/>
    <x v="0"/>
    <n v="4"/>
    <s v="California"/>
    <s v="San Francisco"/>
    <n v="2"/>
    <x v="8"/>
    <x v="2"/>
  </r>
  <r>
    <s v="TX501473"/>
    <s v="Casual Dresses"/>
    <n v="1"/>
    <n v="90.4"/>
    <n v="90.4"/>
    <d v="2025-02-24T00:00:00"/>
    <d v="2025-02-28T00:00:00"/>
    <s v="M"/>
    <x v="1"/>
    <n v="5"/>
    <s v="California"/>
    <s v="Santa Barbara County"/>
    <n v="4"/>
    <x v="8"/>
    <x v="1"/>
  </r>
  <r>
    <s v="TX501474"/>
    <s v="Maxi Dresses"/>
    <n v="3"/>
    <n v="70.3"/>
    <n v="210.89999999999998"/>
    <d v="2025-02-24T00:00:00"/>
    <d v="2025-02-24T00:00:00"/>
    <s v="M"/>
    <x v="1"/>
    <n v="5"/>
    <s v="California"/>
    <s v="Santa Clara County"/>
    <n v="0"/>
    <x v="8"/>
    <x v="1"/>
  </r>
  <r>
    <s v="TX501475"/>
    <s v="Graphic Tees"/>
    <n v="2"/>
    <n v="20.5"/>
    <n v="41"/>
    <d v="2025-02-24T00:00:00"/>
    <d v="2025-02-27T00:00:00"/>
    <s v="F"/>
    <x v="0"/>
    <n v="3"/>
    <s v="California"/>
    <s v="Santa Clara County"/>
    <n v="3"/>
    <x v="8"/>
    <x v="2"/>
  </r>
  <r>
    <s v="TX501476"/>
    <s v="Sandals"/>
    <n v="11"/>
    <n v="37.6"/>
    <n v="413.6"/>
    <d v="2025-02-24T00:00:00"/>
    <d v="2025-02-25T00:00:00"/>
    <s v="M"/>
    <x v="0"/>
    <n v="4"/>
    <s v="California"/>
    <s v="Solano County"/>
    <n v="1"/>
    <x v="8"/>
    <x v="1"/>
  </r>
  <r>
    <s v="TX501477"/>
    <s v="Sandals"/>
    <n v="4"/>
    <n v="61.5"/>
    <n v="246"/>
    <d v="2025-02-24T00:00:00"/>
    <d v="2025-03-03T00:00:00"/>
    <s v="F"/>
    <x v="1"/>
    <n v="2"/>
    <s v="California"/>
    <s v="Ventura County"/>
    <n v="7"/>
    <x v="8"/>
    <x v="2"/>
  </r>
  <r>
    <s v="TX501478"/>
    <s v="Sundresses"/>
    <n v="1"/>
    <n v="33.5"/>
    <n v="33.5"/>
    <d v="2025-02-25T00:00:00"/>
    <d v="2025-03-01T00:00:00"/>
    <s v="M"/>
    <x v="4"/>
    <n v="3"/>
    <s v="California"/>
    <s v="Alameda County"/>
    <n v="4"/>
    <x v="8"/>
    <x v="1"/>
  </r>
  <r>
    <s v="TX501479"/>
    <s v="Graphic Tees"/>
    <n v="3"/>
    <n v="29.3"/>
    <n v="87.9"/>
    <d v="2025-02-25T00:00:00"/>
    <d v="2025-02-27T00:00:00"/>
    <s v="F"/>
    <x v="1"/>
    <n v="5"/>
    <s v="California"/>
    <s v="Contra Costa County"/>
    <n v="2"/>
    <x v="8"/>
    <x v="2"/>
  </r>
  <r>
    <s v="TX501480"/>
    <s v="Sneakers"/>
    <n v="2"/>
    <n v="125.9"/>
    <n v="251.8"/>
    <d v="2025-02-25T00:00:00"/>
    <d v="2025-03-02T00:00:00"/>
    <s v="F"/>
    <x v="4"/>
    <n v="3"/>
    <s v="California"/>
    <s v="Contra Costa County"/>
    <n v="5"/>
    <x v="8"/>
    <x v="2"/>
  </r>
  <r>
    <s v="TX501481"/>
    <s v="Sandals"/>
    <n v="5"/>
    <n v="29.3"/>
    <n v="146.5"/>
    <d v="2025-02-25T00:00:00"/>
    <d v="2025-02-25T00:00:00"/>
    <s v="M"/>
    <x v="2"/>
    <n v="4"/>
    <s v="California"/>
    <s v="Humboldt County"/>
    <n v="0"/>
    <x v="8"/>
    <x v="1"/>
  </r>
  <r>
    <s v="TX501482"/>
    <s v="Sundresses"/>
    <n v="1"/>
    <n v="37.799999999999997"/>
    <n v="37.799999999999997"/>
    <d v="2025-02-25T00:00:00"/>
    <d v="2025-02-28T00:00:00"/>
    <s v="F"/>
    <x v="0"/>
    <n v="5"/>
    <s v="California"/>
    <s v="Los Angeles County"/>
    <n v="3"/>
    <x v="8"/>
    <x v="2"/>
  </r>
  <r>
    <s v="TX501483"/>
    <s v="Shorts"/>
    <n v="4"/>
    <n v="31.7"/>
    <n v="126.8"/>
    <d v="2025-02-25T00:00:00"/>
    <d v="2025-02-26T00:00:00"/>
    <s v="M"/>
    <x v="2"/>
    <n v="5"/>
    <s v="California"/>
    <s v="Los Angeles County"/>
    <n v="1"/>
    <x v="8"/>
    <x v="1"/>
  </r>
  <r>
    <s v="TX501484"/>
    <s v="T-Shirts"/>
    <n v="5"/>
    <n v="26.3"/>
    <n v="131.5"/>
    <d v="2025-02-25T00:00:00"/>
    <d v="2025-02-26T00:00:00"/>
    <s v="F"/>
    <x v="3"/>
    <n v="5"/>
    <s v="California"/>
    <s v="Los Angeles County"/>
    <n v="1"/>
    <x v="8"/>
    <x v="2"/>
  </r>
  <r>
    <s v="TX501485"/>
    <s v="T-Shirts"/>
    <n v="3"/>
    <n v="23.1"/>
    <n v="69.300000000000011"/>
    <d v="2025-02-25T00:00:00"/>
    <d v="2025-02-26T00:00:00"/>
    <s v="O"/>
    <x v="2"/>
    <n v="3"/>
    <s v="California"/>
    <s v="Los Angeles County"/>
    <n v="1"/>
    <x v="8"/>
    <x v="3"/>
  </r>
  <r>
    <s v="TX501486"/>
    <s v="Graphic Tees"/>
    <n v="1"/>
    <n v="22.3"/>
    <n v="22.3"/>
    <d v="2025-02-25T00:00:00"/>
    <d v="2025-02-27T00:00:00"/>
    <s v="F"/>
    <x v="2"/>
    <n v="4"/>
    <s v="California"/>
    <s v="Los Angeles County"/>
    <n v="2"/>
    <x v="8"/>
    <x v="2"/>
  </r>
  <r>
    <s v="TX501487"/>
    <s v="Casual Dresses"/>
    <n v="2"/>
    <n v="99.5"/>
    <n v="199"/>
    <d v="2025-02-25T00:00:00"/>
    <d v="2025-02-27T00:00:00"/>
    <s v="F"/>
    <x v="2"/>
    <n v="4"/>
    <s v="California"/>
    <s v="Los Angeles County"/>
    <n v="2"/>
    <x v="8"/>
    <x v="2"/>
  </r>
  <r>
    <s v="TX501488"/>
    <s v="Casual Dresses"/>
    <n v="4"/>
    <n v="47.4"/>
    <n v="189.6"/>
    <d v="2025-02-25T00:00:00"/>
    <d v="2025-02-28T00:00:00"/>
    <s v="F"/>
    <x v="1"/>
    <n v="4"/>
    <s v="California"/>
    <s v="Los Angeles County"/>
    <n v="3"/>
    <x v="8"/>
    <x v="2"/>
  </r>
  <r>
    <s v="TX501489"/>
    <s v="Shorts"/>
    <n v="11"/>
    <n v="37.5"/>
    <n v="412.5"/>
    <d v="2025-02-25T00:00:00"/>
    <d v="2025-02-27T00:00:00"/>
    <s v="F"/>
    <x v="0"/>
    <n v="1"/>
    <s v="California"/>
    <s v="Los Angeles County"/>
    <n v="2"/>
    <x v="8"/>
    <x v="2"/>
  </r>
  <r>
    <s v="TX501490"/>
    <s v="Bikinis"/>
    <n v="1"/>
    <n v="45.1"/>
    <n v="45.1"/>
    <d v="2025-02-25T00:00:00"/>
    <d v="2025-03-02T00:00:00"/>
    <s v="M"/>
    <x v="3"/>
    <n v="5"/>
    <s v="California"/>
    <s v="Merced County"/>
    <n v="5"/>
    <x v="8"/>
    <x v="1"/>
  </r>
  <r>
    <s v="TX501491"/>
    <s v="Sandals"/>
    <n v="10"/>
    <n v="34.4"/>
    <n v="344"/>
    <d v="2025-02-25T00:00:00"/>
    <d v="2025-02-28T00:00:00"/>
    <s v="M"/>
    <x v="2"/>
    <n v="4"/>
    <s v="California"/>
    <s v="Napa County"/>
    <n v="3"/>
    <x v="8"/>
    <x v="1"/>
  </r>
  <r>
    <s v="TX501492"/>
    <s v="Graphic Tees"/>
    <n v="2"/>
    <n v="38"/>
    <n v="76"/>
    <d v="2025-02-25T00:00:00"/>
    <d v="2025-02-27T00:00:00"/>
    <s v="F"/>
    <x v="1"/>
    <n v="4"/>
    <s v="California"/>
    <s v="Placer County"/>
    <n v="2"/>
    <x v="8"/>
    <x v="2"/>
  </r>
  <r>
    <s v="TX501493"/>
    <s v="Workout Tops"/>
    <n v="14"/>
    <n v="32.4"/>
    <n v="453.59999999999997"/>
    <d v="2025-02-25T00:00:00"/>
    <d v="2025-02-28T00:00:00"/>
    <s v="M"/>
    <x v="4"/>
    <n v="4"/>
    <s v="California"/>
    <s v="Sacramento County"/>
    <n v="3"/>
    <x v="8"/>
    <x v="1"/>
  </r>
  <r>
    <s v="TX501494"/>
    <s v="Jeans"/>
    <n v="3"/>
    <n v="40.9"/>
    <n v="122.69999999999999"/>
    <d v="2025-02-25T00:00:00"/>
    <d v="2025-02-25T00:00:00"/>
    <s v=""/>
    <x v="1"/>
    <n v="4"/>
    <s v="California"/>
    <s v="San Diego County"/>
    <n v="0"/>
    <x v="8"/>
    <x v="0"/>
  </r>
  <r>
    <s v="TX501495"/>
    <s v="Hoodies &amp; Sweatshirts"/>
    <n v="7"/>
    <n v="76.2"/>
    <n v="533.4"/>
    <d v="2025-02-25T00:00:00"/>
    <d v="2025-02-27T00:00:00"/>
    <s v="F"/>
    <x v="2"/>
    <n v="3"/>
    <s v="California"/>
    <s v="San Diego County"/>
    <n v="2"/>
    <x v="8"/>
    <x v="2"/>
  </r>
  <r>
    <s v="TX501496"/>
    <s v="Sneakers"/>
    <n v="1"/>
    <n v="85.6"/>
    <n v="85.6"/>
    <d v="2025-02-25T00:00:00"/>
    <d v="2025-02-27T00:00:00"/>
    <s v="M"/>
    <x v="2"/>
    <n v="4"/>
    <s v="California"/>
    <s v="San Diego County"/>
    <n v="2"/>
    <x v="8"/>
    <x v="1"/>
  </r>
  <r>
    <s v="TX501497"/>
    <s v="Graphic Tees"/>
    <n v="4"/>
    <n v="25"/>
    <n v="100"/>
    <d v="2025-02-25T00:00:00"/>
    <d v="2025-02-27T00:00:00"/>
    <s v="F"/>
    <x v="2"/>
    <n v="5"/>
    <s v="California"/>
    <s v="San Diego County"/>
    <n v="2"/>
    <x v="8"/>
    <x v="2"/>
  </r>
  <r>
    <s v="TX501498"/>
    <s v="Sneakers"/>
    <n v="5"/>
    <n v="150.69999999999999"/>
    <n v="753.5"/>
    <d v="2025-02-25T00:00:00"/>
    <d v="2025-02-26T00:00:00"/>
    <s v=""/>
    <x v="0"/>
    <n v="5"/>
    <s v="California"/>
    <s v="San Diego County"/>
    <n v="1"/>
    <x v="8"/>
    <x v="0"/>
  </r>
  <r>
    <s v="TX501499"/>
    <s v="T-Shirts"/>
    <n v="1"/>
    <n v="19.600000000000001"/>
    <n v="19.600000000000001"/>
    <d v="2025-02-25T00:00:00"/>
    <d v="2025-02-26T00:00:00"/>
    <s v="M"/>
    <x v="1"/>
    <n v="2"/>
    <s v="California"/>
    <s v="San Diego County"/>
    <n v="1"/>
    <x v="8"/>
    <x v="1"/>
  </r>
  <r>
    <s v="TX501500"/>
    <s v="Tote Bags"/>
    <n v="2"/>
    <n v="37.5"/>
    <n v="75"/>
    <d v="2025-02-25T00:00:00"/>
    <d v="2025-02-28T00:00:00"/>
    <s v="F"/>
    <x v="1"/>
    <n v="5"/>
    <s v="California"/>
    <s v="San Francisco"/>
    <n v="3"/>
    <x v="8"/>
    <x v="2"/>
  </r>
  <r>
    <s v="TX501501"/>
    <s v="Sundresses"/>
    <n v="3"/>
    <n v="51.9"/>
    <n v="155.69999999999999"/>
    <d v="2025-02-25T00:00:00"/>
    <d v="2025-03-03T00:00:00"/>
    <s v="F"/>
    <x v="0"/>
    <n v="2"/>
    <s v="California"/>
    <s v="Santa Clara County"/>
    <n v="6"/>
    <x v="8"/>
    <x v="2"/>
  </r>
  <r>
    <s v="TX501502"/>
    <s v="Tank Tops"/>
    <n v="2"/>
    <n v="30.9"/>
    <n v="61.8"/>
    <d v="2025-02-25T00:00:00"/>
    <d v="2025-02-27T00:00:00"/>
    <s v="F"/>
    <x v="1"/>
    <n v="4"/>
    <s v="California"/>
    <s v="Sonoma County"/>
    <n v="2"/>
    <x v="8"/>
    <x v="2"/>
  </r>
  <r>
    <s v="TX501503"/>
    <s v="Graphic Tees"/>
    <n v="3"/>
    <n v="21.2"/>
    <n v="63.599999999999994"/>
    <d v="2025-02-25T00:00:00"/>
    <d v="2025-02-28T00:00:00"/>
    <s v="F"/>
    <x v="1"/>
    <n v="4"/>
    <s v="California"/>
    <s v="Stanislaus County"/>
    <n v="3"/>
    <x v="8"/>
    <x v="2"/>
  </r>
  <r>
    <s v="TX501504"/>
    <s v="Tote Bags"/>
    <n v="17"/>
    <n v="17.5"/>
    <n v="297.5"/>
    <d v="2025-02-25T00:00:00"/>
    <d v="2025-02-26T00:00:00"/>
    <s v="M"/>
    <x v="1"/>
    <n v="3"/>
    <s v="California"/>
    <s v="Ventura County"/>
    <n v="1"/>
    <x v="8"/>
    <x v="1"/>
  </r>
  <r>
    <s v="TX501505"/>
    <s v="Casual Dresses"/>
    <n v="2"/>
    <n v="53.8"/>
    <n v="107.6"/>
    <d v="2025-02-25T00:00:00"/>
    <d v="2025-03-02T00:00:00"/>
    <s v="F"/>
    <x v="0"/>
    <n v="5"/>
    <s v="California"/>
    <s v="Alameda County"/>
    <n v="5"/>
    <x v="8"/>
    <x v="2"/>
  </r>
  <r>
    <s v="TX501506"/>
    <s v="Jewelry"/>
    <n v="2"/>
    <n v="17"/>
    <n v="34"/>
    <d v="2025-02-25T00:00:00"/>
    <d v="2025-02-26T00:00:00"/>
    <s v="M"/>
    <x v="3"/>
    <n v="4"/>
    <s v="California"/>
    <s v="Alameda County"/>
    <n v="1"/>
    <x v="8"/>
    <x v="1"/>
  </r>
  <r>
    <s v="TX501507"/>
    <s v="Jeans"/>
    <n v="1"/>
    <n v="103.2"/>
    <n v="103.2"/>
    <d v="2025-02-25T00:00:00"/>
    <d v="2025-03-05T00:00:00"/>
    <s v="M"/>
    <x v="2"/>
    <n v="3"/>
    <s v="California"/>
    <s v="Contra Costa County"/>
    <n v="8"/>
    <x v="8"/>
    <x v="1"/>
  </r>
  <r>
    <s v="TX501508"/>
    <s v="Jeans"/>
    <n v="4"/>
    <n v="70.3"/>
    <n v="281.2"/>
    <d v="2025-02-25T00:00:00"/>
    <d v="2025-02-26T00:00:00"/>
    <s v="M"/>
    <x v="0"/>
    <n v="4"/>
    <s v="California"/>
    <s v="Los Angeles County"/>
    <n v="1"/>
    <x v="8"/>
    <x v="1"/>
  </r>
  <r>
    <s v="TX501509"/>
    <s v="Sneakers"/>
    <n v="2"/>
    <n v="73.8"/>
    <n v="147.6"/>
    <d v="2025-02-25T00:00:00"/>
    <d v="2025-02-25T00:00:00"/>
    <s v="M"/>
    <x v="3"/>
    <n v="5"/>
    <s v="California"/>
    <s v="Los Angeles County"/>
    <n v="0"/>
    <x v="8"/>
    <x v="1"/>
  </r>
  <r>
    <s v="TX501510"/>
    <s v="Tank Tops"/>
    <n v="12"/>
    <n v="67.7"/>
    <n v="812.40000000000009"/>
    <d v="2025-02-25T00:00:00"/>
    <d v="2025-03-01T00:00:00"/>
    <s v="M"/>
    <x v="1"/>
    <n v="3"/>
    <s v="California"/>
    <s v="Los Angeles County"/>
    <n v="4"/>
    <x v="8"/>
    <x v="1"/>
  </r>
  <r>
    <s v="TX501511"/>
    <s v="Tote Bags"/>
    <n v="7"/>
    <n v="43.8"/>
    <n v="306.59999999999997"/>
    <d v="2025-02-25T00:00:00"/>
    <d v="2025-02-27T00:00:00"/>
    <s v="M"/>
    <x v="1"/>
    <n v="4"/>
    <s v="California"/>
    <s v="Los Angeles County"/>
    <n v="2"/>
    <x v="8"/>
    <x v="1"/>
  </r>
  <r>
    <s v="TX501512"/>
    <s v="Pajama Sets"/>
    <n v="6"/>
    <n v="71.900000000000006"/>
    <n v="431.40000000000003"/>
    <d v="2025-02-25T00:00:00"/>
    <d v="2025-02-26T00:00:00"/>
    <s v="F"/>
    <x v="2"/>
    <n v="4"/>
    <s v="California"/>
    <s v="Los Angeles County"/>
    <n v="1"/>
    <x v="8"/>
    <x v="2"/>
  </r>
  <r>
    <s v="TX501513"/>
    <s v="T-Shirts"/>
    <n v="2"/>
    <n v="26.3"/>
    <n v="52.6"/>
    <d v="2025-02-26T00:00:00"/>
    <d v="2025-02-28T00:00:00"/>
    <s v="F"/>
    <x v="0"/>
    <n v="3"/>
    <s v="California"/>
    <s v="Los Angeles County"/>
    <n v="2"/>
    <x v="8"/>
    <x v="2"/>
  </r>
  <r>
    <s v="TX501514"/>
    <s v="Jeans"/>
    <n v="4"/>
    <n v="52.6"/>
    <n v="210.4"/>
    <d v="2025-02-26T00:00:00"/>
    <d v="2025-02-28T00:00:00"/>
    <s v="F"/>
    <x v="2"/>
    <n v="3"/>
    <s v="California"/>
    <s v="Los Angeles County"/>
    <n v="2"/>
    <x v="8"/>
    <x v="2"/>
  </r>
  <r>
    <s v="TX501515"/>
    <s v="Bikinis"/>
    <n v="1"/>
    <n v="32.700000000000003"/>
    <n v="32.700000000000003"/>
    <d v="2025-02-26T00:00:00"/>
    <d v="2025-03-05T00:00:00"/>
    <s v="F"/>
    <x v="0"/>
    <n v="5"/>
    <s v="California"/>
    <s v="Los Angeles County"/>
    <n v="7"/>
    <x v="8"/>
    <x v="2"/>
  </r>
  <r>
    <s v="TX501516"/>
    <s v="Sandals"/>
    <n v="4"/>
    <n v="38.9"/>
    <n v="155.6"/>
    <d v="2025-02-26T00:00:00"/>
    <d v="2025-02-27T00:00:00"/>
    <s v="F"/>
    <x v="0"/>
    <n v="4"/>
    <s v="California"/>
    <s v="Los Angeles County"/>
    <n v="1"/>
    <x v="8"/>
    <x v="2"/>
  </r>
  <r>
    <s v="TX501517"/>
    <s v="Sundresses"/>
    <n v="5"/>
    <n v="35"/>
    <n v="175"/>
    <d v="2025-02-26T00:00:00"/>
    <d v="2025-02-28T00:00:00"/>
    <s v="M"/>
    <x v="0"/>
    <n v="4"/>
    <s v="California"/>
    <s v="Los Angeles County"/>
    <n v="2"/>
    <x v="8"/>
    <x v="1"/>
  </r>
  <r>
    <s v="TX501518"/>
    <s v="Sneakers"/>
    <n v="2"/>
    <n v="121"/>
    <n v="242"/>
    <d v="2025-02-26T00:00:00"/>
    <d v="2025-02-27T00:00:00"/>
    <s v="F"/>
    <x v="1"/>
    <n v="3"/>
    <s v="California"/>
    <s v="Los Angeles County"/>
    <n v="1"/>
    <x v="8"/>
    <x v="2"/>
  </r>
  <r>
    <s v="TX501519"/>
    <s v="Jeans"/>
    <n v="3"/>
    <n v="65.099999999999994"/>
    <n v="195.29999999999998"/>
    <d v="2025-02-26T00:00:00"/>
    <d v="2025-03-02T00:00:00"/>
    <s v="M"/>
    <x v="2"/>
    <n v="4"/>
    <s v="California"/>
    <s v="San Benito County"/>
    <n v="4"/>
    <x v="8"/>
    <x v="1"/>
  </r>
  <r>
    <s v="TX501520"/>
    <s v="Tank Tops"/>
    <n v="21"/>
    <n v="63.8"/>
    <n v="1339.8"/>
    <d v="2025-02-26T00:00:00"/>
    <d v="2025-02-28T00:00:00"/>
    <s v="F"/>
    <x v="0"/>
    <n v="4"/>
    <s v="California"/>
    <s v="San Diego County"/>
    <n v="2"/>
    <x v="8"/>
    <x v="2"/>
  </r>
  <r>
    <s v="TX501521"/>
    <s v="Hoodies &amp; Sweatshirts"/>
    <n v="1"/>
    <n v="77.7"/>
    <n v="77.7"/>
    <d v="2025-02-26T00:00:00"/>
    <d v="2025-02-28T00:00:00"/>
    <s v="M"/>
    <x v="0"/>
    <n v="4"/>
    <s v="California"/>
    <s v="San Diego County"/>
    <n v="2"/>
    <x v="8"/>
    <x v="1"/>
  </r>
  <r>
    <s v="TX501522"/>
    <s v="Sandals"/>
    <n v="4"/>
    <n v="60.3"/>
    <n v="241.2"/>
    <d v="2025-02-26T00:00:00"/>
    <d v="2025-02-26T00:00:00"/>
    <s v="M"/>
    <x v="0"/>
    <n v="5"/>
    <s v="California"/>
    <s v="San Diego County"/>
    <n v="0"/>
    <x v="8"/>
    <x v="1"/>
  </r>
  <r>
    <s v="TX501523"/>
    <s v="Sandals"/>
    <n v="2"/>
    <n v="124.1"/>
    <n v="248.2"/>
    <d v="2025-02-26T00:00:00"/>
    <d v="2025-03-01T00:00:00"/>
    <s v="F"/>
    <x v="0"/>
    <n v="5"/>
    <s v="California"/>
    <s v="San Diego County"/>
    <n v="3"/>
    <x v="8"/>
    <x v="2"/>
  </r>
  <r>
    <s v="TX501524"/>
    <s v="Sunglasses"/>
    <n v="7"/>
    <n v="66"/>
    <n v="462"/>
    <d v="2025-02-26T00:00:00"/>
    <d v="2025-02-26T00:00:00"/>
    <s v=""/>
    <x v="3"/>
    <n v="4"/>
    <s v="California"/>
    <s v="San Francisco"/>
    <n v="0"/>
    <x v="8"/>
    <x v="0"/>
  </r>
  <r>
    <s v="TX501525"/>
    <s v="Sneakers"/>
    <n v="63"/>
    <n v="118.2"/>
    <n v="7446.6"/>
    <d v="2025-02-26T00:00:00"/>
    <d v="2025-03-03T00:00:00"/>
    <s v=""/>
    <x v="0"/>
    <n v="4"/>
    <s v="California"/>
    <s v="San Francisco"/>
    <n v="5"/>
    <x v="8"/>
    <x v="0"/>
  </r>
  <r>
    <s v="TX501526"/>
    <s v="Sandals"/>
    <n v="5"/>
    <n v="64.3"/>
    <n v="321.5"/>
    <d v="2025-02-26T00:00:00"/>
    <d v="2025-02-27T00:00:00"/>
    <s v="M"/>
    <x v="4"/>
    <n v="2"/>
    <s v="California"/>
    <s v="San Joaquin County"/>
    <n v="1"/>
    <x v="8"/>
    <x v="1"/>
  </r>
  <r>
    <s v="TX501527"/>
    <s v="Tank Tops"/>
    <n v="2"/>
    <n v="54.8"/>
    <n v="109.6"/>
    <d v="2025-02-26T00:00:00"/>
    <d v="2025-02-26T00:00:00"/>
    <s v="M"/>
    <x v="0"/>
    <n v="3"/>
    <s v="California"/>
    <s v="San Joaquin County"/>
    <n v="0"/>
    <x v="8"/>
    <x v="1"/>
  </r>
  <r>
    <s v="TX501528"/>
    <s v="Hoodies &amp; Sweatshirts"/>
    <n v="2"/>
    <n v="78.599999999999994"/>
    <n v="157.19999999999999"/>
    <d v="2025-02-26T00:00:00"/>
    <d v="2025-02-27T00:00:00"/>
    <s v="M"/>
    <x v="0"/>
    <n v="5"/>
    <s v="California"/>
    <s v="San Mateo County"/>
    <n v="1"/>
    <x v="8"/>
    <x v="1"/>
  </r>
  <r>
    <s v="TX501529"/>
    <s v="Sneakers"/>
    <n v="5"/>
    <n v="158.5"/>
    <n v="792.5"/>
    <d v="2025-02-26T00:00:00"/>
    <d v="2025-02-28T00:00:00"/>
    <s v=""/>
    <x v="2"/>
    <n v="5"/>
    <s v="California"/>
    <s v="San Mateo County"/>
    <n v="2"/>
    <x v="8"/>
    <x v="0"/>
  </r>
  <r>
    <s v="TX501530"/>
    <s v="Graphic Tees"/>
    <n v="10"/>
    <n v="23.5"/>
    <n v="235"/>
    <d v="2025-02-26T00:00:00"/>
    <d v="2025-03-01T00:00:00"/>
    <s v="M"/>
    <x v="0"/>
    <n v="2"/>
    <s v="California"/>
    <s v="Santa Barbara County"/>
    <n v="3"/>
    <x v="8"/>
    <x v="1"/>
  </r>
  <r>
    <s v="TX501531"/>
    <s v="Sandals"/>
    <n v="2"/>
    <n v="32.1"/>
    <n v="64.2"/>
    <d v="2025-02-26T00:00:00"/>
    <d v="2025-02-28T00:00:00"/>
    <s v=""/>
    <x v="3"/>
    <n v="4"/>
    <s v="California"/>
    <s v="Santa Barbara County"/>
    <n v="2"/>
    <x v="8"/>
    <x v="0"/>
  </r>
  <r>
    <s v="TX501532"/>
    <s v="Pajama Sets"/>
    <n v="4"/>
    <n v="71.900000000000006"/>
    <n v="287.60000000000002"/>
    <d v="2025-02-26T00:00:00"/>
    <d v="2025-02-26T00:00:00"/>
    <s v="M"/>
    <x v="2"/>
    <n v="4"/>
    <s v="California"/>
    <s v="Stanislaus County"/>
    <n v="0"/>
    <x v="8"/>
    <x v="1"/>
  </r>
  <r>
    <s v="TX501533"/>
    <s v="Graphic Tees"/>
    <n v="6"/>
    <n v="22.3"/>
    <n v="133.80000000000001"/>
    <d v="2025-02-26T00:00:00"/>
    <d v="2025-02-27T00:00:00"/>
    <s v=""/>
    <x v="3"/>
    <n v="5"/>
    <s v="California"/>
    <s v="Ventura County"/>
    <n v="1"/>
    <x v="8"/>
    <x v="0"/>
  </r>
  <r>
    <s v="TX501534"/>
    <s v="Maxi Dresses"/>
    <n v="2"/>
    <n v="29.5"/>
    <n v="59"/>
    <d v="2025-02-26T00:00:00"/>
    <d v="2025-02-27T00:00:00"/>
    <s v="F"/>
    <x v="0"/>
    <n v="5"/>
    <s v="California"/>
    <s v="Ventura County"/>
    <n v="1"/>
    <x v="8"/>
    <x v="2"/>
  </r>
  <r>
    <s v="TX501535"/>
    <s v="Jeans"/>
    <n v="4"/>
    <n v="41.9"/>
    <n v="167.6"/>
    <d v="2025-02-26T00:00:00"/>
    <d v="2025-03-02T00:00:00"/>
    <s v="F"/>
    <x v="0"/>
    <n v="3"/>
    <s v="California"/>
    <s v="Alameda County"/>
    <n v="4"/>
    <x v="8"/>
    <x v="2"/>
  </r>
  <r>
    <s v="TX501536"/>
    <s v="Jeans"/>
    <n v="3"/>
    <n v="107.8"/>
    <n v="323.39999999999998"/>
    <d v="2025-02-26T00:00:00"/>
    <d v="2025-02-27T00:00:00"/>
    <s v="M"/>
    <x v="1"/>
    <n v="5"/>
    <s v="California"/>
    <s v="Amador County"/>
    <n v="1"/>
    <x v="8"/>
    <x v="1"/>
  </r>
  <r>
    <s v="TX501537"/>
    <s v="Graphic Tees"/>
    <n v="5"/>
    <n v="18.100000000000001"/>
    <n v="90.5"/>
    <d v="2025-02-26T00:00:00"/>
    <d v="2025-03-01T00:00:00"/>
    <s v="M"/>
    <x v="0"/>
    <n v="5"/>
    <s v="California"/>
    <s v="Fresno County"/>
    <n v="3"/>
    <x v="8"/>
    <x v="1"/>
  </r>
  <r>
    <s v="TX501538"/>
    <s v="Casual Dresses"/>
    <n v="9"/>
    <n v="79.8"/>
    <n v="718.19999999999993"/>
    <d v="2025-02-26T00:00:00"/>
    <d v="2025-02-27T00:00:00"/>
    <s v="F"/>
    <x v="1"/>
    <n v="3"/>
    <s v="California"/>
    <s v="Kern County"/>
    <n v="1"/>
    <x v="8"/>
    <x v="2"/>
  </r>
  <r>
    <s v="TX501539"/>
    <s v="Shorts"/>
    <n v="3"/>
    <n v="22.3"/>
    <n v="66.900000000000006"/>
    <d v="2025-02-26T00:00:00"/>
    <d v="2025-03-01T00:00:00"/>
    <s v="F"/>
    <x v="0"/>
    <n v="5"/>
    <s v="California"/>
    <s v="Kern County"/>
    <n v="3"/>
    <x v="8"/>
    <x v="2"/>
  </r>
  <r>
    <s v="TX501540"/>
    <s v="T-Shirts"/>
    <n v="1"/>
    <n v="22.9"/>
    <n v="22.9"/>
    <d v="2025-02-26T00:00:00"/>
    <d v="2025-02-26T00:00:00"/>
    <s v="F"/>
    <x v="1"/>
    <n v="4"/>
    <s v="California"/>
    <s v="Kern County"/>
    <n v="0"/>
    <x v="8"/>
    <x v="2"/>
  </r>
  <r>
    <s v="TX501541"/>
    <s v="Shorts"/>
    <n v="3"/>
    <n v="16.2"/>
    <n v="48.599999999999994"/>
    <d v="2025-02-27T00:00:00"/>
    <d v="2025-02-27T00:00:00"/>
    <s v="M"/>
    <x v="4"/>
    <n v="5"/>
    <s v="California"/>
    <s v="Los Angeles County"/>
    <n v="0"/>
    <x v="8"/>
    <x v="1"/>
  </r>
  <r>
    <s v="TX501542"/>
    <s v="Bikinis"/>
    <n v="4"/>
    <n v="59.5"/>
    <n v="238"/>
    <d v="2025-02-27T00:00:00"/>
    <d v="2025-02-28T00:00:00"/>
    <s v="M"/>
    <x v="1"/>
    <n v="5"/>
    <s v="California"/>
    <s v="Los Angeles County"/>
    <n v="1"/>
    <x v="8"/>
    <x v="1"/>
  </r>
  <r>
    <s v="TX501543"/>
    <s v="Leggings"/>
    <n v="5"/>
    <n v="26.2"/>
    <n v="131"/>
    <d v="2025-02-27T00:00:00"/>
    <d v="2025-03-02T00:00:00"/>
    <s v="M"/>
    <x v="3"/>
    <n v="2"/>
    <s v="California"/>
    <s v="Los Angeles County"/>
    <n v="3"/>
    <x v="8"/>
    <x v="1"/>
  </r>
  <r>
    <s v="TX501544"/>
    <s v="Workout Tops"/>
    <n v="1"/>
    <n v="44.2"/>
    <n v="44.2"/>
    <d v="2025-02-27T00:00:00"/>
    <d v="2025-03-02T00:00:00"/>
    <s v="F"/>
    <x v="1"/>
    <n v="4"/>
    <s v="California"/>
    <s v="Los Angeles County"/>
    <n v="3"/>
    <x v="8"/>
    <x v="2"/>
  </r>
  <r>
    <s v="TX501545"/>
    <s v="Sundresses"/>
    <n v="2"/>
    <n v="59.2"/>
    <n v="118.4"/>
    <d v="2025-02-27T00:00:00"/>
    <d v="2025-02-27T00:00:00"/>
    <s v="F"/>
    <x v="1"/>
    <n v="2"/>
    <s v="California"/>
    <s v="Los Angeles County"/>
    <n v="0"/>
    <x v="8"/>
    <x v="2"/>
  </r>
  <r>
    <s v="TX501546"/>
    <s v="Crop Tops"/>
    <n v="4"/>
    <n v="41.5"/>
    <n v="166"/>
    <d v="2025-02-27T00:00:00"/>
    <d v="2025-03-01T00:00:00"/>
    <s v="F"/>
    <x v="0"/>
    <n v="4"/>
    <s v="California"/>
    <s v="Napa County"/>
    <n v="2"/>
    <x v="8"/>
    <x v="2"/>
  </r>
  <r>
    <s v="TX501547"/>
    <s v="Jeans"/>
    <n v="12"/>
    <n v="67.099999999999994"/>
    <n v="805.19999999999993"/>
    <d v="2025-02-27T00:00:00"/>
    <d v="2025-03-13T00:00:00"/>
    <s v="F"/>
    <x v="0"/>
    <n v="5"/>
    <s v="California"/>
    <s v="Riverside County"/>
    <n v="14"/>
    <x v="8"/>
    <x v="2"/>
  </r>
  <r>
    <s v="TX501548"/>
    <s v="T-Shirts"/>
    <n v="2"/>
    <n v="28.7"/>
    <n v="57.4"/>
    <d v="2025-02-27T00:00:00"/>
    <d v="2025-03-03T00:00:00"/>
    <s v="F"/>
    <x v="1"/>
    <n v="4"/>
    <s v="California"/>
    <s v="Sacramento County"/>
    <n v="4"/>
    <x v="8"/>
    <x v="2"/>
  </r>
  <r>
    <s v="TX501549"/>
    <s v="Sneakers"/>
    <n v="4"/>
    <n v="132.1"/>
    <n v="528.4"/>
    <d v="2025-02-27T00:00:00"/>
    <d v="2025-02-28T00:00:00"/>
    <s v="F"/>
    <x v="0"/>
    <n v="3"/>
    <s v="California"/>
    <s v="Sacramento County"/>
    <n v="1"/>
    <x v="8"/>
    <x v="2"/>
  </r>
  <r>
    <s v="TX501550"/>
    <s v="Leggings"/>
    <n v="2"/>
    <n v="47"/>
    <n v="94"/>
    <d v="2025-02-27T00:00:00"/>
    <d v="2025-03-01T00:00:00"/>
    <s v="M"/>
    <x v="4"/>
    <n v="4"/>
    <s v="California"/>
    <s v="San Diego County"/>
    <n v="2"/>
    <x v="8"/>
    <x v="1"/>
  </r>
  <r>
    <s v="TX501551"/>
    <s v="T-Shirts"/>
    <n v="2"/>
    <n v="41.6"/>
    <n v="83.2"/>
    <d v="2025-02-27T00:00:00"/>
    <d v="2025-03-03T00:00:00"/>
    <s v="M"/>
    <x v="1"/>
    <n v="5"/>
    <s v="California"/>
    <s v="San Diego County"/>
    <n v="4"/>
    <x v="8"/>
    <x v="1"/>
  </r>
  <r>
    <s v="TX501552"/>
    <s v="T-Shirts"/>
    <n v="38"/>
    <n v="17.3"/>
    <n v="657.4"/>
    <d v="2025-02-27T00:00:00"/>
    <d v="2025-03-01T00:00:00"/>
    <s v="M"/>
    <x v="2"/>
    <n v="5"/>
    <s v="California"/>
    <s v="San Diego County"/>
    <n v="2"/>
    <x v="8"/>
    <x v="1"/>
  </r>
  <r>
    <s v="TX501553"/>
    <s v="Tote Bags"/>
    <n v="3"/>
    <n v="41.8"/>
    <n v="125.39999999999999"/>
    <d v="2025-02-27T00:00:00"/>
    <d v="2025-03-02T00:00:00"/>
    <s v="M"/>
    <x v="0"/>
    <n v="5"/>
    <s v="California"/>
    <s v="San Diego County"/>
    <n v="3"/>
    <x v="8"/>
    <x v="1"/>
  </r>
  <r>
    <s v="TX501554"/>
    <s v="Bikinis"/>
    <n v="1"/>
    <n v="24"/>
    <n v="24"/>
    <d v="2025-02-27T00:00:00"/>
    <d v="2025-02-28T00:00:00"/>
    <s v="F"/>
    <x v="0"/>
    <n v="4"/>
    <s v="California"/>
    <s v="San Francisco"/>
    <n v="1"/>
    <x v="8"/>
    <x v="2"/>
  </r>
  <r>
    <s v="TX501555"/>
    <s v="Baseball Caps"/>
    <n v="9"/>
    <n v="18.5"/>
    <n v="166.5"/>
    <d v="2025-02-27T00:00:00"/>
    <d v="2025-03-01T00:00:00"/>
    <s v="F"/>
    <x v="0"/>
    <n v="4"/>
    <s v="California"/>
    <s v="San Mateo County"/>
    <n v="2"/>
    <x v="8"/>
    <x v="2"/>
  </r>
  <r>
    <s v="TX501556"/>
    <s v="Workout Tops"/>
    <n v="12"/>
    <n v="66.7"/>
    <n v="800.40000000000009"/>
    <d v="2025-02-27T00:00:00"/>
    <d v="2025-03-02T00:00:00"/>
    <s v=""/>
    <x v="0"/>
    <n v="5"/>
    <s v="California"/>
    <s v="Santa Clara County"/>
    <n v="3"/>
    <x v="8"/>
    <x v="0"/>
  </r>
  <r>
    <s v="TX501557"/>
    <s v="Tank Tops"/>
    <n v="4"/>
    <n v="33.1"/>
    <n v="132.4"/>
    <d v="2025-02-27T00:00:00"/>
    <d v="2025-03-04T00:00:00"/>
    <s v="M"/>
    <x v="3"/>
    <n v="4"/>
    <s v="California"/>
    <s v="Santa Clara County"/>
    <n v="5"/>
    <x v="8"/>
    <x v="1"/>
  </r>
  <r>
    <s v="TX501558"/>
    <s v="Jewelry"/>
    <n v="9"/>
    <n v="42.1"/>
    <n v="378.90000000000003"/>
    <d v="2025-02-27T00:00:00"/>
    <d v="2025-03-10T00:00:00"/>
    <s v="M"/>
    <x v="1"/>
    <n v="4"/>
    <s v="California"/>
    <s v="Sonoma County"/>
    <n v="11"/>
    <x v="8"/>
    <x v="1"/>
  </r>
  <r>
    <s v="TX501559"/>
    <s v="Leggings"/>
    <n v="7"/>
    <n v="58.7"/>
    <n v="410.90000000000003"/>
    <d v="2025-02-27T00:00:00"/>
    <d v="2025-02-27T00:00:00"/>
    <s v="O"/>
    <x v="3"/>
    <n v="4"/>
    <s v="California"/>
    <s v="Sutter County"/>
    <n v="0"/>
    <x v="8"/>
    <x v="3"/>
  </r>
  <r>
    <s v="TX501560"/>
    <s v="Jeans"/>
    <n v="4"/>
    <n v="54"/>
    <n v="216"/>
    <d v="2025-02-27T00:00:00"/>
    <d v="2025-03-01T00:00:00"/>
    <s v="F"/>
    <x v="1"/>
    <n v="4"/>
    <s v="California"/>
    <s v="Contra Costa County"/>
    <n v="2"/>
    <x v="8"/>
    <x v="2"/>
  </r>
  <r>
    <s v="TX501561"/>
    <s v="T-Shirts"/>
    <n v="1"/>
    <n v="52.1"/>
    <n v="52.1"/>
    <d v="2025-02-27T00:00:00"/>
    <d v="2025-02-28T00:00:00"/>
    <s v="F"/>
    <x v="2"/>
    <n v="5"/>
    <s v="California"/>
    <s v="Fresno County"/>
    <n v="1"/>
    <x v="8"/>
    <x v="2"/>
  </r>
  <r>
    <s v="TX501562"/>
    <s v="Jewelry"/>
    <n v="2"/>
    <n v="27"/>
    <n v="54"/>
    <d v="2025-02-27T00:00:00"/>
    <d v="2025-03-02T00:00:00"/>
    <s v="O"/>
    <x v="2"/>
    <n v="4"/>
    <s v="California"/>
    <s v="Kern County"/>
    <n v="3"/>
    <x v="8"/>
    <x v="3"/>
  </r>
  <r>
    <s v="TX501563"/>
    <s v="Casual Dresses"/>
    <n v="10"/>
    <n v="31"/>
    <n v="310"/>
    <d v="2025-02-28T00:00:00"/>
    <d v="2025-03-01T00:00:00"/>
    <s v="F"/>
    <x v="3"/>
    <n v="5"/>
    <s v="California"/>
    <s v="Kern County"/>
    <n v="1"/>
    <x v="8"/>
    <x v="2"/>
  </r>
  <r>
    <s v="TX501564"/>
    <s v="Bikinis"/>
    <n v="2"/>
    <n v="46.7"/>
    <n v="93.4"/>
    <d v="2025-02-28T00:00:00"/>
    <d v="2025-02-28T00:00:00"/>
    <s v="F"/>
    <x v="0"/>
    <n v="4"/>
    <s v="California"/>
    <s v="Kings County"/>
    <n v="0"/>
    <x v="8"/>
    <x v="2"/>
  </r>
  <r>
    <s v="TX501565"/>
    <s v="Jeans"/>
    <n v="1"/>
    <n v="144.69999999999999"/>
    <n v="144.69999999999999"/>
    <d v="2025-02-28T00:00:00"/>
    <d v="2025-03-03T00:00:00"/>
    <s v="M"/>
    <x v="0"/>
    <n v="5"/>
    <s v="California"/>
    <s v="Los Angeles County"/>
    <n v="3"/>
    <x v="8"/>
    <x v="1"/>
  </r>
  <r>
    <s v="TX501566"/>
    <s v="Sneakers"/>
    <n v="9"/>
    <n v="90.9"/>
    <n v="818.1"/>
    <d v="2025-02-28T00:00:00"/>
    <d v="2025-03-01T00:00:00"/>
    <s v="M"/>
    <x v="0"/>
    <n v="5"/>
    <s v="California"/>
    <s v="Los Angeles County"/>
    <n v="1"/>
    <x v="8"/>
    <x v="1"/>
  </r>
  <r>
    <s v="TX501567"/>
    <s v="Tank Tops"/>
    <n v="2"/>
    <n v="75.8"/>
    <n v="151.6"/>
    <d v="2025-02-28T00:00:00"/>
    <d v="2025-03-01T00:00:00"/>
    <s v="F"/>
    <x v="2"/>
    <n v="3"/>
    <s v="California"/>
    <s v="Los Angeles County"/>
    <n v="1"/>
    <x v="8"/>
    <x v="2"/>
  </r>
  <r>
    <s v="TX501568"/>
    <s v="Hoodies &amp; Sweatshirts"/>
    <n v="5"/>
    <n v="57.9"/>
    <n v="289.5"/>
    <d v="2025-02-28T00:00:00"/>
    <d v="2025-03-02T00:00:00"/>
    <s v="M"/>
    <x v="2"/>
    <n v="5"/>
    <s v="California"/>
    <s v="Los Angeles County"/>
    <n v="2"/>
    <x v="8"/>
    <x v="1"/>
  </r>
  <r>
    <s v="TX501569"/>
    <s v="T-Shirts"/>
    <n v="5"/>
    <n v="44.8"/>
    <n v="224"/>
    <d v="2025-02-28T00:00:00"/>
    <d v="2025-03-01T00:00:00"/>
    <s v="F"/>
    <x v="3"/>
    <n v="5"/>
    <s v="California"/>
    <s v="Los Angeles County"/>
    <n v="1"/>
    <x v="8"/>
    <x v="2"/>
  </r>
  <r>
    <s v="TX501570"/>
    <s v="Sundresses"/>
    <n v="3"/>
    <n v="44.2"/>
    <n v="132.60000000000002"/>
    <d v="2025-02-28T00:00:00"/>
    <d v="2025-03-04T00:00:00"/>
    <s v="M"/>
    <x v="2"/>
    <n v="5"/>
    <s v="California"/>
    <s v="Los Angeles County"/>
    <n v="4"/>
    <x v="8"/>
    <x v="1"/>
  </r>
  <r>
    <s v="TX501571"/>
    <s v="Sandals"/>
    <n v="5"/>
    <n v="53.5"/>
    <n v="267.5"/>
    <d v="2025-02-28T00:00:00"/>
    <d v="2025-03-02T00:00:00"/>
    <s v="M"/>
    <x v="0"/>
    <n v="4"/>
    <s v="California"/>
    <s v="Madera County"/>
    <n v="2"/>
    <x v="8"/>
    <x v="1"/>
  </r>
  <r>
    <s v="TX501572"/>
    <s v="Jeans"/>
    <n v="2"/>
    <n v="72.2"/>
    <n v="144.4"/>
    <d v="2025-02-28T00:00:00"/>
    <d v="2025-03-01T00:00:00"/>
    <s v="M"/>
    <x v="0"/>
    <n v="5"/>
    <s v="California"/>
    <s v="Orange County"/>
    <n v="1"/>
    <x v="8"/>
    <x v="1"/>
  </r>
  <r>
    <s v="TX501573"/>
    <s v="Jeans"/>
    <n v="4"/>
    <n v="62.4"/>
    <n v="249.6"/>
    <d v="2025-02-28T00:00:00"/>
    <d v="2025-03-03T00:00:00"/>
    <s v="F"/>
    <x v="0"/>
    <n v="3"/>
    <s v="California"/>
    <s v="Riverside County"/>
    <n v="3"/>
    <x v="8"/>
    <x v="2"/>
  </r>
  <r>
    <s v="TX501574"/>
    <s v="Bikinis"/>
    <n v="5"/>
    <n v="24.7"/>
    <n v="123.5"/>
    <d v="2025-02-28T00:00:00"/>
    <d v="2025-03-01T00:00:00"/>
    <s v="F"/>
    <x v="0"/>
    <n v="4"/>
    <s v="California"/>
    <s v="Sacramento County"/>
    <n v="1"/>
    <x v="8"/>
    <x v="2"/>
  </r>
  <r>
    <s v="TX501575"/>
    <s v="Tank Tops"/>
    <n v="5"/>
    <n v="61.7"/>
    <n v="308.5"/>
    <d v="2025-02-28T00:00:00"/>
    <d v="2025-03-02T00:00:00"/>
    <s v="F"/>
    <x v="2"/>
    <n v="4"/>
    <s v="California"/>
    <s v="San Diego County"/>
    <n v="2"/>
    <x v="8"/>
    <x v="2"/>
  </r>
  <r>
    <s v="TX501576"/>
    <s v="T-Shirts"/>
    <n v="5"/>
    <n v="18.2"/>
    <n v="91"/>
    <d v="2025-02-28T00:00:00"/>
    <d v="2025-03-02T00:00:00"/>
    <s v="F"/>
    <x v="3"/>
    <n v="4"/>
    <s v="California"/>
    <s v="San Diego County"/>
    <n v="2"/>
    <x v="8"/>
    <x v="2"/>
  </r>
  <r>
    <s v="TX501577"/>
    <s v="Bikinis"/>
    <n v="4"/>
    <n v="37.200000000000003"/>
    <n v="148.80000000000001"/>
    <d v="2025-02-28T00:00:00"/>
    <d v="2025-03-06T00:00:00"/>
    <s v="F"/>
    <x v="0"/>
    <n v="4"/>
    <s v="California"/>
    <s v="San Diego County"/>
    <n v="6"/>
    <x v="8"/>
    <x v="2"/>
  </r>
  <r>
    <s v="TX501578"/>
    <s v="Sundresses"/>
    <n v="3"/>
    <n v="53.5"/>
    <n v="160.5"/>
    <d v="2025-02-28T00:00:00"/>
    <d v="2025-03-02T00:00:00"/>
    <s v="F"/>
    <x v="1"/>
    <n v="5"/>
    <s v="California"/>
    <s v="San Mateo County"/>
    <n v="2"/>
    <x v="8"/>
    <x v="2"/>
  </r>
  <r>
    <s v="TX501579"/>
    <s v="T-Shirts"/>
    <n v="3"/>
    <n v="43.6"/>
    <n v="130.80000000000001"/>
    <d v="2025-02-28T00:00:00"/>
    <d v="2025-02-28T00:00:00"/>
    <s v="F"/>
    <x v="0"/>
    <n v="4"/>
    <s v="California"/>
    <s v="San Mateo County"/>
    <n v="0"/>
    <x v="8"/>
    <x v="2"/>
  </r>
  <r>
    <s v="TX501580"/>
    <s v="Tank Tops"/>
    <n v="10"/>
    <n v="135"/>
    <n v="1350"/>
    <d v="2025-02-28T00:00:00"/>
    <d v="2025-03-02T00:00:00"/>
    <s v="F"/>
    <x v="0"/>
    <n v="5"/>
    <s v="California"/>
    <s v="San Mateo County"/>
    <n v="2"/>
    <x v="8"/>
    <x v="2"/>
  </r>
  <r>
    <s v="TX501581"/>
    <s v="T-Shirts"/>
    <n v="5"/>
    <n v="38.5"/>
    <n v="192.5"/>
    <d v="2025-02-28T00:00:00"/>
    <d v="2025-02-28T00:00:00"/>
    <s v="M"/>
    <x v="4"/>
    <n v="5"/>
    <s v="California"/>
    <s v="Santa Barbara County"/>
    <n v="0"/>
    <x v="8"/>
    <x v="1"/>
  </r>
  <r>
    <s v="TX501582"/>
    <s v="Sundresses"/>
    <n v="2"/>
    <n v="24"/>
    <n v="48"/>
    <d v="2025-02-28T00:00:00"/>
    <d v="2025-03-05T00:00:00"/>
    <s v="F"/>
    <x v="0"/>
    <n v="4"/>
    <s v="California"/>
    <s v="Santa Clara County"/>
    <n v="5"/>
    <x v="8"/>
    <x v="2"/>
  </r>
  <r>
    <s v="TX501583"/>
    <s v="Graphic Tees"/>
    <n v="3"/>
    <n v="28.2"/>
    <n v="84.6"/>
    <d v="2025-02-28T00:00:00"/>
    <d v="2025-03-02T00:00:00"/>
    <s v="M"/>
    <x v="0"/>
    <n v="1"/>
    <s v="California"/>
    <s v="Sonoma County"/>
    <n v="2"/>
    <x v="8"/>
    <x v="1"/>
  </r>
  <r>
    <s v="TX501584"/>
    <s v="Hoodies &amp; Sweatshirts"/>
    <n v="3"/>
    <n v="37.4"/>
    <n v="112.19999999999999"/>
    <d v="2025-02-28T00:00:00"/>
    <d v="2025-03-01T00:00:00"/>
    <s v="F"/>
    <x v="3"/>
    <n v="4"/>
    <s v="California"/>
    <s v="Contra Costa County"/>
    <n v="1"/>
    <x v="8"/>
    <x v="2"/>
  </r>
  <r>
    <s v="TX501585"/>
    <s v="Jeans"/>
    <n v="3"/>
    <n v="53.5"/>
    <n v="160.5"/>
    <d v="2025-02-28T00:00:00"/>
    <d v="2025-03-03T00:00:00"/>
    <s v=""/>
    <x v="4"/>
    <n v="2"/>
    <s v="California"/>
    <s v="Contra Costa County"/>
    <n v="3"/>
    <x v="8"/>
    <x v="0"/>
  </r>
  <r>
    <s v="TX501586"/>
    <s v="Maxi Dresses"/>
    <n v="5"/>
    <n v="36.200000000000003"/>
    <n v="181"/>
    <d v="2025-02-28T00:00:00"/>
    <d v="2025-03-01T00:00:00"/>
    <s v="M"/>
    <x v="1"/>
    <n v="5"/>
    <s v="California"/>
    <s v="Imperial County"/>
    <n v="1"/>
    <x v="8"/>
    <x v="1"/>
  </r>
  <r>
    <s v="TX501587"/>
    <s v="Shorts"/>
    <n v="8"/>
    <n v="31.9"/>
    <n v="255.2"/>
    <d v="2025-02-28T00:00:00"/>
    <d v="2025-03-01T00:00:00"/>
    <s v="F"/>
    <x v="4"/>
    <n v="4"/>
    <s v="California"/>
    <s v="Los Angeles County"/>
    <n v="1"/>
    <x v="8"/>
    <x v="2"/>
  </r>
  <r>
    <s v="TX501588"/>
    <s v="T-Shirts"/>
    <n v="3"/>
    <n v="21.3"/>
    <n v="63.900000000000006"/>
    <d v="2025-02-28T00:00:00"/>
    <d v="2025-03-01T00:00:00"/>
    <s v="M"/>
    <x v="0"/>
    <n v="5"/>
    <s v="California"/>
    <s v="Los Angeles County"/>
    <n v="1"/>
    <x v="8"/>
    <x v="1"/>
  </r>
  <r>
    <s v="TX501589"/>
    <s v="T-Shirts"/>
    <n v="1"/>
    <n v="36.299999999999997"/>
    <n v="36.299999999999997"/>
    <d v="2025-02-28T00:00:00"/>
    <d v="2025-03-02T00:00:00"/>
    <s v="O"/>
    <x v="4"/>
    <n v="4"/>
    <s v="California"/>
    <s v="Los Angeles County"/>
    <n v="2"/>
    <x v="8"/>
    <x v="3"/>
  </r>
  <r>
    <s v="TX501590"/>
    <s v="Jeans"/>
    <n v="3"/>
    <n v="110.5"/>
    <n v="331.5"/>
    <d v="2025-02-28T00:00:00"/>
    <d v="2025-03-01T00:00:00"/>
    <s v="F"/>
    <x v="0"/>
    <n v="1"/>
    <s v="California"/>
    <s v="Los Angeles County"/>
    <n v="1"/>
    <x v="8"/>
    <x v="2"/>
  </r>
  <r>
    <s v="TX501591"/>
    <s v="Bikinis"/>
    <n v="7"/>
    <n v="32.6"/>
    <n v="228.20000000000002"/>
    <d v="2025-02-28T00:00:00"/>
    <d v="2025-03-02T00:00:00"/>
    <s v="F"/>
    <x v="0"/>
    <n v="3"/>
    <s v="California"/>
    <s v="Los Angeles County"/>
    <n v="2"/>
    <x v="8"/>
    <x v="2"/>
  </r>
  <r>
    <s v="TX501592"/>
    <s v="Sandals"/>
    <n v="3"/>
    <n v="55.6"/>
    <n v="166.8"/>
    <d v="2025-03-01T00:00:00"/>
    <d v="2025-03-14T00:00:00"/>
    <s v="F"/>
    <x v="0"/>
    <n v="4"/>
    <s v="California"/>
    <s v="Los Angeles County"/>
    <n v="13"/>
    <x v="8"/>
    <x v="2"/>
  </r>
  <r>
    <s v="TX501593"/>
    <s v="Tank Tops"/>
    <n v="4"/>
    <n v="38"/>
    <n v="152"/>
    <d v="2025-03-01T00:00:00"/>
    <d v="2025-03-02T00:00:00"/>
    <s v="F"/>
    <x v="3"/>
    <n v="5"/>
    <s v="California"/>
    <s v="Placer County"/>
    <n v="1"/>
    <x v="8"/>
    <x v="2"/>
  </r>
  <r>
    <s v="TX501594"/>
    <s v="Bikinis"/>
    <n v="2"/>
    <n v="51.8"/>
    <n v="103.6"/>
    <d v="2025-03-01T00:00:00"/>
    <d v="2025-03-07T00:00:00"/>
    <s v="M"/>
    <x v="1"/>
    <n v="2"/>
    <s v="California"/>
    <s v="Sacramento County"/>
    <n v="6"/>
    <x v="8"/>
    <x v="1"/>
  </r>
  <r>
    <s v="TX501595"/>
    <s v="Maxi Dresses"/>
    <n v="8"/>
    <n v="28.7"/>
    <n v="229.6"/>
    <d v="2025-03-01T00:00:00"/>
    <d v="2025-03-06T00:00:00"/>
    <s v="F"/>
    <x v="0"/>
    <n v="4"/>
    <s v="California"/>
    <s v="Sacramento County"/>
    <n v="5"/>
    <x v="8"/>
    <x v="2"/>
  </r>
  <r>
    <s v="TX501596"/>
    <s v="Jeans"/>
    <n v="12"/>
    <n v="52.2"/>
    <n v="626.40000000000009"/>
    <d v="2025-03-01T00:00:00"/>
    <d v="2025-03-01T00:00:00"/>
    <s v="M"/>
    <x v="0"/>
    <n v="3"/>
    <s v="California"/>
    <s v="Sacramento County"/>
    <n v="0"/>
    <x v="8"/>
    <x v="1"/>
  </r>
  <r>
    <s v="TX501597"/>
    <s v="Tank Tops"/>
    <n v="2"/>
    <n v="68.2"/>
    <n v="136.4"/>
    <d v="2025-03-01T00:00:00"/>
    <d v="2025-03-02T00:00:00"/>
    <s v=""/>
    <x v="2"/>
    <n v="4"/>
    <s v="California"/>
    <s v="San Bernardino County"/>
    <n v="1"/>
    <x v="8"/>
    <x v="0"/>
  </r>
  <r>
    <s v="TX501598"/>
    <s v="Shorts"/>
    <n v="3"/>
    <n v="34"/>
    <n v="102"/>
    <d v="2025-03-01T00:00:00"/>
    <d v="2025-03-05T00:00:00"/>
    <s v="F"/>
    <x v="0"/>
    <n v="4"/>
    <s v="California"/>
    <s v="San Diego County"/>
    <n v="4"/>
    <x v="8"/>
    <x v="2"/>
  </r>
  <r>
    <s v="TX501599"/>
    <s v="T-Shirts"/>
    <n v="3"/>
    <n v="19.100000000000001"/>
    <n v="57.300000000000004"/>
    <d v="2025-03-01T00:00:00"/>
    <d v="2025-03-02T00:00:00"/>
    <s v="F"/>
    <x v="4"/>
    <n v="4"/>
    <s v="California"/>
    <s v="San Diego County"/>
    <n v="1"/>
    <x v="8"/>
    <x v="2"/>
  </r>
  <r>
    <s v="TX501600"/>
    <s v="Sandals"/>
    <n v="8"/>
    <n v="34"/>
    <n v="272"/>
    <d v="2025-03-01T00:00:00"/>
    <d v="2025-03-09T00:00:00"/>
    <s v="F"/>
    <x v="4"/>
    <n v="4"/>
    <s v="California"/>
    <s v="San Diego County"/>
    <n v="8"/>
    <x v="8"/>
    <x v="2"/>
  </r>
  <r>
    <s v="TX501601"/>
    <s v="Casual Dresses"/>
    <n v="2"/>
    <n v="109.1"/>
    <n v="218.2"/>
    <d v="2025-03-01T00:00:00"/>
    <d v="2025-03-03T00:00:00"/>
    <s v="M"/>
    <x v="0"/>
    <n v="5"/>
    <s v="California"/>
    <s v="San Diego County"/>
    <n v="2"/>
    <x v="8"/>
    <x v="1"/>
  </r>
  <r>
    <s v="TX501602"/>
    <s v="Leggings"/>
    <n v="2"/>
    <n v="64.8"/>
    <n v="129.6"/>
    <d v="2025-03-01T00:00:00"/>
    <d v="2025-03-03T00:00:00"/>
    <s v="M"/>
    <x v="0"/>
    <n v="5"/>
    <s v="California"/>
    <s v="San Diego County"/>
    <n v="2"/>
    <x v="8"/>
    <x v="1"/>
  </r>
  <r>
    <s v="TX501603"/>
    <s v="Bikinis"/>
    <n v="2"/>
    <n v="21.1"/>
    <n v="42.2"/>
    <d v="2025-03-01T00:00:00"/>
    <d v="2025-03-01T00:00:00"/>
    <s v="F"/>
    <x v="1"/>
    <n v="4"/>
    <s v="California"/>
    <s v="Santa Clara County"/>
    <n v="0"/>
    <x v="8"/>
    <x v="2"/>
  </r>
  <r>
    <s v="TX501604"/>
    <s v="Shorts"/>
    <n v="8"/>
    <n v="21.3"/>
    <n v="170.4"/>
    <d v="2025-03-01T00:00:00"/>
    <d v="2025-03-03T00:00:00"/>
    <s v="M"/>
    <x v="3"/>
    <n v="3"/>
    <s v="California"/>
    <s v="Sonoma County"/>
    <n v="2"/>
    <x v="8"/>
    <x v="1"/>
  </r>
  <r>
    <s v="TX501605"/>
    <s v="Sundresses"/>
    <n v="3"/>
    <n v="24.3"/>
    <n v="72.900000000000006"/>
    <d v="2025-03-01T00:00:00"/>
    <d v="2025-03-02T00:00:00"/>
    <s v="M"/>
    <x v="1"/>
    <n v="4"/>
    <s v="California"/>
    <s v="Stanislaus County"/>
    <n v="1"/>
    <x v="8"/>
    <x v="1"/>
  </r>
  <r>
    <s v="TX501606"/>
    <s v="T-Shirts"/>
    <n v="1"/>
    <n v="43.3"/>
    <n v="43.3"/>
    <d v="2025-03-01T00:00:00"/>
    <d v="2025-03-05T00:00:00"/>
    <s v="M"/>
    <x v="1"/>
    <n v="3"/>
    <s v="California"/>
    <s v="Ventura County"/>
    <n v="4"/>
    <x v="8"/>
    <x v="1"/>
  </r>
  <r>
    <s v="TX501607"/>
    <s v="Sundresses"/>
    <n v="3"/>
    <n v="41"/>
    <n v="123"/>
    <d v="2025-03-01T00:00:00"/>
    <d v="2025-03-02T00:00:00"/>
    <s v="F"/>
    <x v="3"/>
    <n v="2"/>
    <s v="California"/>
    <s v="Alameda County"/>
    <n v="1"/>
    <x v="8"/>
    <x v="2"/>
  </r>
  <r>
    <s v="TX501608"/>
    <s v="Sunglasses"/>
    <n v="3"/>
    <n v="54.1"/>
    <n v="162.30000000000001"/>
    <d v="2025-03-01T00:00:00"/>
    <d v="2025-03-03T00:00:00"/>
    <s v="F"/>
    <x v="4"/>
    <n v="4"/>
    <s v="California"/>
    <s v="Alameda County"/>
    <n v="2"/>
    <x v="8"/>
    <x v="2"/>
  </r>
  <r>
    <s v="TX501609"/>
    <s v="Maxi Dresses"/>
    <n v="2"/>
    <n v="39"/>
    <n v="78"/>
    <d v="2025-03-01T00:00:00"/>
    <d v="2025-03-02T00:00:00"/>
    <s v="M"/>
    <x v="1"/>
    <n v="5"/>
    <s v="California"/>
    <s v="Contra Costa County"/>
    <n v="1"/>
    <x v="8"/>
    <x v="1"/>
  </r>
  <r>
    <s v="TX501610"/>
    <s v="T-Shirts"/>
    <n v="2"/>
    <n v="40.299999999999997"/>
    <n v="80.599999999999994"/>
    <d v="2025-03-01T00:00:00"/>
    <d v="2025-03-03T00:00:00"/>
    <s v="M"/>
    <x v="3"/>
    <n v="4"/>
    <s v="California"/>
    <s v="Glenn County"/>
    <n v="2"/>
    <x v="8"/>
    <x v="1"/>
  </r>
  <r>
    <s v="TX501611"/>
    <s v="T-Shirts"/>
    <n v="3"/>
    <n v="24.1"/>
    <n v="72.300000000000011"/>
    <d v="2025-03-01T00:00:00"/>
    <d v="2025-03-02T00:00:00"/>
    <s v="M"/>
    <x v="0"/>
    <n v="5"/>
    <s v="California"/>
    <s v="Kings County"/>
    <n v="1"/>
    <x v="8"/>
    <x v="1"/>
  </r>
  <r>
    <s v="TX501612"/>
    <s v="Jeans"/>
    <n v="5"/>
    <n v="52.3"/>
    <n v="261.5"/>
    <d v="2025-03-01T00:00:00"/>
    <d v="2025-03-02T00:00:00"/>
    <s v="M"/>
    <x v="2"/>
    <n v="4"/>
    <s v="California"/>
    <s v="Los Angeles County"/>
    <n v="1"/>
    <x v="8"/>
    <x v="1"/>
  </r>
  <r>
    <s v="TX501613"/>
    <s v="Casual Dresses"/>
    <n v="4"/>
    <n v="68.8"/>
    <n v="275.2"/>
    <d v="2025-03-01T00:00:00"/>
    <d v="2025-03-05T00:00:00"/>
    <s v="F"/>
    <x v="4"/>
    <n v="5"/>
    <s v="California"/>
    <s v="Los Angeles County"/>
    <n v="4"/>
    <x v="8"/>
    <x v="2"/>
  </r>
  <r>
    <s v="TX501614"/>
    <s v="Sneakers"/>
    <n v="2"/>
    <n v="128.80000000000001"/>
    <n v="257.60000000000002"/>
    <d v="2025-03-02T00:00:00"/>
    <d v="2025-03-05T00:00:00"/>
    <s v="F"/>
    <x v="1"/>
    <n v="3"/>
    <s v="California"/>
    <s v="Los Angeles County"/>
    <n v="3"/>
    <x v="8"/>
    <x v="2"/>
  </r>
  <r>
    <s v="TX501615"/>
    <s v="Crop Tops"/>
    <n v="5"/>
    <n v="48.2"/>
    <n v="241"/>
    <d v="2025-03-02T00:00:00"/>
    <d v="2025-03-04T00:00:00"/>
    <s v="F"/>
    <x v="3"/>
    <n v="4"/>
    <s v="California"/>
    <s v="Los Angeles County"/>
    <n v="2"/>
    <x v="8"/>
    <x v="2"/>
  </r>
  <r>
    <s v="TX501616"/>
    <s v="Bikinis"/>
    <n v="1"/>
    <n v="39.700000000000003"/>
    <n v="39.700000000000003"/>
    <d v="2025-03-02T00:00:00"/>
    <d v="2025-03-04T00:00:00"/>
    <s v="F"/>
    <x v="0"/>
    <n v="3"/>
    <s v="California"/>
    <s v="Los Angeles County"/>
    <n v="2"/>
    <x v="8"/>
    <x v="2"/>
  </r>
  <r>
    <s v="TX501617"/>
    <s v="Sundresses"/>
    <n v="1"/>
    <n v="59.7"/>
    <n v="59.7"/>
    <d v="2025-03-02T00:00:00"/>
    <d v="2025-03-05T00:00:00"/>
    <s v="F"/>
    <x v="4"/>
    <n v="4"/>
    <s v="California"/>
    <s v="Los Angeles County"/>
    <n v="3"/>
    <x v="8"/>
    <x v="2"/>
  </r>
  <r>
    <s v="TX501618"/>
    <s v="Jeans"/>
    <n v="1"/>
    <n v="48.3"/>
    <n v="48.3"/>
    <d v="2025-03-02T00:00:00"/>
    <d v="2025-03-16T00:00:00"/>
    <s v="O"/>
    <x v="0"/>
    <n v="5"/>
    <s v="California"/>
    <s v="Los Angeles County"/>
    <n v="14"/>
    <x v="8"/>
    <x v="3"/>
  </r>
  <r>
    <s v="TX501619"/>
    <s v="T-Shirts"/>
    <n v="3"/>
    <n v="45.5"/>
    <n v="136.5"/>
    <d v="2025-03-02T00:00:00"/>
    <d v="2025-03-04T00:00:00"/>
    <s v="M"/>
    <x v="2"/>
    <n v="3"/>
    <s v="California"/>
    <s v="Los Angeles County"/>
    <n v="2"/>
    <x v="8"/>
    <x v="1"/>
  </r>
  <r>
    <s v="TX501620"/>
    <s v="Sundresses"/>
    <n v="27"/>
    <n v="51"/>
    <n v="1377"/>
    <d v="2025-03-02T00:00:00"/>
    <d v="2025-03-02T00:00:00"/>
    <s v="F"/>
    <x v="2"/>
    <n v="4"/>
    <s v="California"/>
    <s v="Los Angeles County"/>
    <n v="0"/>
    <x v="8"/>
    <x v="2"/>
  </r>
  <r>
    <s v="TX501621"/>
    <s v="Graphic Tees"/>
    <n v="6"/>
    <n v="20.399999999999999"/>
    <n v="122.39999999999999"/>
    <d v="2025-03-02T00:00:00"/>
    <d v="2025-03-03T00:00:00"/>
    <s v="M"/>
    <x v="2"/>
    <n v="4"/>
    <s v="California"/>
    <s v="Los Angeles County"/>
    <n v="1"/>
    <x v="8"/>
    <x v="1"/>
  </r>
  <r>
    <s v="TX501622"/>
    <s v="Bikinis"/>
    <n v="2"/>
    <n v="30.4"/>
    <n v="60.8"/>
    <d v="2025-03-02T00:00:00"/>
    <d v="2025-03-04T00:00:00"/>
    <s v="M"/>
    <x v="2"/>
    <n v="4"/>
    <s v="California"/>
    <s v="Los Angeles County"/>
    <n v="2"/>
    <x v="8"/>
    <x v="1"/>
  </r>
  <r>
    <s v="TX501623"/>
    <s v="Hoodies &amp; Sweatshirts"/>
    <n v="2"/>
    <n v="71.5"/>
    <n v="143"/>
    <d v="2025-03-02T00:00:00"/>
    <d v="2025-03-06T00:00:00"/>
    <s v="F"/>
    <x v="0"/>
    <n v="4"/>
    <s v="California"/>
    <s v="Los Angeles County"/>
    <n v="4"/>
    <x v="8"/>
    <x v="2"/>
  </r>
  <r>
    <s v="TX501624"/>
    <s v="T-Shirts"/>
    <n v="6"/>
    <n v="18"/>
    <n v="108"/>
    <d v="2025-03-02T00:00:00"/>
    <d v="2025-03-03T00:00:00"/>
    <s v="O"/>
    <x v="1"/>
    <n v="5"/>
    <s v="California"/>
    <s v="Sacramento County"/>
    <n v="1"/>
    <x v="8"/>
    <x v="3"/>
  </r>
  <r>
    <s v="TX501625"/>
    <s v="Crop Tops"/>
    <n v="11"/>
    <n v="45.6"/>
    <n v="501.6"/>
    <d v="2025-03-02T00:00:00"/>
    <d v="2025-03-03T00:00:00"/>
    <s v="O"/>
    <x v="1"/>
    <n v="3"/>
    <s v="California"/>
    <s v="San Bernardino County"/>
    <n v="1"/>
    <x v="8"/>
    <x v="3"/>
  </r>
  <r>
    <s v="TX501626"/>
    <s v="Sundresses"/>
    <n v="1"/>
    <n v="31.8"/>
    <n v="31.8"/>
    <d v="2025-03-02T00:00:00"/>
    <d v="2025-03-06T00:00:00"/>
    <s v="F"/>
    <x v="0"/>
    <n v="5"/>
    <s v="California"/>
    <s v="San Bernardino County"/>
    <n v="4"/>
    <x v="8"/>
    <x v="2"/>
  </r>
  <r>
    <s v="TX501627"/>
    <s v="T-Shirts"/>
    <n v="5"/>
    <n v="19.899999999999999"/>
    <n v="99.5"/>
    <d v="2025-03-02T00:00:00"/>
    <d v="2025-03-03T00:00:00"/>
    <s v="F"/>
    <x v="1"/>
    <n v="4"/>
    <s v="California"/>
    <s v="San Bernardino County"/>
    <n v="1"/>
    <x v="8"/>
    <x v="2"/>
  </r>
  <r>
    <s v="TX501628"/>
    <s v="Casual Dresses"/>
    <n v="9"/>
    <n v="52.1"/>
    <n v="468.90000000000003"/>
    <d v="2025-03-02T00:00:00"/>
    <d v="2025-03-04T00:00:00"/>
    <s v="M"/>
    <x v="0"/>
    <n v="4"/>
    <s v="California"/>
    <s v="San Diego County"/>
    <n v="2"/>
    <x v="8"/>
    <x v="1"/>
  </r>
  <r>
    <s v="TX501629"/>
    <s v="Tank Tops"/>
    <n v="7"/>
    <n v="45.9"/>
    <n v="321.3"/>
    <d v="2025-03-02T00:00:00"/>
    <d v="2025-03-03T00:00:00"/>
    <s v="M"/>
    <x v="0"/>
    <n v="3"/>
    <s v="California"/>
    <s v="San Diego County"/>
    <n v="1"/>
    <x v="8"/>
    <x v="1"/>
  </r>
  <r>
    <s v="TX501630"/>
    <s v="Tank Tops"/>
    <n v="10"/>
    <n v="115.9"/>
    <n v="1159"/>
    <d v="2025-03-02T00:00:00"/>
    <d v="2025-03-05T00:00:00"/>
    <s v="F"/>
    <x v="1"/>
    <n v="4"/>
    <s v="California"/>
    <s v="San Diego County"/>
    <n v="3"/>
    <x v="8"/>
    <x v="2"/>
  </r>
  <r>
    <s v="TX501631"/>
    <s v="Jeans"/>
    <n v="9"/>
    <n v="86"/>
    <n v="774"/>
    <d v="2025-03-02T00:00:00"/>
    <d v="2025-03-07T00:00:00"/>
    <s v="F"/>
    <x v="0"/>
    <n v="3"/>
    <s v="California"/>
    <s v="San Diego County"/>
    <n v="5"/>
    <x v="8"/>
    <x v="2"/>
  </r>
  <r>
    <s v="TX501632"/>
    <s v="Hoodies &amp; Sweatshirts"/>
    <n v="7"/>
    <n v="73.599999999999994"/>
    <n v="515.19999999999993"/>
    <d v="2025-03-02T00:00:00"/>
    <d v="2025-03-04T00:00:00"/>
    <s v="F"/>
    <x v="0"/>
    <n v="4"/>
    <s v="California"/>
    <s v="San Francisco"/>
    <n v="2"/>
    <x v="8"/>
    <x v="2"/>
  </r>
  <r>
    <s v="TX501633"/>
    <s v="Bikinis"/>
    <n v="3"/>
    <n v="26.7"/>
    <n v="80.099999999999994"/>
    <d v="2025-03-02T00:00:00"/>
    <d v="2025-03-06T00:00:00"/>
    <s v="F"/>
    <x v="0"/>
    <n v="4"/>
    <s v="California"/>
    <s v="Santa Clara County"/>
    <n v="4"/>
    <x v="8"/>
    <x v="2"/>
  </r>
  <r>
    <s v="TX501634"/>
    <s v="T-Shirts"/>
    <n v="7"/>
    <n v="46.6"/>
    <n v="326.2"/>
    <d v="2025-03-02T00:00:00"/>
    <d v="2025-03-04T00:00:00"/>
    <s v=""/>
    <x v="3"/>
    <n v="4"/>
    <s v="California"/>
    <s v="Santa Clara County"/>
    <n v="2"/>
    <x v="8"/>
    <x v="0"/>
  </r>
  <r>
    <s v="TX501635"/>
    <s v="Workout Tops"/>
    <n v="3"/>
    <n v="84.6"/>
    <n v="253.79999999999998"/>
    <d v="2025-03-02T00:00:00"/>
    <d v="2025-03-04T00:00:00"/>
    <s v="M"/>
    <x v="4"/>
    <n v="4"/>
    <s v="California"/>
    <s v="Santa Clara County"/>
    <n v="2"/>
    <x v="8"/>
    <x v="1"/>
  </r>
  <r>
    <s v="TX501636"/>
    <s v="Hoodies &amp; Sweatshirts"/>
    <n v="14"/>
    <n v="41.5"/>
    <n v="581"/>
    <d v="2025-03-02T00:00:00"/>
    <d v="2025-03-16T00:00:00"/>
    <s v="M"/>
    <x v="1"/>
    <n v="4"/>
    <s v="California"/>
    <s v="Shasta County"/>
    <n v="14"/>
    <x v="8"/>
    <x v="1"/>
  </r>
  <r>
    <s v="TX501637"/>
    <s v="T-Shirts"/>
    <n v="1"/>
    <n v="32.799999999999997"/>
    <n v="32.799999999999997"/>
    <d v="2025-03-02T00:00:00"/>
    <d v="2025-03-05T00:00:00"/>
    <s v="M"/>
    <x v="0"/>
    <n v="5"/>
    <s v="California"/>
    <s v="Siskiyou County"/>
    <n v="3"/>
    <x v="8"/>
    <x v="1"/>
  </r>
  <r>
    <s v="TX501638"/>
    <s v="Graphic Tees"/>
    <n v="7"/>
    <n v="46.7"/>
    <n v="326.90000000000003"/>
    <d v="2025-03-02T00:00:00"/>
    <d v="2025-03-04T00:00:00"/>
    <s v="O"/>
    <x v="0"/>
    <n v="5"/>
    <s v="California"/>
    <s v="Sonoma County"/>
    <n v="2"/>
    <x v="8"/>
    <x v="3"/>
  </r>
  <r>
    <s v="TX501639"/>
    <s v="Crop Tops"/>
    <n v="7"/>
    <n v="21"/>
    <n v="147"/>
    <d v="2025-03-02T00:00:00"/>
    <d v="2025-03-05T00:00:00"/>
    <s v="M"/>
    <x v="2"/>
    <n v="3"/>
    <s v="California"/>
    <s v="Alameda County"/>
    <n v="3"/>
    <x v="8"/>
    <x v="1"/>
  </r>
  <r>
    <s v="TX501640"/>
    <s v="Sandals"/>
    <n v="7"/>
    <n v="29.4"/>
    <n v="205.79999999999998"/>
    <d v="2025-03-02T00:00:00"/>
    <d v="2025-03-02T00:00:00"/>
    <s v="M"/>
    <x v="3"/>
    <n v="5"/>
    <s v="California"/>
    <s v="Alameda County"/>
    <n v="0"/>
    <x v="8"/>
    <x v="1"/>
  </r>
  <r>
    <s v="TX501641"/>
    <s v="Crop Tops"/>
    <n v="2"/>
    <n v="32.299999999999997"/>
    <n v="64.599999999999994"/>
    <d v="2025-03-02T00:00:00"/>
    <d v="2025-03-03T00:00:00"/>
    <s v="M"/>
    <x v="0"/>
    <n v="5"/>
    <s v="California"/>
    <s v="Alameda County"/>
    <n v="1"/>
    <x v="8"/>
    <x v="1"/>
  </r>
  <r>
    <s v="TX501642"/>
    <s v="Jeans"/>
    <n v="1"/>
    <n v="42.2"/>
    <n v="42.2"/>
    <d v="2025-03-03T00:00:00"/>
    <d v="2025-03-05T00:00:00"/>
    <s v="F"/>
    <x v="0"/>
    <n v="5"/>
    <s v="California"/>
    <s v="Alameda County"/>
    <n v="2"/>
    <x v="9"/>
    <x v="2"/>
  </r>
  <r>
    <s v="TX501643"/>
    <s v="Jeans"/>
    <n v="1"/>
    <n v="53.7"/>
    <n v="53.7"/>
    <d v="2025-03-03T00:00:00"/>
    <d v="2025-03-05T00:00:00"/>
    <s v="M"/>
    <x v="1"/>
    <n v="3"/>
    <s v="California"/>
    <s v="Contra Costa County"/>
    <n v="2"/>
    <x v="9"/>
    <x v="1"/>
  </r>
  <r>
    <s v="TX501644"/>
    <s v="Sneakers"/>
    <n v="2"/>
    <n v="123.9"/>
    <n v="247.8"/>
    <d v="2025-03-03T00:00:00"/>
    <d v="2025-03-06T00:00:00"/>
    <s v="M"/>
    <x v="2"/>
    <n v="4"/>
    <s v="California"/>
    <s v="Contra Costa County"/>
    <n v="3"/>
    <x v="9"/>
    <x v="1"/>
  </r>
  <r>
    <s v="TX501645"/>
    <s v="Graphic Tees"/>
    <n v="3"/>
    <n v="35.9"/>
    <n v="107.69999999999999"/>
    <d v="2025-03-03T00:00:00"/>
    <d v="2025-03-05T00:00:00"/>
    <s v="M"/>
    <x v="2"/>
    <n v="4"/>
    <s v="California"/>
    <s v="Kern County"/>
    <n v="2"/>
    <x v="9"/>
    <x v="1"/>
  </r>
  <r>
    <s v="TX501646"/>
    <s v="Graphic Tees"/>
    <n v="2"/>
    <n v="23.6"/>
    <n v="47.2"/>
    <d v="2025-03-03T00:00:00"/>
    <d v="2025-03-06T00:00:00"/>
    <s v="M"/>
    <x v="0"/>
    <n v="5"/>
    <s v="California"/>
    <s v="Los Angeles County"/>
    <n v="3"/>
    <x v="9"/>
    <x v="1"/>
  </r>
  <r>
    <s v="TX501647"/>
    <s v="Crop Tops"/>
    <n v="35"/>
    <n v="45.7"/>
    <n v="1599.5"/>
    <d v="2025-03-03T00:00:00"/>
    <d v="2025-03-04T00:00:00"/>
    <s v="M"/>
    <x v="0"/>
    <n v="3"/>
    <s v="California"/>
    <s v="Los Angeles County"/>
    <n v="1"/>
    <x v="9"/>
    <x v="1"/>
  </r>
  <r>
    <s v="TX501648"/>
    <s v="Jeans"/>
    <n v="11"/>
    <n v="118.3"/>
    <n v="1301.3"/>
    <d v="2025-03-03T00:00:00"/>
    <d v="2025-03-05T00:00:00"/>
    <s v="M"/>
    <x v="4"/>
    <n v="5"/>
    <s v="California"/>
    <s v="Los Angeles County"/>
    <n v="2"/>
    <x v="9"/>
    <x v="1"/>
  </r>
  <r>
    <s v="TX501649"/>
    <s v="Jewelry"/>
    <n v="1"/>
    <n v="36"/>
    <n v="36"/>
    <d v="2025-03-03T00:00:00"/>
    <d v="2025-03-04T00:00:00"/>
    <s v="F"/>
    <x v="0"/>
    <n v="3"/>
    <s v="California"/>
    <s v="Los Angeles County"/>
    <n v="1"/>
    <x v="9"/>
    <x v="2"/>
  </r>
  <r>
    <s v="TX501650"/>
    <s v="T-Shirts"/>
    <n v="2"/>
    <n v="37.1"/>
    <n v="74.2"/>
    <d v="2025-03-03T00:00:00"/>
    <d v="2025-03-06T00:00:00"/>
    <s v="F"/>
    <x v="2"/>
    <n v="4"/>
    <s v="California"/>
    <s v="Los Angeles County"/>
    <n v="3"/>
    <x v="9"/>
    <x v="2"/>
  </r>
  <r>
    <s v="TX501651"/>
    <s v="Leggings"/>
    <n v="3"/>
    <n v="45.1"/>
    <n v="135.30000000000001"/>
    <d v="2025-03-03T00:00:00"/>
    <d v="2025-03-05T00:00:00"/>
    <s v="F"/>
    <x v="1"/>
    <n v="5"/>
    <s v="California"/>
    <s v="Los Angeles County"/>
    <n v="2"/>
    <x v="9"/>
    <x v="2"/>
  </r>
  <r>
    <s v="TX501652"/>
    <s v="Sandals"/>
    <n v="16"/>
    <n v="37.9"/>
    <n v="606.4"/>
    <d v="2025-03-03T00:00:00"/>
    <d v="2025-03-04T00:00:00"/>
    <s v="F"/>
    <x v="3"/>
    <n v="5"/>
    <s v="California"/>
    <s v="Los Angeles County"/>
    <n v="1"/>
    <x v="9"/>
    <x v="2"/>
  </r>
  <r>
    <s v="TX501653"/>
    <s v="Sneakers"/>
    <n v="2"/>
    <n v="121.6"/>
    <n v="243.2"/>
    <d v="2025-03-03T00:00:00"/>
    <d v="2025-03-06T00:00:00"/>
    <s v="M"/>
    <x v="3"/>
    <n v="5"/>
    <s v="California"/>
    <s v="Los Angeles County"/>
    <n v="3"/>
    <x v="9"/>
    <x v="1"/>
  </r>
  <r>
    <s v="TX501654"/>
    <s v="Sandals"/>
    <n v="7"/>
    <n v="38.200000000000003"/>
    <n v="267.40000000000003"/>
    <d v="2025-03-03T00:00:00"/>
    <d v="2025-03-06T00:00:00"/>
    <s v="F"/>
    <x v="0"/>
    <n v="4"/>
    <s v="California"/>
    <s v="Los Angeles County"/>
    <n v="3"/>
    <x v="9"/>
    <x v="2"/>
  </r>
  <r>
    <s v="TX501655"/>
    <s v="Pajama Sets"/>
    <n v="2"/>
    <n v="37.200000000000003"/>
    <n v="74.400000000000006"/>
    <d v="2025-03-03T00:00:00"/>
    <d v="2025-03-06T00:00:00"/>
    <s v="M"/>
    <x v="4"/>
    <n v="4"/>
    <s v="California"/>
    <s v="Los Angeles County"/>
    <n v="3"/>
    <x v="9"/>
    <x v="1"/>
  </r>
  <r>
    <s v="TX501656"/>
    <s v="Sneakers"/>
    <n v="4"/>
    <n v="115.7"/>
    <n v="462.8"/>
    <d v="2025-03-03T00:00:00"/>
    <d v="2025-03-06T00:00:00"/>
    <s v="F"/>
    <x v="1"/>
    <n v="4"/>
    <s v="California"/>
    <s v="Los Angeles County"/>
    <n v="3"/>
    <x v="9"/>
    <x v="2"/>
  </r>
  <r>
    <s v="TX501657"/>
    <s v="Sneakers"/>
    <n v="6"/>
    <n v="99.4"/>
    <n v="596.40000000000009"/>
    <d v="2025-03-03T00:00:00"/>
    <d v="2025-03-06T00:00:00"/>
    <s v="M"/>
    <x v="0"/>
    <n v="5"/>
    <s v="California"/>
    <s v="Los Angeles County"/>
    <n v="3"/>
    <x v="9"/>
    <x v="1"/>
  </r>
  <r>
    <s v="TX501658"/>
    <s v="Maxi Dresses"/>
    <n v="1"/>
    <n v="38.700000000000003"/>
    <n v="38.700000000000003"/>
    <d v="2025-03-03T00:00:00"/>
    <d v="2025-03-04T00:00:00"/>
    <s v="F"/>
    <x v="2"/>
    <n v="4"/>
    <s v="California"/>
    <s v="Orange County"/>
    <n v="1"/>
    <x v="9"/>
    <x v="2"/>
  </r>
  <r>
    <s v="TX501659"/>
    <s v="Graphic Tees"/>
    <n v="2"/>
    <n v="35.5"/>
    <n v="71"/>
    <d v="2025-03-03T00:00:00"/>
    <d v="2025-03-06T00:00:00"/>
    <s v="M"/>
    <x v="0"/>
    <n v="5"/>
    <s v="California"/>
    <s v="Orange County"/>
    <n v="3"/>
    <x v="9"/>
    <x v="1"/>
  </r>
  <r>
    <s v="TX501660"/>
    <s v="Sneakers"/>
    <n v="4"/>
    <n v="93.3"/>
    <n v="373.2"/>
    <d v="2025-03-03T00:00:00"/>
    <d v="2025-03-06T00:00:00"/>
    <s v="F"/>
    <x v="0"/>
    <n v="5"/>
    <s v="California"/>
    <s v="Sacramento County"/>
    <n v="3"/>
    <x v="9"/>
    <x v="2"/>
  </r>
  <r>
    <s v="TX501661"/>
    <s v="Sunglasses"/>
    <n v="1"/>
    <n v="31.4"/>
    <n v="31.4"/>
    <d v="2025-03-03T00:00:00"/>
    <d v="2025-03-08T00:00:00"/>
    <s v="F"/>
    <x v="2"/>
    <n v="5"/>
    <s v="California"/>
    <s v="Sacramento County"/>
    <n v="5"/>
    <x v="9"/>
    <x v="2"/>
  </r>
  <r>
    <s v="TX501662"/>
    <s v="Tank Tops"/>
    <n v="1"/>
    <n v="85.9"/>
    <n v="85.9"/>
    <d v="2025-03-03T00:00:00"/>
    <d v="2025-03-06T00:00:00"/>
    <s v="M"/>
    <x v="1"/>
    <n v="4"/>
    <s v="California"/>
    <s v="Sacramento County"/>
    <n v="3"/>
    <x v="9"/>
    <x v="1"/>
  </r>
  <r>
    <s v="TX501663"/>
    <s v="Jeans"/>
    <n v="8"/>
    <n v="41.7"/>
    <n v="333.6"/>
    <d v="2025-03-03T00:00:00"/>
    <d v="2025-03-11T00:00:00"/>
    <s v="M"/>
    <x v="0"/>
    <n v="5"/>
    <s v="California"/>
    <s v="San Bernardino County"/>
    <n v="8"/>
    <x v="9"/>
    <x v="1"/>
  </r>
  <r>
    <s v="TX501664"/>
    <s v="T-Shirts"/>
    <n v="4"/>
    <n v="31.5"/>
    <n v="126"/>
    <d v="2025-03-03T00:00:00"/>
    <d v="2025-03-04T00:00:00"/>
    <s v="F"/>
    <x v="0"/>
    <n v="4"/>
    <s v="California"/>
    <s v="San Bernardino County"/>
    <n v="1"/>
    <x v="9"/>
    <x v="2"/>
  </r>
  <r>
    <s v="TX501665"/>
    <s v="T-Shirts"/>
    <n v="2"/>
    <n v="36.299999999999997"/>
    <n v="72.599999999999994"/>
    <d v="2025-03-03T00:00:00"/>
    <d v="2025-03-04T00:00:00"/>
    <s v="F"/>
    <x v="0"/>
    <n v="2"/>
    <s v="California"/>
    <s v="San Diego County"/>
    <n v="1"/>
    <x v="9"/>
    <x v="2"/>
  </r>
  <r>
    <s v="TX501666"/>
    <s v="T-Shirts"/>
    <n v="3"/>
    <n v="33.4"/>
    <n v="100.19999999999999"/>
    <d v="2025-03-03T00:00:00"/>
    <d v="2025-03-04T00:00:00"/>
    <s v="F"/>
    <x v="3"/>
    <n v="4"/>
    <s v="California"/>
    <s v="San Francisco"/>
    <n v="1"/>
    <x v="9"/>
    <x v="2"/>
  </r>
  <r>
    <s v="TX501667"/>
    <s v="Sneakers"/>
    <n v="3"/>
    <n v="65.2"/>
    <n v="195.60000000000002"/>
    <d v="2025-03-03T00:00:00"/>
    <d v="2025-03-04T00:00:00"/>
    <s v="F"/>
    <x v="2"/>
    <n v="5"/>
    <s v="California"/>
    <s v="San Joaquin County"/>
    <n v="1"/>
    <x v="9"/>
    <x v="2"/>
  </r>
  <r>
    <s v="TX501668"/>
    <s v="T-Shirts"/>
    <n v="9"/>
    <n v="65.5"/>
    <n v="589.5"/>
    <d v="2025-03-03T00:00:00"/>
    <d v="2025-03-06T00:00:00"/>
    <s v="F"/>
    <x v="0"/>
    <n v="5"/>
    <s v="California"/>
    <s v="San Mateo County"/>
    <n v="3"/>
    <x v="9"/>
    <x v="2"/>
  </r>
  <r>
    <s v="TX501669"/>
    <s v="Jeans"/>
    <n v="3"/>
    <n v="52.8"/>
    <n v="158.39999999999998"/>
    <d v="2025-03-03T00:00:00"/>
    <d v="2025-03-06T00:00:00"/>
    <s v="M"/>
    <x v="2"/>
    <n v="4"/>
    <s v="California"/>
    <s v="San Mateo County"/>
    <n v="3"/>
    <x v="9"/>
    <x v="1"/>
  </r>
  <r>
    <s v="TX501670"/>
    <s v="Sundresses"/>
    <n v="5"/>
    <n v="24"/>
    <n v="120"/>
    <d v="2025-03-03T00:00:00"/>
    <d v="2025-03-07T00:00:00"/>
    <s v="M"/>
    <x v="0"/>
    <n v="3"/>
    <s v="California"/>
    <s v="Santa Clara County"/>
    <n v="4"/>
    <x v="9"/>
    <x v="1"/>
  </r>
  <r>
    <s v="TX501671"/>
    <s v="Workout Tops"/>
    <n v="3"/>
    <n v="51.2"/>
    <n v="153.60000000000002"/>
    <d v="2025-03-03T00:00:00"/>
    <d v="2025-03-04T00:00:00"/>
    <s v="F"/>
    <x v="0"/>
    <n v="4"/>
    <s v="California"/>
    <s v="Santa Cruz County"/>
    <n v="1"/>
    <x v="9"/>
    <x v="2"/>
  </r>
  <r>
    <s v="TX501672"/>
    <s v="Sandals"/>
    <n v="3"/>
    <n v="28.3"/>
    <n v="84.9"/>
    <d v="2025-03-03T00:00:00"/>
    <d v="2025-03-05T00:00:00"/>
    <s v="M"/>
    <x v="4"/>
    <n v="4"/>
    <s v="California"/>
    <s v="Stanislaus County"/>
    <n v="2"/>
    <x v="9"/>
    <x v="1"/>
  </r>
  <r>
    <s v="TX501673"/>
    <s v="Jeans"/>
    <n v="3"/>
    <n v="42.3"/>
    <n v="126.89999999999999"/>
    <d v="2025-03-03T00:00:00"/>
    <d v="2025-03-03T00:00:00"/>
    <s v="F"/>
    <x v="2"/>
    <n v="3"/>
    <s v="California"/>
    <s v="Stanislaus County"/>
    <n v="0"/>
    <x v="9"/>
    <x v="2"/>
  </r>
  <r>
    <s v="TX501674"/>
    <s v="Sneakers"/>
    <n v="8"/>
    <n v="163.30000000000001"/>
    <n v="1306.4000000000001"/>
    <d v="2025-03-04T00:00:00"/>
    <d v="2025-03-05T00:00:00"/>
    <s v="F"/>
    <x v="1"/>
    <n v="4"/>
    <s v="California"/>
    <s v="Ventura County"/>
    <n v="1"/>
    <x v="9"/>
    <x v="2"/>
  </r>
  <r>
    <s v="TX501675"/>
    <s v="Jeans"/>
    <n v="7"/>
    <n v="47.3"/>
    <n v="331.09999999999997"/>
    <d v="2025-03-04T00:00:00"/>
    <d v="2025-03-07T00:00:00"/>
    <s v="F"/>
    <x v="4"/>
    <n v="3"/>
    <s v="California"/>
    <s v="Alameda County"/>
    <n v="3"/>
    <x v="9"/>
    <x v="2"/>
  </r>
  <r>
    <s v="TX501676"/>
    <s v="T-Shirts"/>
    <n v="16"/>
    <n v="27.3"/>
    <n v="436.8"/>
    <d v="2025-03-04T00:00:00"/>
    <d v="2025-03-05T00:00:00"/>
    <s v="F"/>
    <x v="2"/>
    <n v="4"/>
    <s v="California"/>
    <s v="Alameda County"/>
    <n v="1"/>
    <x v="9"/>
    <x v="2"/>
  </r>
  <r>
    <s v="TX501677"/>
    <s v="Bikinis"/>
    <n v="6"/>
    <n v="34.9"/>
    <n v="209.39999999999998"/>
    <d v="2025-03-04T00:00:00"/>
    <d v="2025-03-15T00:00:00"/>
    <s v="F"/>
    <x v="0"/>
    <n v="4"/>
    <s v="California"/>
    <s v="Alameda County"/>
    <n v="11"/>
    <x v="9"/>
    <x v="2"/>
  </r>
  <r>
    <s v="TX501678"/>
    <s v="Jeans"/>
    <n v="2"/>
    <n v="53.9"/>
    <n v="107.8"/>
    <d v="2025-03-04T00:00:00"/>
    <d v="2025-03-07T00:00:00"/>
    <s v="O"/>
    <x v="0"/>
    <n v="2"/>
    <s v="California"/>
    <s v="Contra Costa County"/>
    <n v="3"/>
    <x v="9"/>
    <x v="3"/>
  </r>
  <r>
    <s v="TX501679"/>
    <s v="Sneakers"/>
    <n v="2"/>
    <n v="87.2"/>
    <n v="174.4"/>
    <d v="2025-03-04T00:00:00"/>
    <d v="2025-03-05T00:00:00"/>
    <s v="F"/>
    <x v="0"/>
    <n v="3"/>
    <s v="California"/>
    <s v="Contra Costa County"/>
    <n v="1"/>
    <x v="9"/>
    <x v="2"/>
  </r>
  <r>
    <s v="TX501680"/>
    <s v="Crop Tops"/>
    <n v="1"/>
    <n v="58.8"/>
    <n v="58.8"/>
    <d v="2025-03-04T00:00:00"/>
    <d v="2025-03-06T00:00:00"/>
    <s v="F"/>
    <x v="2"/>
    <n v="4"/>
    <s v="California"/>
    <s v="Humboldt County"/>
    <n v="2"/>
    <x v="9"/>
    <x v="2"/>
  </r>
  <r>
    <s v="TX501681"/>
    <s v="Sneakers"/>
    <n v="7"/>
    <n v="125.5"/>
    <n v="878.5"/>
    <d v="2025-03-04T00:00:00"/>
    <d v="2025-03-05T00:00:00"/>
    <s v="M"/>
    <x v="2"/>
    <n v="2"/>
    <s v="California"/>
    <s v="Kern County"/>
    <n v="1"/>
    <x v="9"/>
    <x v="1"/>
  </r>
  <r>
    <s v="TX501682"/>
    <s v="Tank Tops"/>
    <n v="4"/>
    <n v="124.6"/>
    <n v="498.4"/>
    <d v="2025-03-04T00:00:00"/>
    <d v="2025-03-06T00:00:00"/>
    <s v="F"/>
    <x v="0"/>
    <n v="3"/>
    <s v="California"/>
    <s v="Kern County"/>
    <n v="2"/>
    <x v="9"/>
    <x v="2"/>
  </r>
  <r>
    <s v="TX501683"/>
    <s v="Tank Tops"/>
    <n v="7"/>
    <n v="39.9"/>
    <n v="279.3"/>
    <d v="2025-03-04T00:00:00"/>
    <d v="2025-03-05T00:00:00"/>
    <s v="M"/>
    <x v="2"/>
    <n v="3"/>
    <s v="California"/>
    <s v="Los Angeles County"/>
    <n v="1"/>
    <x v="9"/>
    <x v="1"/>
  </r>
  <r>
    <s v="TX501684"/>
    <s v="Jeans"/>
    <n v="1"/>
    <n v="94.6"/>
    <n v="94.6"/>
    <d v="2025-03-04T00:00:00"/>
    <d v="2025-03-18T00:00:00"/>
    <s v="F"/>
    <x v="0"/>
    <n v="3"/>
    <s v="California"/>
    <s v="Los Angeles County"/>
    <n v="14"/>
    <x v="9"/>
    <x v="2"/>
  </r>
  <r>
    <s v="TX501685"/>
    <s v="Sneakers"/>
    <n v="2"/>
    <n v="149.6"/>
    <n v="299.2"/>
    <d v="2025-03-04T00:00:00"/>
    <d v="2025-03-05T00:00:00"/>
    <s v="F"/>
    <x v="0"/>
    <n v="4"/>
    <s v="California"/>
    <s v="Los Angeles County"/>
    <n v="1"/>
    <x v="9"/>
    <x v="2"/>
  </r>
  <r>
    <s v="TX501686"/>
    <s v="T-Shirts"/>
    <n v="1"/>
    <n v="52.2"/>
    <n v="52.2"/>
    <d v="2025-03-04T00:00:00"/>
    <d v="2025-03-05T00:00:00"/>
    <s v=""/>
    <x v="1"/>
    <n v="4"/>
    <s v="California"/>
    <s v="Los Angeles County"/>
    <n v="1"/>
    <x v="9"/>
    <x v="0"/>
  </r>
  <r>
    <s v="TX501687"/>
    <s v="Jeans"/>
    <n v="2"/>
    <n v="96.5"/>
    <n v="193"/>
    <d v="2025-03-04T00:00:00"/>
    <d v="2025-03-05T00:00:00"/>
    <s v="F"/>
    <x v="1"/>
    <n v="3"/>
    <s v="California"/>
    <s v="Los Angeles County"/>
    <n v="1"/>
    <x v="9"/>
    <x v="2"/>
  </r>
  <r>
    <s v="TX501688"/>
    <s v="T-Shirts"/>
    <n v="2"/>
    <n v="79.8"/>
    <n v="159.6"/>
    <d v="2025-03-04T00:00:00"/>
    <d v="2025-03-06T00:00:00"/>
    <s v="F"/>
    <x v="0"/>
    <n v="3"/>
    <s v="California"/>
    <s v="Los Angeles County"/>
    <n v="2"/>
    <x v="9"/>
    <x v="2"/>
  </r>
  <r>
    <s v="TX501689"/>
    <s v="T-Shirts"/>
    <n v="3"/>
    <n v="35.6"/>
    <n v="106.80000000000001"/>
    <d v="2025-03-04T00:00:00"/>
    <d v="2025-03-05T00:00:00"/>
    <s v="F"/>
    <x v="2"/>
    <n v="4"/>
    <s v="California"/>
    <s v="Los Angeles County"/>
    <n v="1"/>
    <x v="9"/>
    <x v="2"/>
  </r>
  <r>
    <s v="TX501690"/>
    <s v="Sunglasses"/>
    <n v="1"/>
    <n v="50.2"/>
    <n v="50.2"/>
    <d v="2025-03-04T00:00:00"/>
    <d v="2025-03-05T00:00:00"/>
    <s v="F"/>
    <x v="1"/>
    <n v="5"/>
    <s v="California"/>
    <s v="Los Angeles County"/>
    <n v="1"/>
    <x v="9"/>
    <x v="2"/>
  </r>
  <r>
    <s v="TX501691"/>
    <s v="Tank Tops"/>
    <n v="3"/>
    <n v="55.3"/>
    <n v="165.89999999999998"/>
    <d v="2025-03-04T00:00:00"/>
    <d v="2025-03-07T00:00:00"/>
    <s v="F"/>
    <x v="0"/>
    <n v="2"/>
    <s v="California"/>
    <s v="Mariposa County"/>
    <n v="3"/>
    <x v="9"/>
    <x v="2"/>
  </r>
  <r>
    <s v="TX501692"/>
    <s v="Jeans"/>
    <n v="7"/>
    <n v="104.5"/>
    <n v="731.5"/>
    <d v="2025-03-04T00:00:00"/>
    <d v="2025-03-08T00:00:00"/>
    <s v="F"/>
    <x v="1"/>
    <n v="4"/>
    <s v="California"/>
    <s v="San Bernardino County"/>
    <n v="4"/>
    <x v="9"/>
    <x v="2"/>
  </r>
  <r>
    <s v="TX501693"/>
    <s v="Jeans"/>
    <n v="4"/>
    <n v="66.5"/>
    <n v="266"/>
    <d v="2025-03-04T00:00:00"/>
    <d v="2025-03-06T00:00:00"/>
    <s v="M"/>
    <x v="1"/>
    <n v="4"/>
    <s v="California"/>
    <s v="San Bernardino County"/>
    <n v="2"/>
    <x v="9"/>
    <x v="1"/>
  </r>
  <r>
    <s v="TX501694"/>
    <s v="Bikinis"/>
    <n v="8"/>
    <n v="38.299999999999997"/>
    <n v="306.39999999999998"/>
    <d v="2025-03-04T00:00:00"/>
    <d v="2025-03-05T00:00:00"/>
    <s v="F"/>
    <x v="0"/>
    <n v="4"/>
    <s v="California"/>
    <s v="San Bernardino County"/>
    <n v="1"/>
    <x v="9"/>
    <x v="2"/>
  </r>
  <r>
    <s v="TX501695"/>
    <s v="Jeans"/>
    <n v="3"/>
    <n v="63.8"/>
    <n v="191.39999999999998"/>
    <d v="2025-03-04T00:00:00"/>
    <d v="2025-03-07T00:00:00"/>
    <s v="F"/>
    <x v="1"/>
    <n v="4"/>
    <s v="California"/>
    <s v="San Diego County"/>
    <n v="3"/>
    <x v="9"/>
    <x v="2"/>
  </r>
  <r>
    <s v="TX501696"/>
    <s v="Crop Tops"/>
    <n v="1"/>
    <n v="21.4"/>
    <n v="21.4"/>
    <d v="2025-03-04T00:00:00"/>
    <d v="2025-03-04T00:00:00"/>
    <s v="M"/>
    <x v="4"/>
    <n v="4"/>
    <s v="California"/>
    <s v="San Diego County"/>
    <n v="0"/>
    <x v="9"/>
    <x v="1"/>
  </r>
  <r>
    <s v="TX501697"/>
    <s v="T-Shirts"/>
    <n v="4"/>
    <n v="44.1"/>
    <n v="176.4"/>
    <d v="2025-03-04T00:00:00"/>
    <d v="2025-03-06T00:00:00"/>
    <s v="F"/>
    <x v="2"/>
    <n v="4"/>
    <s v="California"/>
    <s v="San Diego County"/>
    <n v="2"/>
    <x v="9"/>
    <x v="2"/>
  </r>
  <r>
    <s v="TX501698"/>
    <s v="Sandals"/>
    <n v="8"/>
    <n v="57.6"/>
    <n v="460.8"/>
    <d v="2025-03-04T00:00:00"/>
    <d v="2025-03-06T00:00:00"/>
    <s v="M"/>
    <x v="1"/>
    <n v="5"/>
    <s v="California"/>
    <s v="San Diego County"/>
    <n v="2"/>
    <x v="9"/>
    <x v="1"/>
  </r>
  <r>
    <s v="TX501699"/>
    <s v="Sundresses"/>
    <n v="2"/>
    <n v="20.3"/>
    <n v="40.6"/>
    <d v="2025-03-04T00:00:00"/>
    <d v="2025-03-10T00:00:00"/>
    <s v="F"/>
    <x v="3"/>
    <n v="4"/>
    <s v="California"/>
    <s v="San Diego County"/>
    <n v="6"/>
    <x v="9"/>
    <x v="2"/>
  </r>
  <r>
    <s v="TX501700"/>
    <s v="T-Shirts"/>
    <n v="1"/>
    <n v="22.9"/>
    <n v="22.9"/>
    <d v="2025-03-04T00:00:00"/>
    <d v="2025-03-06T00:00:00"/>
    <s v="F"/>
    <x v="2"/>
    <n v="5"/>
    <s v="California"/>
    <s v="San Diego County"/>
    <n v="2"/>
    <x v="9"/>
    <x v="2"/>
  </r>
  <r>
    <s v="TX501701"/>
    <s v="Jeans"/>
    <n v="4"/>
    <n v="105.9"/>
    <n v="423.6"/>
    <d v="2025-03-04T00:00:00"/>
    <d v="2025-03-05T00:00:00"/>
    <s v="F"/>
    <x v="1"/>
    <n v="5"/>
    <s v="California"/>
    <s v="San Francisco"/>
    <n v="1"/>
    <x v="9"/>
    <x v="2"/>
  </r>
  <r>
    <s v="TX501702"/>
    <s v="Tank Tops"/>
    <n v="9"/>
    <n v="37.4"/>
    <n v="336.59999999999997"/>
    <d v="2025-03-04T00:00:00"/>
    <d v="2025-03-08T00:00:00"/>
    <s v="M"/>
    <x v="1"/>
    <n v="4"/>
    <s v="California"/>
    <s v="Santa Clara County"/>
    <n v="4"/>
    <x v="9"/>
    <x v="1"/>
  </r>
  <r>
    <s v="TX501703"/>
    <s v="Leggings"/>
    <n v="2"/>
    <n v="79"/>
    <n v="158"/>
    <d v="2025-03-04T00:00:00"/>
    <d v="2025-03-05T00:00:00"/>
    <s v="M"/>
    <x v="2"/>
    <n v="4"/>
    <s v="California"/>
    <s v="Yolo County"/>
    <n v="1"/>
    <x v="9"/>
    <x v="1"/>
  </r>
  <r>
    <s v="TX501704"/>
    <s v="Shorts"/>
    <n v="3"/>
    <n v="19.3"/>
    <n v="57.900000000000006"/>
    <d v="2025-03-04T00:00:00"/>
    <d v="2025-03-05T00:00:00"/>
    <s v="F"/>
    <x v="4"/>
    <n v="4"/>
    <s v="California"/>
    <s v="Alameda County"/>
    <n v="1"/>
    <x v="9"/>
    <x v="2"/>
  </r>
  <r>
    <s v="TX501705"/>
    <s v="Shorts"/>
    <n v="1"/>
    <n v="24"/>
    <n v="24"/>
    <d v="2025-03-04T00:00:00"/>
    <d v="2025-03-05T00:00:00"/>
    <s v="F"/>
    <x v="1"/>
    <n v="4"/>
    <s v="California"/>
    <s v="Contra Costa County"/>
    <n v="1"/>
    <x v="9"/>
    <x v="2"/>
  </r>
  <r>
    <s v="TX501706"/>
    <s v="Jeans"/>
    <n v="5"/>
    <n v="71.3"/>
    <n v="356.5"/>
    <d v="2025-03-04T00:00:00"/>
    <d v="2025-03-07T00:00:00"/>
    <s v="F"/>
    <x v="2"/>
    <n v="4"/>
    <s v="California"/>
    <s v="Fresno County"/>
    <n v="3"/>
    <x v="9"/>
    <x v="2"/>
  </r>
  <r>
    <s v="TX501707"/>
    <s v="Sandals"/>
    <n v="2"/>
    <n v="166.2"/>
    <n v="332.4"/>
    <d v="2025-03-04T00:00:00"/>
    <d v="2025-03-05T00:00:00"/>
    <s v="M"/>
    <x v="0"/>
    <n v="5"/>
    <s v="California"/>
    <s v="Lake County"/>
    <n v="1"/>
    <x v="9"/>
    <x v="1"/>
  </r>
  <r>
    <s v="TX501708"/>
    <s v="Jeans"/>
    <n v="1"/>
    <n v="81"/>
    <n v="81"/>
    <d v="2025-03-04T00:00:00"/>
    <d v="2025-03-05T00:00:00"/>
    <s v="F"/>
    <x v="2"/>
    <n v="3"/>
    <s v="California"/>
    <s v="Los Angeles County"/>
    <n v="1"/>
    <x v="9"/>
    <x v="2"/>
  </r>
  <r>
    <s v="TX501709"/>
    <s v="Bikinis"/>
    <n v="6"/>
    <n v="38.5"/>
    <n v="231"/>
    <d v="2025-03-04T00:00:00"/>
    <d v="2025-03-08T00:00:00"/>
    <s v="F"/>
    <x v="0"/>
    <n v="4"/>
    <s v="California"/>
    <s v="Los Angeles County"/>
    <n v="4"/>
    <x v="9"/>
    <x v="2"/>
  </r>
  <r>
    <s v="TX501710"/>
    <s v="Jeans"/>
    <n v="1"/>
    <n v="86.1"/>
    <n v="86.1"/>
    <d v="2025-03-04T00:00:00"/>
    <d v="2025-03-06T00:00:00"/>
    <s v="F"/>
    <x v="3"/>
    <n v="4"/>
    <s v="California"/>
    <s v="Los Angeles County"/>
    <n v="2"/>
    <x v="9"/>
    <x v="2"/>
  </r>
  <r>
    <s v="TX501711"/>
    <s v="Sneakers"/>
    <n v="5"/>
    <n v="51"/>
    <n v="255"/>
    <d v="2025-03-04T00:00:00"/>
    <d v="2025-03-05T00:00:00"/>
    <s v="M"/>
    <x v="0"/>
    <n v="3"/>
    <s v="California"/>
    <s v="Los Angeles County"/>
    <n v="1"/>
    <x v="9"/>
    <x v="1"/>
  </r>
  <r>
    <s v="TX501712"/>
    <s v="Workout Tops"/>
    <n v="5"/>
    <n v="115.4"/>
    <n v="577"/>
    <d v="2025-03-04T00:00:00"/>
    <d v="2025-03-05T00:00:00"/>
    <s v="M"/>
    <x v="0"/>
    <n v="4"/>
    <s v="California"/>
    <s v="Los Angeles County"/>
    <n v="1"/>
    <x v="9"/>
    <x v="1"/>
  </r>
  <r>
    <s v="TX501713"/>
    <s v="Jeans"/>
    <n v="4"/>
    <n v="176.5"/>
    <n v="706"/>
    <d v="2025-03-04T00:00:00"/>
    <d v="2025-03-05T00:00:00"/>
    <s v="F"/>
    <x v="2"/>
    <n v="5"/>
    <s v="California"/>
    <s v="Los Angeles County"/>
    <n v="1"/>
    <x v="9"/>
    <x v="2"/>
  </r>
  <r>
    <s v="TX501714"/>
    <s v="Hoodies &amp; Sweatshirts"/>
    <n v="3"/>
    <n v="48.9"/>
    <n v="146.69999999999999"/>
    <d v="2025-03-04T00:00:00"/>
    <d v="2025-03-05T00:00:00"/>
    <s v="M"/>
    <x v="4"/>
    <n v="4"/>
    <s v="California"/>
    <s v="Los Angeles County"/>
    <n v="1"/>
    <x v="9"/>
    <x v="1"/>
  </r>
  <r>
    <s v="TX501715"/>
    <s v="T-Shirts"/>
    <n v="3"/>
    <n v="18.100000000000001"/>
    <n v="54.300000000000004"/>
    <d v="2025-03-04T00:00:00"/>
    <d v="2025-03-11T00:00:00"/>
    <s v="F"/>
    <x v="1"/>
    <n v="5"/>
    <s v="California"/>
    <s v="Mendocino County"/>
    <n v="7"/>
    <x v="9"/>
    <x v="2"/>
  </r>
  <r>
    <s v="TX501716"/>
    <s v="Sneakers"/>
    <n v="2"/>
    <n v="118.5"/>
    <n v="237"/>
    <d v="2025-03-04T00:00:00"/>
    <d v="2025-03-07T00:00:00"/>
    <s v="M"/>
    <x v="1"/>
    <n v="5"/>
    <s v="California"/>
    <s v="Napa County"/>
    <n v="3"/>
    <x v="9"/>
    <x v="1"/>
  </r>
  <r>
    <s v="TX501717"/>
    <s v="Crop Tops"/>
    <n v="7"/>
    <n v="59.1"/>
    <n v="413.7"/>
    <d v="2025-03-04T00:00:00"/>
    <d v="2025-03-05T00:00:00"/>
    <s v="F"/>
    <x v="3"/>
    <n v="4"/>
    <s v="California"/>
    <s v="Orange County"/>
    <n v="1"/>
    <x v="9"/>
    <x v="2"/>
  </r>
  <r>
    <s v="TX501718"/>
    <s v="Graphic Tees"/>
    <n v="1"/>
    <n v="21.2"/>
    <n v="21.2"/>
    <d v="2025-03-04T00:00:00"/>
    <d v="2025-03-05T00:00:00"/>
    <s v="F"/>
    <x v="0"/>
    <n v="3"/>
    <s v="California"/>
    <s v="Sacramento County"/>
    <n v="1"/>
    <x v="9"/>
    <x v="2"/>
  </r>
  <r>
    <s v="TX501719"/>
    <s v="Jeans"/>
    <n v="2"/>
    <n v="68.8"/>
    <n v="137.6"/>
    <d v="2025-03-04T00:00:00"/>
    <d v="2025-03-09T00:00:00"/>
    <s v="F"/>
    <x v="3"/>
    <n v="5"/>
    <s v="California"/>
    <s v="Sacramento County"/>
    <n v="5"/>
    <x v="9"/>
    <x v="2"/>
  </r>
  <r>
    <s v="TX501720"/>
    <s v="Jeans"/>
    <n v="2"/>
    <n v="65.400000000000006"/>
    <n v="130.80000000000001"/>
    <d v="2025-03-04T00:00:00"/>
    <d v="2025-03-08T00:00:00"/>
    <s v="F"/>
    <x v="0"/>
    <n v="4"/>
    <s v="California"/>
    <s v="Sacramento County"/>
    <n v="4"/>
    <x v="9"/>
    <x v="2"/>
  </r>
  <r>
    <s v="TX501721"/>
    <s v="Casual Dresses"/>
    <n v="5"/>
    <n v="66.3"/>
    <n v="331.5"/>
    <d v="2025-03-05T00:00:00"/>
    <d v="2025-03-08T00:00:00"/>
    <s v="F"/>
    <x v="4"/>
    <n v="4"/>
    <s v="California"/>
    <s v="Sacramento County"/>
    <n v="3"/>
    <x v="9"/>
    <x v="2"/>
  </r>
  <r>
    <s v="TX501722"/>
    <s v="Jeans"/>
    <n v="3"/>
    <n v="97.5"/>
    <n v="292.5"/>
    <d v="2025-03-05T00:00:00"/>
    <d v="2025-03-05T00:00:00"/>
    <s v="M"/>
    <x v="3"/>
    <n v="4"/>
    <s v="California"/>
    <s v="San Diego County"/>
    <n v="0"/>
    <x v="9"/>
    <x v="1"/>
  </r>
  <r>
    <s v="TX501723"/>
    <s v="Tank Tops"/>
    <n v="2"/>
    <n v="44"/>
    <n v="88"/>
    <d v="2025-03-05T00:00:00"/>
    <d v="2025-03-08T00:00:00"/>
    <s v="F"/>
    <x v="1"/>
    <n v="5"/>
    <s v="California"/>
    <s v="San Diego County"/>
    <n v="3"/>
    <x v="9"/>
    <x v="2"/>
  </r>
  <r>
    <s v="TX501724"/>
    <s v="Shorts"/>
    <n v="1"/>
    <n v="21.9"/>
    <n v="21.9"/>
    <d v="2025-03-05T00:00:00"/>
    <d v="2025-03-06T00:00:00"/>
    <s v="M"/>
    <x v="0"/>
    <n v="4"/>
    <s v="California"/>
    <s v="San Diego County"/>
    <n v="1"/>
    <x v="9"/>
    <x v="1"/>
  </r>
  <r>
    <s v="TX501725"/>
    <s v="Graphic Tees"/>
    <n v="7"/>
    <n v="21.5"/>
    <n v="150.5"/>
    <d v="2025-03-05T00:00:00"/>
    <d v="2025-03-07T00:00:00"/>
    <s v="F"/>
    <x v="1"/>
    <n v="5"/>
    <s v="California"/>
    <s v="San Mateo County"/>
    <n v="2"/>
    <x v="9"/>
    <x v="2"/>
  </r>
  <r>
    <s v="TX501726"/>
    <s v="Casual Dresses"/>
    <n v="6"/>
    <n v="133"/>
    <n v="798"/>
    <d v="2025-03-05T00:00:00"/>
    <d v="2025-03-06T00:00:00"/>
    <s v="O"/>
    <x v="0"/>
    <n v="5"/>
    <s v="California"/>
    <s v="Santa Barbara County"/>
    <n v="1"/>
    <x v="9"/>
    <x v="3"/>
  </r>
  <r>
    <s v="TX501727"/>
    <s v="T-Shirts"/>
    <n v="2"/>
    <n v="47.7"/>
    <n v="95.4"/>
    <d v="2025-03-05T00:00:00"/>
    <d v="2025-03-09T00:00:00"/>
    <s v="M"/>
    <x v="0"/>
    <n v="5"/>
    <s v="California"/>
    <s v="Santa Barbara County"/>
    <n v="4"/>
    <x v="9"/>
    <x v="1"/>
  </r>
  <r>
    <s v="TX501728"/>
    <s v="Sunglasses"/>
    <n v="3"/>
    <n v="58.1"/>
    <n v="174.3"/>
    <d v="2025-03-05T00:00:00"/>
    <d v="2025-03-06T00:00:00"/>
    <s v="F"/>
    <x v="0"/>
    <n v="4"/>
    <s v="California"/>
    <s v="Santa Clara County"/>
    <n v="1"/>
    <x v="9"/>
    <x v="2"/>
  </r>
  <r>
    <s v="TX501729"/>
    <s v="Casual Dresses"/>
    <n v="4"/>
    <n v="66.599999999999994"/>
    <n v="266.39999999999998"/>
    <d v="2025-03-05T00:00:00"/>
    <d v="2025-03-06T00:00:00"/>
    <s v=""/>
    <x v="0"/>
    <n v="4"/>
    <s v="California"/>
    <s v="Santa Clara County"/>
    <n v="1"/>
    <x v="9"/>
    <x v="0"/>
  </r>
  <r>
    <s v="TX501730"/>
    <s v="Sundresses"/>
    <n v="1"/>
    <n v="24.1"/>
    <n v="24.1"/>
    <d v="2025-03-05T00:00:00"/>
    <d v="2025-03-08T00:00:00"/>
    <s v="M"/>
    <x v="2"/>
    <n v="3"/>
    <s v="California"/>
    <s v="Stanislaus County"/>
    <n v="3"/>
    <x v="9"/>
    <x v="1"/>
  </r>
  <r>
    <s v="TX501731"/>
    <s v="Bikinis"/>
    <n v="5"/>
    <n v="51.5"/>
    <n v="257.5"/>
    <d v="2025-03-05T00:00:00"/>
    <d v="2025-03-10T00:00:00"/>
    <s v="F"/>
    <x v="0"/>
    <n v="4"/>
    <s v="California"/>
    <s v="Ventura County"/>
    <n v="5"/>
    <x v="9"/>
    <x v="2"/>
  </r>
  <r>
    <s v="TX501732"/>
    <s v="Shorts"/>
    <n v="11"/>
    <n v="25.8"/>
    <n v="283.8"/>
    <d v="2025-03-05T00:00:00"/>
    <d v="2025-03-09T00:00:00"/>
    <s v="F"/>
    <x v="3"/>
    <n v="2"/>
    <s v="California"/>
    <s v="Alameda County"/>
    <n v="4"/>
    <x v="9"/>
    <x v="2"/>
  </r>
  <r>
    <s v="TX501733"/>
    <s v="Sundresses"/>
    <n v="4"/>
    <n v="47.7"/>
    <n v="190.8"/>
    <d v="2025-03-05T00:00:00"/>
    <d v="2025-03-05T00:00:00"/>
    <s v="F"/>
    <x v="0"/>
    <n v="3"/>
    <s v="California"/>
    <s v="Alameda County"/>
    <n v="0"/>
    <x v="9"/>
    <x v="2"/>
  </r>
  <r>
    <s v="TX501734"/>
    <s v="Hoodies &amp; Sweatshirts"/>
    <n v="5"/>
    <n v="73.599999999999994"/>
    <n v="368"/>
    <d v="2025-03-05T00:00:00"/>
    <d v="2025-03-09T00:00:00"/>
    <s v="M"/>
    <x v="1"/>
    <n v="4"/>
    <s v="California"/>
    <s v="Alameda County"/>
    <n v="4"/>
    <x v="9"/>
    <x v="1"/>
  </r>
  <r>
    <s v="TX501735"/>
    <s v="Sandals"/>
    <n v="7"/>
    <n v="91.2"/>
    <n v="638.4"/>
    <d v="2025-03-05T00:00:00"/>
    <d v="2025-03-06T00:00:00"/>
    <s v="M"/>
    <x v="1"/>
    <n v="5"/>
    <s v="California"/>
    <s v="Alameda County"/>
    <n v="1"/>
    <x v="9"/>
    <x v="1"/>
  </r>
  <r>
    <s v="TX501736"/>
    <s v="Tank Tops"/>
    <n v="8"/>
    <n v="36.200000000000003"/>
    <n v="289.60000000000002"/>
    <d v="2025-03-05T00:00:00"/>
    <d v="2025-03-05T00:00:00"/>
    <s v="M"/>
    <x v="2"/>
    <n v="5"/>
    <s v="California"/>
    <s v="Contra Costa County"/>
    <n v="0"/>
    <x v="9"/>
    <x v="1"/>
  </r>
  <r>
    <s v="TX501737"/>
    <s v="Sundresses"/>
    <n v="8"/>
    <n v="98"/>
    <n v="784"/>
    <d v="2025-03-05T00:00:00"/>
    <d v="2025-03-09T00:00:00"/>
    <s v="F"/>
    <x v="2"/>
    <n v="4"/>
    <s v="California"/>
    <s v="Fresno County"/>
    <n v="4"/>
    <x v="9"/>
    <x v="2"/>
  </r>
  <r>
    <s v="TX501738"/>
    <s v="Tank Tops"/>
    <n v="8"/>
    <n v="43.6"/>
    <n v="348.8"/>
    <d v="2025-03-05T00:00:00"/>
    <d v="2025-03-06T00:00:00"/>
    <s v="F"/>
    <x v="2"/>
    <n v="4"/>
    <s v="California"/>
    <s v="Kern County"/>
    <n v="1"/>
    <x v="9"/>
    <x v="2"/>
  </r>
  <r>
    <s v="TX501739"/>
    <s v="T-Shirts"/>
    <n v="10"/>
    <n v="37.799999999999997"/>
    <n v="378"/>
    <d v="2025-03-05T00:00:00"/>
    <d v="2025-03-05T00:00:00"/>
    <s v="O"/>
    <x v="0"/>
    <n v="4"/>
    <s v="California"/>
    <s v="Lake County"/>
    <n v="0"/>
    <x v="9"/>
    <x v="3"/>
  </r>
  <r>
    <s v="TX501740"/>
    <s v="Pajama Sets"/>
    <n v="5"/>
    <n v="63.7"/>
    <n v="318.5"/>
    <d v="2025-03-05T00:00:00"/>
    <d v="2025-03-08T00:00:00"/>
    <s v="F"/>
    <x v="2"/>
    <n v="3"/>
    <s v="California"/>
    <s v="Los Angeles County"/>
    <n v="3"/>
    <x v="9"/>
    <x v="2"/>
  </r>
  <r>
    <s v="TX501741"/>
    <s v="Sandals"/>
    <n v="9"/>
    <n v="62.9"/>
    <n v="566.1"/>
    <d v="2025-03-05T00:00:00"/>
    <d v="2025-03-10T00:00:00"/>
    <s v="M"/>
    <x v="3"/>
    <n v="5"/>
    <s v="California"/>
    <s v="Los Angeles County"/>
    <n v="5"/>
    <x v="9"/>
    <x v="1"/>
  </r>
  <r>
    <s v="TX501742"/>
    <s v="Jeans"/>
    <n v="7"/>
    <n v="61.7"/>
    <n v="431.90000000000003"/>
    <d v="2025-03-05T00:00:00"/>
    <d v="2025-03-08T00:00:00"/>
    <s v="F"/>
    <x v="2"/>
    <n v="5"/>
    <s v="California"/>
    <s v="Los Angeles County"/>
    <n v="3"/>
    <x v="9"/>
    <x v="2"/>
  </r>
  <r>
    <s v="TX501743"/>
    <s v="Leggings"/>
    <n v="14"/>
    <n v="36.5"/>
    <n v="511"/>
    <d v="2025-03-05T00:00:00"/>
    <d v="2025-03-06T00:00:00"/>
    <s v="M"/>
    <x v="0"/>
    <n v="5"/>
    <s v="California"/>
    <s v="Los Angeles County"/>
    <n v="1"/>
    <x v="9"/>
    <x v="1"/>
  </r>
  <r>
    <s v="TX501744"/>
    <s v="Maxi Dresses"/>
    <n v="3"/>
    <n v="98.6"/>
    <n v="295.79999999999995"/>
    <d v="2025-03-05T00:00:00"/>
    <d v="2025-03-08T00:00:00"/>
    <s v="O"/>
    <x v="0"/>
    <n v="2"/>
    <s v="California"/>
    <s v="Los Angeles County"/>
    <n v="3"/>
    <x v="9"/>
    <x v="3"/>
  </r>
  <r>
    <s v="TX501745"/>
    <s v="T-Shirts"/>
    <n v="2"/>
    <n v="19.2"/>
    <n v="38.4"/>
    <d v="2025-03-05T00:00:00"/>
    <d v="2025-03-15T00:00:00"/>
    <s v="M"/>
    <x v="0"/>
    <n v="4"/>
    <s v="California"/>
    <s v="Los Angeles County"/>
    <n v="10"/>
    <x v="9"/>
    <x v="1"/>
  </r>
  <r>
    <s v="TX501746"/>
    <s v="Workout Tops"/>
    <n v="6"/>
    <n v="55.6"/>
    <n v="333.6"/>
    <d v="2025-03-05T00:00:00"/>
    <d v="2025-03-09T00:00:00"/>
    <s v="F"/>
    <x v="0"/>
    <n v="5"/>
    <s v="California"/>
    <s v="Los Angeles County"/>
    <n v="4"/>
    <x v="9"/>
    <x v="2"/>
  </r>
  <r>
    <s v="TX501747"/>
    <s v="Sandals"/>
    <n v="6"/>
    <n v="56.4"/>
    <n v="338.4"/>
    <d v="2025-03-05T00:00:00"/>
    <d v="2025-03-06T00:00:00"/>
    <s v="F"/>
    <x v="1"/>
    <n v="4"/>
    <s v="California"/>
    <s v="Los Angeles County"/>
    <n v="1"/>
    <x v="9"/>
    <x v="2"/>
  </r>
  <r>
    <s v="TX501748"/>
    <s v="Graphic Tees"/>
    <n v="8"/>
    <n v="43.1"/>
    <n v="344.8"/>
    <d v="2025-03-05T00:00:00"/>
    <d v="2025-03-09T00:00:00"/>
    <s v="F"/>
    <x v="4"/>
    <n v="4"/>
    <s v="California"/>
    <s v="Los Angeles County"/>
    <n v="4"/>
    <x v="9"/>
    <x v="2"/>
  </r>
  <r>
    <s v="TX501749"/>
    <s v="Tank Tops"/>
    <n v="2"/>
    <n v="77.3"/>
    <n v="154.6"/>
    <d v="2025-03-05T00:00:00"/>
    <d v="2025-03-07T00:00:00"/>
    <s v="M"/>
    <x v="0"/>
    <n v="4"/>
    <s v="California"/>
    <s v="Sacramento County"/>
    <n v="2"/>
    <x v="9"/>
    <x v="1"/>
  </r>
  <r>
    <s v="TX501750"/>
    <s v="Sundresses"/>
    <n v="8"/>
    <n v="38.299999999999997"/>
    <n v="306.39999999999998"/>
    <d v="2025-03-05T00:00:00"/>
    <d v="2025-03-06T00:00:00"/>
    <s v="M"/>
    <x v="0"/>
    <n v="4"/>
    <s v="California"/>
    <s v="San Bernardino County"/>
    <n v="1"/>
    <x v="9"/>
    <x v="1"/>
  </r>
  <r>
    <s v="TX501751"/>
    <s v="Shorts"/>
    <n v="7"/>
    <n v="16.8"/>
    <n v="117.60000000000001"/>
    <d v="2025-03-05T00:00:00"/>
    <d v="2025-03-08T00:00:00"/>
    <s v="M"/>
    <x v="2"/>
    <n v="3"/>
    <s v="California"/>
    <s v="San Diego County"/>
    <n v="3"/>
    <x v="9"/>
    <x v="1"/>
  </r>
  <r>
    <s v="TX501752"/>
    <s v="Sneakers"/>
    <n v="3"/>
    <n v="63.2"/>
    <n v="189.60000000000002"/>
    <d v="2025-03-05T00:00:00"/>
    <d v="2025-03-06T00:00:00"/>
    <s v="F"/>
    <x v="0"/>
    <n v="5"/>
    <s v="California"/>
    <s v="San Diego County"/>
    <n v="1"/>
    <x v="9"/>
    <x v="2"/>
  </r>
  <r>
    <s v="TX501753"/>
    <s v="Baseball Caps"/>
    <n v="23"/>
    <n v="39.700000000000003"/>
    <n v="913.1"/>
    <d v="2025-03-05T00:00:00"/>
    <d v="2025-03-06T00:00:00"/>
    <s v="M"/>
    <x v="0"/>
    <n v="4"/>
    <s v="California"/>
    <s v="San Diego County"/>
    <n v="1"/>
    <x v="9"/>
    <x v="1"/>
  </r>
  <r>
    <s v="TX501754"/>
    <s v="Bikinis"/>
    <n v="3"/>
    <n v="45.8"/>
    <n v="137.39999999999998"/>
    <d v="2025-03-05T00:00:00"/>
    <d v="2025-03-06T00:00:00"/>
    <s v="F"/>
    <x v="1"/>
    <n v="5"/>
    <s v="California"/>
    <s v="San Diego County"/>
    <n v="1"/>
    <x v="9"/>
    <x v="2"/>
  </r>
  <r>
    <s v="TX501755"/>
    <s v="Shorts"/>
    <n v="6"/>
    <n v="12.4"/>
    <n v="74.400000000000006"/>
    <d v="2025-03-05T00:00:00"/>
    <d v="2025-03-08T00:00:00"/>
    <s v="M"/>
    <x v="0"/>
    <n v="4"/>
    <s v="California"/>
    <s v="San Diego County"/>
    <n v="3"/>
    <x v="9"/>
    <x v="1"/>
  </r>
  <r>
    <s v="TX501756"/>
    <s v="Baseball Caps"/>
    <n v="3"/>
    <n v="50.8"/>
    <n v="152.39999999999998"/>
    <d v="2025-03-06T00:00:00"/>
    <d v="2025-03-06T00:00:00"/>
    <s v="F"/>
    <x v="4"/>
    <n v="4"/>
    <s v="California"/>
    <s v="San Francisco"/>
    <n v="0"/>
    <x v="9"/>
    <x v="2"/>
  </r>
  <r>
    <s v="TX501757"/>
    <s v="Sundresses"/>
    <n v="1"/>
    <n v="76"/>
    <n v="76"/>
    <d v="2025-03-06T00:00:00"/>
    <d v="2025-03-10T00:00:00"/>
    <s v="O"/>
    <x v="2"/>
    <n v="5"/>
    <s v="California"/>
    <s v="San Francisco"/>
    <n v="4"/>
    <x v="9"/>
    <x v="3"/>
  </r>
  <r>
    <s v="TX501758"/>
    <s v="Tank Tops"/>
    <n v="2"/>
    <n v="51.9"/>
    <n v="103.8"/>
    <d v="2025-03-06T00:00:00"/>
    <d v="2025-03-07T00:00:00"/>
    <s v="M"/>
    <x v="1"/>
    <n v="5"/>
    <s v="California"/>
    <s v="San Joaquin County"/>
    <n v="1"/>
    <x v="9"/>
    <x v="1"/>
  </r>
  <r>
    <s v="TX501759"/>
    <s v="Sneakers"/>
    <n v="2"/>
    <n v="93.4"/>
    <n v="186.8"/>
    <d v="2025-03-06T00:00:00"/>
    <d v="2025-03-13T00:00:00"/>
    <s v="M"/>
    <x v="0"/>
    <n v="1"/>
    <s v="California"/>
    <s v="Santa Clara County"/>
    <n v="7"/>
    <x v="9"/>
    <x v="1"/>
  </r>
  <r>
    <s v="TX501760"/>
    <s v="Hoodies &amp; Sweatshirts"/>
    <n v="6"/>
    <n v="30.8"/>
    <n v="184.8"/>
    <d v="2025-03-06T00:00:00"/>
    <d v="2025-03-09T00:00:00"/>
    <s v="F"/>
    <x v="1"/>
    <n v="4"/>
    <s v="California"/>
    <s v="Santa Clara County"/>
    <n v="3"/>
    <x v="9"/>
    <x v="2"/>
  </r>
  <r>
    <s v="TX501761"/>
    <s v="Sneakers"/>
    <n v="1"/>
    <n v="143.19999999999999"/>
    <n v="143.19999999999999"/>
    <d v="2025-03-06T00:00:00"/>
    <d v="2025-03-09T00:00:00"/>
    <s v="M"/>
    <x v="2"/>
    <n v="4"/>
    <s v="California"/>
    <s v="Santa Clara County"/>
    <n v="3"/>
    <x v="9"/>
    <x v="1"/>
  </r>
  <r>
    <s v="TX501762"/>
    <s v="Jeans"/>
    <n v="11"/>
    <n v="40.4"/>
    <n v="444.4"/>
    <d v="2025-03-06T00:00:00"/>
    <d v="2025-03-08T00:00:00"/>
    <s v="M"/>
    <x v="2"/>
    <n v="5"/>
    <s v="California"/>
    <s v="Sonoma County"/>
    <n v="2"/>
    <x v="9"/>
    <x v="1"/>
  </r>
  <r>
    <s v="TX501763"/>
    <s v="Sneakers"/>
    <n v="19"/>
    <n v="131.5"/>
    <n v="2498.5"/>
    <d v="2025-03-06T00:00:00"/>
    <d v="2025-03-08T00:00:00"/>
    <s v="M"/>
    <x v="1"/>
    <n v="3"/>
    <s v="California"/>
    <s v="Sonoma County"/>
    <n v="2"/>
    <x v="9"/>
    <x v="1"/>
  </r>
  <r>
    <s v="TX501764"/>
    <s v="Leggings"/>
    <n v="7"/>
    <n v="61.6"/>
    <n v="431.2"/>
    <d v="2025-03-06T00:00:00"/>
    <d v="2025-03-07T00:00:00"/>
    <s v="M"/>
    <x v="2"/>
    <n v="4"/>
    <s v="California"/>
    <s v="Alameda County"/>
    <n v="1"/>
    <x v="9"/>
    <x v="1"/>
  </r>
  <r>
    <s v="TX501765"/>
    <s v="Sundresses"/>
    <n v="5"/>
    <n v="32.700000000000003"/>
    <n v="163.5"/>
    <d v="2025-03-06T00:00:00"/>
    <d v="2025-03-08T00:00:00"/>
    <s v="M"/>
    <x v="2"/>
    <n v="4"/>
    <s v="California"/>
    <s v="Contra Costa County"/>
    <n v="2"/>
    <x v="9"/>
    <x v="1"/>
  </r>
  <r>
    <s v="TX501766"/>
    <s v="Shorts"/>
    <n v="10"/>
    <n v="13.7"/>
    <n v="137"/>
    <d v="2025-03-06T00:00:00"/>
    <d v="2025-03-07T00:00:00"/>
    <s v="M"/>
    <x v="0"/>
    <n v="5"/>
    <s v="California"/>
    <s v="Los Angeles County"/>
    <n v="1"/>
    <x v="9"/>
    <x v="1"/>
  </r>
  <r>
    <s v="TX501767"/>
    <s v="Shorts"/>
    <n v="4"/>
    <n v="32.1"/>
    <n v="128.4"/>
    <d v="2025-03-06T00:00:00"/>
    <d v="2025-03-07T00:00:00"/>
    <s v="M"/>
    <x v="4"/>
    <n v="3"/>
    <s v="California"/>
    <s v="Los Angeles County"/>
    <n v="1"/>
    <x v="9"/>
    <x v="1"/>
  </r>
  <r>
    <s v="TX501768"/>
    <s v="Baseball Caps"/>
    <n v="8"/>
    <n v="12"/>
    <n v="96"/>
    <d v="2025-03-06T00:00:00"/>
    <d v="2025-03-07T00:00:00"/>
    <s v="M"/>
    <x v="1"/>
    <n v="4"/>
    <s v="California"/>
    <s v="Merced County"/>
    <n v="1"/>
    <x v="9"/>
    <x v="1"/>
  </r>
  <r>
    <s v="TX501769"/>
    <s v="Casual Dresses"/>
    <n v="1"/>
    <n v="64.3"/>
    <n v="64.3"/>
    <d v="2025-03-06T00:00:00"/>
    <d v="2025-03-08T00:00:00"/>
    <s v="F"/>
    <x v="2"/>
    <n v="5"/>
    <s v="California"/>
    <s v="Sacramento County"/>
    <n v="2"/>
    <x v="9"/>
    <x v="2"/>
  </r>
  <r>
    <s v="TX501770"/>
    <s v="Tank Tops"/>
    <n v="3"/>
    <n v="58.2"/>
    <n v="174.60000000000002"/>
    <d v="2025-03-06T00:00:00"/>
    <d v="2025-03-08T00:00:00"/>
    <s v="F"/>
    <x v="1"/>
    <n v="5"/>
    <s v="California"/>
    <s v="Sacramento County"/>
    <n v="2"/>
    <x v="9"/>
    <x v="2"/>
  </r>
  <r>
    <s v="TX501771"/>
    <s v="Jeans"/>
    <n v="4"/>
    <n v="59.2"/>
    <n v="236.8"/>
    <d v="2025-03-06T00:00:00"/>
    <d v="2025-03-06T00:00:00"/>
    <s v="M"/>
    <x v="1"/>
    <n v="5"/>
    <s v="California"/>
    <s v="Sacramento County"/>
    <n v="0"/>
    <x v="9"/>
    <x v="1"/>
  </r>
  <r>
    <s v="TX501772"/>
    <s v="Bikinis"/>
    <n v="11"/>
    <n v="35.6"/>
    <n v="391.6"/>
    <d v="2025-03-06T00:00:00"/>
    <d v="2025-03-13T00:00:00"/>
    <s v="M"/>
    <x v="0"/>
    <n v="5"/>
    <s v="California"/>
    <s v="San Diego County"/>
    <n v="7"/>
    <x v="9"/>
    <x v="1"/>
  </r>
  <r>
    <s v="TX501773"/>
    <s v="Sunglasses"/>
    <n v="8"/>
    <n v="37"/>
    <n v="296"/>
    <d v="2025-03-06T00:00:00"/>
    <d v="2025-03-10T00:00:00"/>
    <s v="F"/>
    <x v="2"/>
    <n v="3"/>
    <s v="California"/>
    <s v="San Diego County"/>
    <n v="4"/>
    <x v="9"/>
    <x v="2"/>
  </r>
  <r>
    <s v="TX501774"/>
    <s v="Tank Tops"/>
    <n v="13"/>
    <n v="80.8"/>
    <n v="1050.3999999999999"/>
    <d v="2025-03-06T00:00:00"/>
    <d v="2025-03-08T00:00:00"/>
    <s v="F"/>
    <x v="0"/>
    <n v="4"/>
    <s v="California"/>
    <s v="San Diego County"/>
    <n v="2"/>
    <x v="9"/>
    <x v="2"/>
  </r>
  <r>
    <s v="TX501775"/>
    <s v="T-Shirts"/>
    <n v="2"/>
    <n v="63.2"/>
    <n v="126.4"/>
    <d v="2025-03-06T00:00:00"/>
    <d v="2025-03-07T00:00:00"/>
    <s v="M"/>
    <x v="0"/>
    <n v="3"/>
    <s v="California"/>
    <s v="San Diego County"/>
    <n v="1"/>
    <x v="9"/>
    <x v="1"/>
  </r>
  <r>
    <s v="TX501776"/>
    <s v="Workout Tops"/>
    <n v="2"/>
    <n v="40.799999999999997"/>
    <n v="81.599999999999994"/>
    <d v="2025-03-06T00:00:00"/>
    <d v="2025-03-08T00:00:00"/>
    <s v="M"/>
    <x v="0"/>
    <n v="3"/>
    <s v="California"/>
    <s v="San Francisco"/>
    <n v="2"/>
    <x v="9"/>
    <x v="1"/>
  </r>
  <r>
    <s v="TX501777"/>
    <s v="Tote Bags"/>
    <n v="6"/>
    <n v="25.7"/>
    <n v="154.19999999999999"/>
    <d v="2025-03-06T00:00:00"/>
    <d v="2025-03-08T00:00:00"/>
    <s v="M"/>
    <x v="4"/>
    <n v="4"/>
    <s v="California"/>
    <s v="Sonoma County"/>
    <n v="2"/>
    <x v="9"/>
    <x v="1"/>
  </r>
  <r>
    <s v="TX501778"/>
    <s v="Sunglasses"/>
    <n v="2"/>
    <n v="49.9"/>
    <n v="99.8"/>
    <d v="2025-03-06T00:00:00"/>
    <d v="2025-03-09T00:00:00"/>
    <s v="M"/>
    <x v="0"/>
    <n v="4"/>
    <s v="California"/>
    <s v="Tulare County"/>
    <n v="3"/>
    <x v="9"/>
    <x v="1"/>
  </r>
  <r>
    <s v="TX501779"/>
    <s v="T-Shirts"/>
    <n v="2"/>
    <n v="20.2"/>
    <n v="40.4"/>
    <d v="2025-03-06T00:00:00"/>
    <d v="2025-03-08T00:00:00"/>
    <s v="F"/>
    <x v="3"/>
    <n v="4"/>
    <s v="California"/>
    <s v="Alameda County"/>
    <n v="2"/>
    <x v="9"/>
    <x v="2"/>
  </r>
  <r>
    <s v="TX501780"/>
    <s v="Jeans"/>
    <n v="3"/>
    <n v="48.4"/>
    <n v="145.19999999999999"/>
    <d v="2025-03-06T00:00:00"/>
    <d v="2025-03-11T00:00:00"/>
    <s v="F"/>
    <x v="0"/>
    <n v="5"/>
    <s v="California"/>
    <s v="Alameda County"/>
    <n v="5"/>
    <x v="9"/>
    <x v="2"/>
  </r>
  <r>
    <s v="TX501781"/>
    <s v="Jeans"/>
    <n v="2"/>
    <n v="81"/>
    <n v="162"/>
    <d v="2025-03-06T00:00:00"/>
    <d v="2025-03-07T00:00:00"/>
    <s v="F"/>
    <x v="1"/>
    <n v="5"/>
    <s v="California"/>
    <s v="Alameda County"/>
    <n v="1"/>
    <x v="9"/>
    <x v="2"/>
  </r>
  <r>
    <s v="TX501782"/>
    <s v="T-Shirts"/>
    <n v="6"/>
    <n v="19.899999999999999"/>
    <n v="119.39999999999999"/>
    <d v="2025-03-06T00:00:00"/>
    <d v="2025-03-09T00:00:00"/>
    <s v="F"/>
    <x v="0"/>
    <n v="3"/>
    <s v="California"/>
    <s v="Kern County"/>
    <n v="3"/>
    <x v="9"/>
    <x v="2"/>
  </r>
  <r>
    <s v="TX501783"/>
    <s v="Graphic Tees"/>
    <n v="4"/>
    <n v="32.200000000000003"/>
    <n v="128.80000000000001"/>
    <d v="2025-03-06T00:00:00"/>
    <d v="2025-03-16T00:00:00"/>
    <s v="M"/>
    <x v="0"/>
    <n v="4"/>
    <s v="California"/>
    <s v="Kern County"/>
    <n v="10"/>
    <x v="9"/>
    <x v="1"/>
  </r>
  <r>
    <s v="TX501784"/>
    <s v="Sandals"/>
    <n v="3"/>
    <n v="76.8"/>
    <n v="230.39999999999998"/>
    <d v="2025-03-06T00:00:00"/>
    <d v="2025-03-07T00:00:00"/>
    <s v="F"/>
    <x v="0"/>
    <n v="3"/>
    <s v="California"/>
    <s v="Los Angeles County"/>
    <n v="1"/>
    <x v="9"/>
    <x v="2"/>
  </r>
  <r>
    <s v="TX501785"/>
    <s v="Jeans"/>
    <n v="2"/>
    <n v="41.9"/>
    <n v="83.8"/>
    <d v="2025-03-06T00:00:00"/>
    <d v="2025-03-08T00:00:00"/>
    <s v="F"/>
    <x v="0"/>
    <n v="4"/>
    <s v="California"/>
    <s v="Los Angeles County"/>
    <n v="2"/>
    <x v="9"/>
    <x v="2"/>
  </r>
  <r>
    <s v="TX501786"/>
    <s v="Shorts"/>
    <n v="7"/>
    <n v="34"/>
    <n v="238"/>
    <d v="2025-03-06T00:00:00"/>
    <d v="2025-03-08T00:00:00"/>
    <s v="F"/>
    <x v="1"/>
    <n v="5"/>
    <s v="California"/>
    <s v="Los Angeles County"/>
    <n v="2"/>
    <x v="9"/>
    <x v="2"/>
  </r>
  <r>
    <s v="TX501787"/>
    <s v="Hoodies &amp; Sweatshirts"/>
    <n v="7"/>
    <n v="61.3"/>
    <n v="429.09999999999997"/>
    <d v="2025-03-06T00:00:00"/>
    <d v="2025-03-06T00:00:00"/>
    <s v="F"/>
    <x v="4"/>
    <n v="5"/>
    <s v="California"/>
    <s v="Los Angeles County"/>
    <n v="0"/>
    <x v="9"/>
    <x v="2"/>
  </r>
  <r>
    <s v="TX501788"/>
    <s v="Sundresses"/>
    <n v="1"/>
    <n v="54.7"/>
    <n v="54.7"/>
    <d v="2025-03-07T00:00:00"/>
    <d v="2025-03-08T00:00:00"/>
    <s v="M"/>
    <x v="0"/>
    <n v="3"/>
    <s v="California"/>
    <s v="Los Angeles County"/>
    <n v="1"/>
    <x v="9"/>
    <x v="1"/>
  </r>
  <r>
    <s v="TX501789"/>
    <s v="Jeans"/>
    <n v="10"/>
    <n v="84.7"/>
    <n v="847"/>
    <d v="2025-03-07T00:00:00"/>
    <d v="2025-03-11T00:00:00"/>
    <s v="F"/>
    <x v="0"/>
    <n v="4"/>
    <s v="California"/>
    <s v="Los Angeles County"/>
    <n v="4"/>
    <x v="9"/>
    <x v="2"/>
  </r>
  <r>
    <s v="TX501790"/>
    <s v="Tank Tops"/>
    <n v="3"/>
    <n v="93.4"/>
    <n v="280.20000000000005"/>
    <d v="2025-03-07T00:00:00"/>
    <d v="2025-03-11T00:00:00"/>
    <s v="F"/>
    <x v="3"/>
    <n v="4"/>
    <s v="California"/>
    <s v="Los Angeles County"/>
    <n v="4"/>
    <x v="9"/>
    <x v="2"/>
  </r>
  <r>
    <s v="TX501791"/>
    <s v="T-Shirts"/>
    <n v="5"/>
    <n v="27"/>
    <n v="135"/>
    <d v="2025-03-07T00:00:00"/>
    <d v="2025-03-10T00:00:00"/>
    <s v="M"/>
    <x v="0"/>
    <n v="3"/>
    <s v="California"/>
    <s v="Los Angeles County"/>
    <n v="3"/>
    <x v="9"/>
    <x v="1"/>
  </r>
  <r>
    <s v="TX501792"/>
    <s v="Shorts"/>
    <n v="4"/>
    <n v="10.9"/>
    <n v="43.6"/>
    <d v="2025-03-07T00:00:00"/>
    <d v="2025-03-08T00:00:00"/>
    <s v="M"/>
    <x v="2"/>
    <n v="4"/>
    <s v="California"/>
    <s v="Los Angeles County"/>
    <n v="1"/>
    <x v="9"/>
    <x v="1"/>
  </r>
  <r>
    <s v="TX501793"/>
    <s v="Sunglasses"/>
    <n v="3"/>
    <n v="48"/>
    <n v="144"/>
    <d v="2025-03-07T00:00:00"/>
    <d v="2025-03-12T00:00:00"/>
    <s v="F"/>
    <x v="4"/>
    <n v="4"/>
    <s v="California"/>
    <s v="Los Angeles County"/>
    <n v="5"/>
    <x v="9"/>
    <x v="2"/>
  </r>
  <r>
    <s v="TX501794"/>
    <s v="Sandals"/>
    <n v="2"/>
    <n v="67.900000000000006"/>
    <n v="135.80000000000001"/>
    <d v="2025-03-07T00:00:00"/>
    <d v="2025-03-08T00:00:00"/>
    <s v="M"/>
    <x v="0"/>
    <n v="5"/>
    <s v="California"/>
    <s v="Riverside County"/>
    <n v="1"/>
    <x v="9"/>
    <x v="1"/>
  </r>
  <r>
    <s v="TX501795"/>
    <s v="Graphic Tees"/>
    <n v="3"/>
    <n v="36"/>
    <n v="108"/>
    <d v="2025-03-07T00:00:00"/>
    <d v="2025-03-08T00:00:00"/>
    <s v="M"/>
    <x v="1"/>
    <n v="4"/>
    <s v="California"/>
    <s v="Sacramento County"/>
    <n v="1"/>
    <x v="9"/>
    <x v="1"/>
  </r>
  <r>
    <s v="TX501796"/>
    <s v="Sneakers"/>
    <n v="1"/>
    <n v="128.80000000000001"/>
    <n v="128.80000000000001"/>
    <d v="2025-03-07T00:00:00"/>
    <d v="2025-03-08T00:00:00"/>
    <s v="M"/>
    <x v="4"/>
    <n v="5"/>
    <s v="California"/>
    <s v="Sacramento County"/>
    <n v="1"/>
    <x v="9"/>
    <x v="1"/>
  </r>
  <r>
    <s v="TX501797"/>
    <s v="Leggings"/>
    <n v="7"/>
    <n v="33.299999999999997"/>
    <n v="233.09999999999997"/>
    <d v="2025-03-07T00:00:00"/>
    <d v="2025-03-08T00:00:00"/>
    <s v="F"/>
    <x v="3"/>
    <n v="4"/>
    <s v="California"/>
    <s v="San Diego County"/>
    <n v="1"/>
    <x v="9"/>
    <x v="2"/>
  </r>
  <r>
    <s v="TX501798"/>
    <s v="Bikinis"/>
    <n v="3"/>
    <n v="37.799999999999997"/>
    <n v="113.39999999999999"/>
    <d v="2025-03-07T00:00:00"/>
    <d v="2025-03-09T00:00:00"/>
    <s v="M"/>
    <x v="1"/>
    <n v="5"/>
    <s v="California"/>
    <s v="San Diego County"/>
    <n v="2"/>
    <x v="9"/>
    <x v="1"/>
  </r>
  <r>
    <s v="TX501799"/>
    <s v="Sandals"/>
    <n v="3"/>
    <n v="26"/>
    <n v="78"/>
    <d v="2025-03-07T00:00:00"/>
    <d v="2025-03-12T00:00:00"/>
    <s v="F"/>
    <x v="0"/>
    <n v="4"/>
    <s v="California"/>
    <s v="San Diego County"/>
    <n v="5"/>
    <x v="9"/>
    <x v="2"/>
  </r>
  <r>
    <s v="TX501800"/>
    <s v="T-Shirts"/>
    <n v="19"/>
    <n v="28.3"/>
    <n v="537.70000000000005"/>
    <d v="2025-03-07T00:00:00"/>
    <d v="2025-03-08T00:00:00"/>
    <s v="F"/>
    <x v="3"/>
    <n v="2"/>
    <s v="California"/>
    <s v="San Diego County"/>
    <n v="1"/>
    <x v="9"/>
    <x v="2"/>
  </r>
  <r>
    <s v="TX501801"/>
    <s v="T-Shirts"/>
    <n v="4"/>
    <n v="31.3"/>
    <n v="125.2"/>
    <d v="2025-03-07T00:00:00"/>
    <d v="2025-03-07T00:00:00"/>
    <s v="F"/>
    <x v="0"/>
    <n v="4"/>
    <s v="California"/>
    <s v="San Diego County"/>
    <n v="0"/>
    <x v="9"/>
    <x v="2"/>
  </r>
  <r>
    <s v="TX501802"/>
    <s v="Hoodies &amp; Sweatshirts"/>
    <n v="3"/>
    <n v="69.5"/>
    <n v="208.5"/>
    <d v="2025-03-07T00:00:00"/>
    <d v="2025-03-08T00:00:00"/>
    <s v="F"/>
    <x v="3"/>
    <n v="5"/>
    <s v="California"/>
    <s v="San Diego County"/>
    <n v="1"/>
    <x v="9"/>
    <x v="2"/>
  </r>
  <r>
    <s v="TX501803"/>
    <s v="Shorts"/>
    <n v="2"/>
    <n v="16.7"/>
    <n v="33.4"/>
    <d v="2025-03-07T00:00:00"/>
    <d v="2025-03-08T00:00:00"/>
    <s v="F"/>
    <x v="3"/>
    <n v="3"/>
    <s v="California"/>
    <s v="San Diego County"/>
    <n v="1"/>
    <x v="9"/>
    <x v="2"/>
  </r>
  <r>
    <s v="TX501804"/>
    <s v="Sundresses"/>
    <n v="2"/>
    <n v="62.6"/>
    <n v="125.2"/>
    <d v="2025-03-07T00:00:00"/>
    <d v="2025-03-08T00:00:00"/>
    <s v="M"/>
    <x v="2"/>
    <n v="5"/>
    <s v="California"/>
    <s v="San Mateo County"/>
    <n v="1"/>
    <x v="9"/>
    <x v="1"/>
  </r>
  <r>
    <s v="TX501805"/>
    <s v="Hoodies &amp; Sweatshirts"/>
    <n v="1"/>
    <n v="81.2"/>
    <n v="81.2"/>
    <d v="2025-03-07T00:00:00"/>
    <d v="2025-03-13T00:00:00"/>
    <s v="M"/>
    <x v="4"/>
    <n v="2"/>
    <s v="California"/>
    <s v="San Mateo County"/>
    <n v="6"/>
    <x v="9"/>
    <x v="1"/>
  </r>
  <r>
    <s v="TX501806"/>
    <s v="Shorts"/>
    <n v="10"/>
    <n v="12.7"/>
    <n v="127"/>
    <d v="2025-03-07T00:00:00"/>
    <d v="2025-03-08T00:00:00"/>
    <s v="F"/>
    <x v="0"/>
    <n v="5"/>
    <s v="California"/>
    <s v="San Mateo County"/>
    <n v="1"/>
    <x v="9"/>
    <x v="2"/>
  </r>
  <r>
    <s v="TX501807"/>
    <s v="Hoodies &amp; Sweatshirts"/>
    <n v="4"/>
    <n v="77.7"/>
    <n v="310.8"/>
    <d v="2025-03-08T00:00:00"/>
    <d v="2025-03-12T00:00:00"/>
    <s v="M"/>
    <x v="1"/>
    <n v="4"/>
    <s v="California"/>
    <s v="Santa Clara County"/>
    <n v="4"/>
    <x v="9"/>
    <x v="1"/>
  </r>
  <r>
    <s v="TX501808"/>
    <s v="Sandals"/>
    <n v="2"/>
    <n v="37.299999999999997"/>
    <n v="74.599999999999994"/>
    <d v="2025-03-08T00:00:00"/>
    <d v="2025-03-09T00:00:00"/>
    <s v="F"/>
    <x v="0"/>
    <n v="5"/>
    <s v="California"/>
    <s v="Sonoma County"/>
    <n v="1"/>
    <x v="9"/>
    <x v="2"/>
  </r>
  <r>
    <s v="TX501809"/>
    <s v="Bikinis"/>
    <n v="4"/>
    <n v="35.6"/>
    <n v="142.4"/>
    <d v="2025-03-08T00:00:00"/>
    <d v="2025-03-10T00:00:00"/>
    <s v="F"/>
    <x v="1"/>
    <n v="3"/>
    <s v="California"/>
    <s v="Stanislaus County"/>
    <n v="2"/>
    <x v="9"/>
    <x v="2"/>
  </r>
  <r>
    <s v="TX501810"/>
    <s v="Sneakers"/>
    <n v="3"/>
    <n v="95"/>
    <n v="285"/>
    <d v="2025-03-08T00:00:00"/>
    <d v="2025-03-12T00:00:00"/>
    <s v="F"/>
    <x v="2"/>
    <n v="5"/>
    <s v="California"/>
    <s v="Yuba County"/>
    <n v="4"/>
    <x v="9"/>
    <x v="2"/>
  </r>
  <r>
    <s v="TX501811"/>
    <s v="Sneakers"/>
    <n v="4"/>
    <n v="172.1"/>
    <n v="688.4"/>
    <d v="2025-03-08T00:00:00"/>
    <d v="2025-03-12T00:00:00"/>
    <s v="O"/>
    <x v="2"/>
    <n v="5"/>
    <s v="California"/>
    <s v="Alameda County"/>
    <n v="4"/>
    <x v="9"/>
    <x v="3"/>
  </r>
  <r>
    <s v="TX501812"/>
    <s v="Sneakers"/>
    <n v="2"/>
    <n v="233"/>
    <n v="466"/>
    <d v="2025-03-08T00:00:00"/>
    <d v="2025-03-11T00:00:00"/>
    <s v="F"/>
    <x v="1"/>
    <n v="4"/>
    <s v="California"/>
    <s v="Alameda County"/>
    <n v="3"/>
    <x v="9"/>
    <x v="2"/>
  </r>
  <r>
    <s v="TX501813"/>
    <s v="Shorts"/>
    <n v="1"/>
    <n v="43.5"/>
    <n v="43.5"/>
    <d v="2025-03-08T00:00:00"/>
    <d v="2025-03-09T00:00:00"/>
    <s v="F"/>
    <x v="2"/>
    <n v="5"/>
    <s v="California"/>
    <s v="Alameda County"/>
    <n v="1"/>
    <x v="9"/>
    <x v="2"/>
  </r>
  <r>
    <s v="TX501814"/>
    <s v="Sundresses"/>
    <n v="2"/>
    <n v="47.8"/>
    <n v="95.6"/>
    <d v="2025-03-08T00:00:00"/>
    <d v="2025-03-11T00:00:00"/>
    <s v="M"/>
    <x v="4"/>
    <n v="5"/>
    <s v="California"/>
    <s v="Contra Costa County"/>
    <n v="3"/>
    <x v="9"/>
    <x v="1"/>
  </r>
  <r>
    <s v="TX501815"/>
    <s v="Casual Dresses"/>
    <n v="2"/>
    <n v="65.8"/>
    <n v="131.6"/>
    <d v="2025-03-08T00:00:00"/>
    <d v="2025-03-10T00:00:00"/>
    <s v="F"/>
    <x v="0"/>
    <n v="1"/>
    <s v="California"/>
    <s v="Imperial County"/>
    <n v="2"/>
    <x v="9"/>
    <x v="2"/>
  </r>
  <r>
    <s v="TX501816"/>
    <s v="Crop Tops"/>
    <n v="11"/>
    <n v="38.700000000000003"/>
    <n v="425.70000000000005"/>
    <d v="2025-03-08T00:00:00"/>
    <d v="2025-03-08T00:00:00"/>
    <s v="M"/>
    <x v="0"/>
    <n v="4"/>
    <s v="California"/>
    <s v="Kern County"/>
    <n v="0"/>
    <x v="9"/>
    <x v="1"/>
  </r>
  <r>
    <s v="TX501817"/>
    <s v="Workout Tops"/>
    <n v="4"/>
    <n v="55.7"/>
    <n v="222.8"/>
    <d v="2025-03-08T00:00:00"/>
    <d v="2025-03-10T00:00:00"/>
    <s v="O"/>
    <x v="0"/>
    <n v="3"/>
    <s v="California"/>
    <s v="Kern County"/>
    <n v="2"/>
    <x v="9"/>
    <x v="3"/>
  </r>
  <r>
    <s v="TX501818"/>
    <s v="Hoodies &amp; Sweatshirts"/>
    <n v="2"/>
    <n v="102.4"/>
    <n v="204.8"/>
    <d v="2025-03-08T00:00:00"/>
    <d v="2025-03-08T00:00:00"/>
    <s v="F"/>
    <x v="1"/>
    <n v="4"/>
    <s v="California"/>
    <s v="Los Angeles County"/>
    <n v="0"/>
    <x v="9"/>
    <x v="2"/>
  </r>
  <r>
    <s v="TX501819"/>
    <s v="Tank Tops"/>
    <n v="1"/>
    <n v="92"/>
    <n v="92"/>
    <d v="2025-03-08T00:00:00"/>
    <d v="2025-03-12T00:00:00"/>
    <s v=""/>
    <x v="2"/>
    <n v="4"/>
    <s v="California"/>
    <s v="Los Angeles County"/>
    <n v="4"/>
    <x v="9"/>
    <x v="0"/>
  </r>
  <r>
    <s v="TX501820"/>
    <s v="Jeans"/>
    <n v="4"/>
    <n v="75.900000000000006"/>
    <n v="303.60000000000002"/>
    <d v="2025-03-08T00:00:00"/>
    <d v="2025-03-10T00:00:00"/>
    <s v="F"/>
    <x v="1"/>
    <n v="4"/>
    <s v="California"/>
    <s v="Los Angeles County"/>
    <n v="2"/>
    <x v="9"/>
    <x v="2"/>
  </r>
  <r>
    <s v="TX501821"/>
    <s v="Tank Tops"/>
    <n v="4"/>
    <n v="36.200000000000003"/>
    <n v="144.80000000000001"/>
    <d v="2025-03-08T00:00:00"/>
    <d v="2025-03-09T00:00:00"/>
    <s v="F"/>
    <x v="1"/>
    <n v="4"/>
    <s v="California"/>
    <s v="Los Angeles County"/>
    <n v="1"/>
    <x v="9"/>
    <x v="2"/>
  </r>
  <r>
    <s v="TX501822"/>
    <s v="Jeans"/>
    <n v="87"/>
    <n v="83.5"/>
    <n v="7264.5"/>
    <d v="2025-03-08T00:00:00"/>
    <d v="2025-03-10T00:00:00"/>
    <s v=""/>
    <x v="3"/>
    <n v="4"/>
    <s v="California"/>
    <s v="Los Angeles County"/>
    <n v="2"/>
    <x v="9"/>
    <x v="0"/>
  </r>
  <r>
    <s v="TX501823"/>
    <s v="Jewelry"/>
    <n v="12"/>
    <n v="52.4"/>
    <n v="628.79999999999995"/>
    <d v="2025-03-08T00:00:00"/>
    <d v="2025-03-08T00:00:00"/>
    <s v="M"/>
    <x v="2"/>
    <n v="4"/>
    <s v="California"/>
    <s v="Los Angeles County"/>
    <n v="0"/>
    <x v="9"/>
    <x v="1"/>
  </r>
  <r>
    <s v="TX501824"/>
    <s v="Casual Dresses"/>
    <n v="3"/>
    <n v="69.5"/>
    <n v="208.5"/>
    <d v="2025-03-08T00:00:00"/>
    <d v="2025-03-09T00:00:00"/>
    <s v="O"/>
    <x v="4"/>
    <n v="4"/>
    <s v="California"/>
    <s v="Los Angeles County"/>
    <n v="1"/>
    <x v="9"/>
    <x v="3"/>
  </r>
  <r>
    <s v="TX501825"/>
    <s v="Shorts"/>
    <n v="1"/>
    <n v="15.5"/>
    <n v="15.5"/>
    <d v="2025-03-08T00:00:00"/>
    <d v="2025-03-10T00:00:00"/>
    <s v="M"/>
    <x v="0"/>
    <n v="4"/>
    <s v="California"/>
    <s v="Los Angeles County"/>
    <n v="2"/>
    <x v="9"/>
    <x v="1"/>
  </r>
  <r>
    <s v="TX501826"/>
    <s v="Graphic Tees"/>
    <n v="4"/>
    <n v="35.200000000000003"/>
    <n v="140.80000000000001"/>
    <d v="2025-03-08T00:00:00"/>
    <d v="2025-03-09T00:00:00"/>
    <s v="F"/>
    <x v="2"/>
    <n v="5"/>
    <s v="California"/>
    <s v="Los Angeles County"/>
    <n v="1"/>
    <x v="9"/>
    <x v="2"/>
  </r>
  <r>
    <s v="TX501827"/>
    <s v="T-Shirts"/>
    <n v="6"/>
    <n v="34.6"/>
    <n v="207.60000000000002"/>
    <d v="2025-03-08T00:00:00"/>
    <d v="2025-03-09T00:00:00"/>
    <s v=""/>
    <x v="0"/>
    <n v="3"/>
    <s v="California"/>
    <s v="Los Angeles County"/>
    <n v="1"/>
    <x v="9"/>
    <x v="0"/>
  </r>
  <r>
    <s v="TX501828"/>
    <s v="Graphic Tees"/>
    <n v="1"/>
    <n v="21.3"/>
    <n v="21.3"/>
    <d v="2025-03-09T00:00:00"/>
    <d v="2025-03-10T00:00:00"/>
    <s v="M"/>
    <x v="2"/>
    <n v="3"/>
    <s v="California"/>
    <s v="Los Angeles County"/>
    <n v="1"/>
    <x v="9"/>
    <x v="1"/>
  </r>
  <r>
    <s v="TX501829"/>
    <s v="Jeans"/>
    <n v="2"/>
    <n v="136.5"/>
    <n v="273"/>
    <d v="2025-03-09T00:00:00"/>
    <d v="2025-03-15T00:00:00"/>
    <s v="F"/>
    <x v="0"/>
    <n v="4"/>
    <s v="California"/>
    <s v="Madera County"/>
    <n v="6"/>
    <x v="9"/>
    <x v="2"/>
  </r>
  <r>
    <s v="TX501830"/>
    <s v="Sundresses"/>
    <n v="7"/>
    <n v="30.7"/>
    <n v="214.9"/>
    <d v="2025-03-09T00:00:00"/>
    <d v="2025-03-10T00:00:00"/>
    <s v="M"/>
    <x v="2"/>
    <n v="5"/>
    <s v="California"/>
    <s v="Orange County"/>
    <n v="1"/>
    <x v="9"/>
    <x v="1"/>
  </r>
  <r>
    <s v="TX501831"/>
    <s v="Tank Tops"/>
    <n v="2"/>
    <n v="61.6"/>
    <n v="123.2"/>
    <d v="2025-03-09T00:00:00"/>
    <d v="2025-03-10T00:00:00"/>
    <s v="F"/>
    <x v="2"/>
    <n v="5"/>
    <s v="California"/>
    <s v="Riverside County"/>
    <n v="1"/>
    <x v="9"/>
    <x v="2"/>
  </r>
  <r>
    <s v="TX501832"/>
    <s v="Jeans"/>
    <n v="4"/>
    <n v="54.3"/>
    <n v="217.2"/>
    <d v="2025-03-09T00:00:00"/>
    <d v="2025-03-11T00:00:00"/>
    <s v=""/>
    <x v="4"/>
    <n v="4"/>
    <s v="California"/>
    <s v="San Bernardino County"/>
    <n v="2"/>
    <x v="9"/>
    <x v="0"/>
  </r>
  <r>
    <s v="TX501833"/>
    <s v="Tank Tops"/>
    <n v="2"/>
    <n v="44.1"/>
    <n v="88.2"/>
    <d v="2025-03-09T00:00:00"/>
    <d v="2025-03-21T00:00:00"/>
    <s v="F"/>
    <x v="0"/>
    <n v="5"/>
    <s v="California"/>
    <s v="San Diego County"/>
    <n v="12"/>
    <x v="9"/>
    <x v="2"/>
  </r>
  <r>
    <s v="TX501834"/>
    <s v="T-Shirts"/>
    <n v="4"/>
    <n v="43.5"/>
    <n v="174"/>
    <d v="2025-03-09T00:00:00"/>
    <d v="2025-03-15T00:00:00"/>
    <s v="M"/>
    <x v="3"/>
    <n v="4"/>
    <s v="California"/>
    <s v="San Diego County"/>
    <n v="6"/>
    <x v="9"/>
    <x v="1"/>
  </r>
  <r>
    <s v="TX501835"/>
    <s v="T-Shirts"/>
    <n v="3"/>
    <n v="48.2"/>
    <n v="144.60000000000002"/>
    <d v="2025-03-09T00:00:00"/>
    <d v="2025-03-13T00:00:00"/>
    <s v="M"/>
    <x v="3"/>
    <n v="3"/>
    <s v="California"/>
    <s v="San Diego County"/>
    <n v="4"/>
    <x v="9"/>
    <x v="1"/>
  </r>
  <r>
    <s v="TX501836"/>
    <s v="Jewelry"/>
    <n v="1"/>
    <n v="13.7"/>
    <n v="13.7"/>
    <d v="2025-03-09T00:00:00"/>
    <d v="2025-03-10T00:00:00"/>
    <s v="F"/>
    <x v="2"/>
    <n v="5"/>
    <s v="California"/>
    <s v="San Diego County"/>
    <n v="1"/>
    <x v="9"/>
    <x v="2"/>
  </r>
  <r>
    <s v="TX501837"/>
    <s v="Sneakers"/>
    <n v="2"/>
    <n v="110.5"/>
    <n v="221"/>
    <d v="2025-03-09T00:00:00"/>
    <d v="2025-03-10T00:00:00"/>
    <s v="F"/>
    <x v="0"/>
    <n v="3"/>
    <s v="California"/>
    <s v="San Diego County"/>
    <n v="1"/>
    <x v="9"/>
    <x v="2"/>
  </r>
  <r>
    <s v="TX501838"/>
    <s v="T-Shirts"/>
    <n v="3"/>
    <n v="26"/>
    <n v="78"/>
    <d v="2025-03-09T00:00:00"/>
    <d v="2025-03-14T00:00:00"/>
    <s v="F"/>
    <x v="1"/>
    <n v="3"/>
    <s v="California"/>
    <s v="San Diego County"/>
    <n v="5"/>
    <x v="9"/>
    <x v="2"/>
  </r>
  <r>
    <s v="TX501839"/>
    <s v="Sneakers"/>
    <n v="10"/>
    <n v="140.69999999999999"/>
    <n v="1407"/>
    <d v="2025-03-09T00:00:00"/>
    <d v="2025-03-15T00:00:00"/>
    <s v="M"/>
    <x v="3"/>
    <n v="3"/>
    <s v="California"/>
    <s v="San Diego County"/>
    <n v="6"/>
    <x v="9"/>
    <x v="1"/>
  </r>
  <r>
    <s v="TX501840"/>
    <s v="Pajama Sets"/>
    <n v="2"/>
    <n v="41.7"/>
    <n v="83.4"/>
    <d v="2025-03-09T00:00:00"/>
    <d v="2025-03-17T00:00:00"/>
    <s v="F"/>
    <x v="0"/>
    <n v="2"/>
    <s v="California"/>
    <s v="San Diego County"/>
    <n v="8"/>
    <x v="9"/>
    <x v="2"/>
  </r>
  <r>
    <s v="TX501841"/>
    <s v="Sneakers"/>
    <n v="2"/>
    <n v="135.1"/>
    <n v="270.2"/>
    <d v="2025-03-09T00:00:00"/>
    <d v="2025-03-10T00:00:00"/>
    <s v="M"/>
    <x v="0"/>
    <n v="5"/>
    <s v="California"/>
    <s v="San Francisco"/>
    <n v="1"/>
    <x v="9"/>
    <x v="1"/>
  </r>
  <r>
    <s v="TX501842"/>
    <s v="Casual Dresses"/>
    <n v="22"/>
    <n v="95.5"/>
    <n v="2101"/>
    <d v="2025-03-09T00:00:00"/>
    <d v="2025-03-10T00:00:00"/>
    <s v="F"/>
    <x v="4"/>
    <n v="2"/>
    <s v="California"/>
    <s v="San Joaquin County"/>
    <n v="1"/>
    <x v="9"/>
    <x v="2"/>
  </r>
  <r>
    <s v="TX501843"/>
    <s v="Crop Tops"/>
    <n v="1"/>
    <n v="25.5"/>
    <n v="25.5"/>
    <d v="2025-03-09T00:00:00"/>
    <d v="2025-03-12T00:00:00"/>
    <s v=""/>
    <x v="2"/>
    <n v="5"/>
    <s v="California"/>
    <s v="Santa Clara County"/>
    <n v="3"/>
    <x v="9"/>
    <x v="0"/>
  </r>
  <r>
    <s v="TX501844"/>
    <s v="Tank Tops"/>
    <n v="1"/>
    <n v="42.6"/>
    <n v="42.6"/>
    <d v="2025-03-09T00:00:00"/>
    <d v="2025-03-13T00:00:00"/>
    <s v="F"/>
    <x v="0"/>
    <n v="4"/>
    <s v="California"/>
    <s v="Santa Clara County"/>
    <n v="4"/>
    <x v="9"/>
    <x v="2"/>
  </r>
  <r>
    <s v="TX501845"/>
    <s v="T-Shirts"/>
    <n v="15"/>
    <n v="32.4"/>
    <n v="486"/>
    <d v="2025-03-09T00:00:00"/>
    <d v="2025-03-10T00:00:00"/>
    <s v="M"/>
    <x v="1"/>
    <n v="3"/>
    <s v="California"/>
    <s v="Santa Clara County"/>
    <n v="1"/>
    <x v="9"/>
    <x v="1"/>
  </r>
  <r>
    <s v="TX501846"/>
    <s v="Graphic Tees"/>
    <n v="4"/>
    <n v="20.2"/>
    <n v="80.8"/>
    <d v="2025-03-09T00:00:00"/>
    <d v="2025-03-10T00:00:00"/>
    <s v="O"/>
    <x v="2"/>
    <n v="4"/>
    <s v="California"/>
    <s v="Santa Clara County"/>
    <n v="1"/>
    <x v="9"/>
    <x v="3"/>
  </r>
  <r>
    <s v="TX501847"/>
    <s v="Sunglasses"/>
    <n v="3"/>
    <n v="52.5"/>
    <n v="157.5"/>
    <d v="2025-03-09T00:00:00"/>
    <d v="2025-03-14T00:00:00"/>
    <s v="F"/>
    <x v="4"/>
    <n v="4"/>
    <s v="California"/>
    <s v="Sonoma County"/>
    <n v="5"/>
    <x v="9"/>
    <x v="2"/>
  </r>
  <r>
    <s v="TX501848"/>
    <s v="Sneakers"/>
    <n v="5"/>
    <n v="59.9"/>
    <n v="299.5"/>
    <d v="2025-03-09T00:00:00"/>
    <d v="2025-03-11T00:00:00"/>
    <s v="F"/>
    <x v="2"/>
    <n v="4"/>
    <s v="California"/>
    <s v="Stanislaus County"/>
    <n v="2"/>
    <x v="9"/>
    <x v="2"/>
  </r>
  <r>
    <s v="TX501849"/>
    <s v="Graphic Tees"/>
    <n v="2"/>
    <n v="53.2"/>
    <n v="106.4"/>
    <d v="2025-03-09T00:00:00"/>
    <d v="2025-03-10T00:00:00"/>
    <s v="F"/>
    <x v="1"/>
    <n v="1"/>
    <s v="California"/>
    <s v="Tulare County"/>
    <n v="1"/>
    <x v="9"/>
    <x v="2"/>
  </r>
  <r>
    <s v="TX501850"/>
    <s v="Sneakers"/>
    <n v="2"/>
    <n v="60"/>
    <n v="120"/>
    <d v="2025-03-09T00:00:00"/>
    <d v="2025-03-15T00:00:00"/>
    <s v="M"/>
    <x v="1"/>
    <n v="5"/>
    <s v="California"/>
    <s v="Tulare County"/>
    <n v="6"/>
    <x v="9"/>
    <x v="1"/>
  </r>
  <r>
    <s v="TX501851"/>
    <s v="T-Shirts"/>
    <n v="3"/>
    <n v="29.3"/>
    <n v="87.9"/>
    <d v="2025-03-09T00:00:00"/>
    <d v="2025-03-10T00:00:00"/>
    <s v="F"/>
    <x v="4"/>
    <n v="4"/>
    <s v="California"/>
    <s v="Ventura County"/>
    <n v="1"/>
    <x v="9"/>
    <x v="2"/>
  </r>
  <r>
    <s v="TX501852"/>
    <s v="Casual Dresses"/>
    <n v="2"/>
    <n v="55.4"/>
    <n v="110.8"/>
    <d v="2025-03-09T00:00:00"/>
    <d v="2025-03-10T00:00:00"/>
    <s v="F"/>
    <x v="0"/>
    <n v="5"/>
    <s v="California"/>
    <s v="Alameda County"/>
    <n v="1"/>
    <x v="9"/>
    <x v="2"/>
  </r>
  <r>
    <s v="TX501853"/>
    <s v="Shorts"/>
    <n v="5"/>
    <n v="20.100000000000001"/>
    <n v="100.5"/>
    <d v="2025-03-09T00:00:00"/>
    <d v="2025-03-11T00:00:00"/>
    <s v="F"/>
    <x v="1"/>
    <n v="5"/>
    <s v="California"/>
    <s v="Alameda County"/>
    <n v="2"/>
    <x v="9"/>
    <x v="2"/>
  </r>
  <r>
    <s v="TX501854"/>
    <s v="Baseball Caps"/>
    <n v="5"/>
    <n v="24"/>
    <n v="120"/>
    <d v="2025-03-09T00:00:00"/>
    <d v="2025-03-12T00:00:00"/>
    <s v="M"/>
    <x v="2"/>
    <n v="4"/>
    <s v="California"/>
    <s v="Contra Costa County"/>
    <n v="3"/>
    <x v="9"/>
    <x v="1"/>
  </r>
  <r>
    <s v="TX501855"/>
    <s v="T-Shirts"/>
    <n v="2"/>
    <n v="30.6"/>
    <n v="61.2"/>
    <d v="2025-03-10T00:00:00"/>
    <d v="2025-03-12T00:00:00"/>
    <s v="F"/>
    <x v="0"/>
    <n v="4"/>
    <s v="California"/>
    <s v="Contra Costa County"/>
    <n v="2"/>
    <x v="10"/>
    <x v="2"/>
  </r>
  <r>
    <s v="TX501856"/>
    <s v="Bikinis"/>
    <n v="5"/>
    <n v="33"/>
    <n v="165"/>
    <d v="2025-03-10T00:00:00"/>
    <d v="2025-03-11T00:00:00"/>
    <s v="M"/>
    <x v="1"/>
    <n v="3"/>
    <s v="California"/>
    <s v="Glenn County"/>
    <n v="1"/>
    <x v="10"/>
    <x v="1"/>
  </r>
  <r>
    <s v="TX501857"/>
    <s v="Pajama Sets"/>
    <n v="9"/>
    <n v="42.1"/>
    <n v="378.90000000000003"/>
    <d v="2025-03-10T00:00:00"/>
    <d v="2025-03-16T00:00:00"/>
    <s v="F"/>
    <x v="2"/>
    <n v="4"/>
    <s v="California"/>
    <s v="Humboldt County"/>
    <n v="6"/>
    <x v="10"/>
    <x v="2"/>
  </r>
  <r>
    <s v="TX501858"/>
    <s v="Jeans"/>
    <n v="7"/>
    <n v="77.7"/>
    <n v="543.9"/>
    <d v="2025-03-10T00:00:00"/>
    <d v="2025-03-15T00:00:00"/>
    <s v="F"/>
    <x v="1"/>
    <n v="5"/>
    <s v="California"/>
    <s v="Lake County"/>
    <n v="5"/>
    <x v="10"/>
    <x v="2"/>
  </r>
  <r>
    <s v="TX501859"/>
    <s v="Pajama Sets"/>
    <n v="6"/>
    <n v="22.7"/>
    <n v="136.19999999999999"/>
    <d v="2025-03-10T00:00:00"/>
    <d v="2025-03-13T00:00:00"/>
    <s v="F"/>
    <x v="2"/>
    <n v="4"/>
    <s v="California"/>
    <s v="Los Angeles County"/>
    <n v="3"/>
    <x v="10"/>
    <x v="2"/>
  </r>
  <r>
    <s v="TX501860"/>
    <s v="Sneakers"/>
    <n v="2"/>
    <n v="133"/>
    <n v="266"/>
    <d v="2025-03-10T00:00:00"/>
    <d v="2025-03-10T00:00:00"/>
    <s v="M"/>
    <x v="2"/>
    <n v="5"/>
    <s v="California"/>
    <s v="Los Angeles County"/>
    <n v="0"/>
    <x v="10"/>
    <x v="1"/>
  </r>
  <r>
    <s v="TX501861"/>
    <s v="Shorts"/>
    <n v="2"/>
    <n v="23.3"/>
    <n v="46.6"/>
    <d v="2025-03-10T00:00:00"/>
    <d v="2025-03-11T00:00:00"/>
    <s v="M"/>
    <x v="1"/>
    <n v="5"/>
    <s v="California"/>
    <s v="Los Angeles County"/>
    <n v="1"/>
    <x v="10"/>
    <x v="1"/>
  </r>
  <r>
    <s v="TX501862"/>
    <s v="T-Shirts"/>
    <n v="3"/>
    <n v="20.7"/>
    <n v="62.099999999999994"/>
    <d v="2025-03-10T00:00:00"/>
    <d v="2025-03-12T00:00:00"/>
    <s v="O"/>
    <x v="0"/>
    <n v="5"/>
    <s v="California"/>
    <s v="Los Angeles County"/>
    <n v="2"/>
    <x v="10"/>
    <x v="3"/>
  </r>
  <r>
    <s v="TX501863"/>
    <s v="Casual Dresses"/>
    <n v="2"/>
    <n v="47"/>
    <n v="94"/>
    <d v="2025-03-10T00:00:00"/>
    <d v="2025-03-11T00:00:00"/>
    <s v="M"/>
    <x v="1"/>
    <n v="5"/>
    <s v="California"/>
    <s v="Los Angeles County"/>
    <n v="1"/>
    <x v="10"/>
    <x v="1"/>
  </r>
  <r>
    <s v="TX501864"/>
    <s v="Casual Dresses"/>
    <n v="3"/>
    <n v="38.200000000000003"/>
    <n v="114.60000000000001"/>
    <d v="2025-03-10T00:00:00"/>
    <d v="2025-03-12T00:00:00"/>
    <s v="F"/>
    <x v="2"/>
    <n v="2"/>
    <s v="California"/>
    <s v="Los Angeles County"/>
    <n v="2"/>
    <x v="10"/>
    <x v="2"/>
  </r>
  <r>
    <s v="TX501865"/>
    <s v="Sundresses"/>
    <n v="1"/>
    <n v="39.1"/>
    <n v="39.1"/>
    <d v="2025-03-10T00:00:00"/>
    <d v="2025-03-12T00:00:00"/>
    <s v="F"/>
    <x v="0"/>
    <n v="4"/>
    <s v="California"/>
    <s v="Los Angeles County"/>
    <n v="2"/>
    <x v="10"/>
    <x v="2"/>
  </r>
  <r>
    <s v="TX501866"/>
    <s v="Hoodies &amp; Sweatshirts"/>
    <n v="25"/>
    <n v="55.6"/>
    <n v="1390"/>
    <d v="2025-03-10T00:00:00"/>
    <d v="2025-03-12T00:00:00"/>
    <s v="M"/>
    <x v="0"/>
    <n v="5"/>
    <s v="California"/>
    <s v="Los Angeles County"/>
    <n v="2"/>
    <x v="10"/>
    <x v="1"/>
  </r>
  <r>
    <s v="TX501867"/>
    <s v="Crop Tops"/>
    <n v="1"/>
    <n v="43.1"/>
    <n v="43.1"/>
    <d v="2025-03-10T00:00:00"/>
    <d v="2025-03-10T00:00:00"/>
    <s v="O"/>
    <x v="1"/>
    <n v="5"/>
    <s v="California"/>
    <s v="Los Angeles County"/>
    <n v="0"/>
    <x v="10"/>
    <x v="3"/>
  </r>
  <r>
    <s v="TX501868"/>
    <s v="Jeans"/>
    <n v="4"/>
    <n v="48.1"/>
    <n v="192.4"/>
    <d v="2025-03-10T00:00:00"/>
    <d v="2025-03-11T00:00:00"/>
    <s v="F"/>
    <x v="4"/>
    <n v="5"/>
    <s v="California"/>
    <s v="Los Angeles County"/>
    <n v="1"/>
    <x v="10"/>
    <x v="2"/>
  </r>
  <r>
    <s v="TX501869"/>
    <s v="Graphic Tees"/>
    <n v="1"/>
    <n v="42"/>
    <n v="42"/>
    <d v="2025-03-10T00:00:00"/>
    <d v="2025-03-11T00:00:00"/>
    <s v="O"/>
    <x v="0"/>
    <n v="4"/>
    <s v="California"/>
    <s v="Los Angeles County"/>
    <n v="1"/>
    <x v="10"/>
    <x v="3"/>
  </r>
  <r>
    <s v="TX501870"/>
    <s v="T-Shirts"/>
    <n v="5"/>
    <n v="18.3"/>
    <n v="91.5"/>
    <d v="2025-03-10T00:00:00"/>
    <d v="2025-03-10T00:00:00"/>
    <s v="F"/>
    <x v="2"/>
    <n v="4"/>
    <s v="California"/>
    <s v="Los Angeles County"/>
    <n v="0"/>
    <x v="10"/>
    <x v="2"/>
  </r>
  <r>
    <s v="TX501871"/>
    <s v="Bikinis"/>
    <n v="4"/>
    <n v="45.3"/>
    <n v="181.2"/>
    <d v="2025-03-10T00:00:00"/>
    <d v="2025-03-13T00:00:00"/>
    <s v="F"/>
    <x v="0"/>
    <n v="5"/>
    <s v="California"/>
    <s v="Los Angeles County"/>
    <n v="3"/>
    <x v="10"/>
    <x v="2"/>
  </r>
  <r>
    <s v="TX501872"/>
    <s v="Shorts"/>
    <n v="2"/>
    <n v="27.6"/>
    <n v="55.2"/>
    <d v="2025-03-10T00:00:00"/>
    <d v="2025-03-12T00:00:00"/>
    <s v="M"/>
    <x v="0"/>
    <n v="5"/>
    <s v="California"/>
    <s v="Madera County"/>
    <n v="2"/>
    <x v="10"/>
    <x v="1"/>
  </r>
  <r>
    <s v="TX501873"/>
    <s v="Graphic Tees"/>
    <n v="5"/>
    <n v="26.9"/>
    <n v="134.5"/>
    <d v="2025-03-10T00:00:00"/>
    <d v="2025-03-11T00:00:00"/>
    <s v="F"/>
    <x v="2"/>
    <n v="4"/>
    <s v="California"/>
    <s v="Orange County"/>
    <n v="1"/>
    <x v="10"/>
    <x v="2"/>
  </r>
  <r>
    <s v="TX501874"/>
    <s v="Sneakers"/>
    <n v="9"/>
    <n v="82.4"/>
    <n v="741.6"/>
    <d v="2025-03-10T00:00:00"/>
    <d v="2025-03-12T00:00:00"/>
    <s v="O"/>
    <x v="2"/>
    <n v="4"/>
    <s v="California"/>
    <s v="Placer County"/>
    <n v="2"/>
    <x v="10"/>
    <x v="3"/>
  </r>
  <r>
    <s v="TX501875"/>
    <s v="Jeans"/>
    <n v="1"/>
    <n v="103.7"/>
    <n v="103.7"/>
    <d v="2025-03-10T00:00:00"/>
    <d v="2025-03-12T00:00:00"/>
    <s v="F"/>
    <x v="1"/>
    <n v="4"/>
    <s v="California"/>
    <s v="Placer County"/>
    <n v="2"/>
    <x v="10"/>
    <x v="2"/>
  </r>
  <r>
    <s v="TX501876"/>
    <s v="Sneakers"/>
    <n v="2"/>
    <n v="58.8"/>
    <n v="117.6"/>
    <d v="2025-03-10T00:00:00"/>
    <d v="2025-03-15T00:00:00"/>
    <s v="F"/>
    <x v="1"/>
    <n v="5"/>
    <s v="California"/>
    <s v="Sacramento County"/>
    <n v="5"/>
    <x v="10"/>
    <x v="2"/>
  </r>
  <r>
    <s v="TX501877"/>
    <s v="Tote Bags"/>
    <n v="1"/>
    <n v="31.5"/>
    <n v="31.5"/>
    <d v="2025-03-10T00:00:00"/>
    <d v="2025-03-11T00:00:00"/>
    <s v="F"/>
    <x v="1"/>
    <n v="3"/>
    <s v="California"/>
    <s v="Sacramento County"/>
    <n v="1"/>
    <x v="10"/>
    <x v="2"/>
  </r>
  <r>
    <s v="TX501878"/>
    <s v="Hoodies &amp; Sweatshirts"/>
    <n v="5"/>
    <n v="36.799999999999997"/>
    <n v="184"/>
    <d v="2025-03-10T00:00:00"/>
    <d v="2025-03-12T00:00:00"/>
    <s v="F"/>
    <x v="0"/>
    <n v="4"/>
    <s v="California"/>
    <s v="San Diego County"/>
    <n v="2"/>
    <x v="10"/>
    <x v="2"/>
  </r>
  <r>
    <s v="TX501879"/>
    <s v="Workout Tops"/>
    <n v="1"/>
    <n v="84.4"/>
    <n v="84.4"/>
    <d v="2025-03-10T00:00:00"/>
    <d v="2025-03-11T00:00:00"/>
    <s v="F"/>
    <x v="0"/>
    <n v="4"/>
    <s v="California"/>
    <s v="San Diego County"/>
    <n v="1"/>
    <x v="10"/>
    <x v="2"/>
  </r>
  <r>
    <s v="TX501880"/>
    <s v="Baseball Caps"/>
    <n v="1"/>
    <n v="44.7"/>
    <n v="44.7"/>
    <d v="2025-03-10T00:00:00"/>
    <d v="2025-03-11T00:00:00"/>
    <s v="M"/>
    <x v="0"/>
    <n v="3"/>
    <s v="California"/>
    <s v="San Diego County"/>
    <n v="1"/>
    <x v="10"/>
    <x v="1"/>
  </r>
  <r>
    <s v="TX501881"/>
    <s v="Sundresses"/>
    <n v="8"/>
    <n v="39.4"/>
    <n v="315.2"/>
    <d v="2025-03-10T00:00:00"/>
    <d v="2025-03-11T00:00:00"/>
    <s v="F"/>
    <x v="1"/>
    <n v="5"/>
    <s v="California"/>
    <s v="San Diego County"/>
    <n v="1"/>
    <x v="10"/>
    <x v="2"/>
  </r>
  <r>
    <s v="TX501882"/>
    <s v="Maxi Dresses"/>
    <n v="4"/>
    <n v="34.9"/>
    <n v="139.6"/>
    <d v="2025-03-10T00:00:00"/>
    <d v="2025-03-12T00:00:00"/>
    <s v="F"/>
    <x v="0"/>
    <n v="5"/>
    <s v="California"/>
    <s v="San Diego County"/>
    <n v="2"/>
    <x v="10"/>
    <x v="2"/>
  </r>
  <r>
    <s v="TX501883"/>
    <s v="Tank Tops"/>
    <n v="3"/>
    <n v="62.3"/>
    <n v="186.89999999999998"/>
    <d v="2025-03-10T00:00:00"/>
    <d v="2025-03-12T00:00:00"/>
    <s v="M"/>
    <x v="4"/>
    <n v="5"/>
    <s v="California"/>
    <s v="San Diego County"/>
    <n v="2"/>
    <x v="10"/>
    <x v="1"/>
  </r>
  <r>
    <s v="TX501884"/>
    <s v="T-Shirts"/>
    <n v="4"/>
    <n v="21.1"/>
    <n v="84.4"/>
    <d v="2025-03-10T00:00:00"/>
    <d v="2025-03-13T00:00:00"/>
    <s v="M"/>
    <x v="3"/>
    <n v="4"/>
    <s v="California"/>
    <s v="San Diego County"/>
    <n v="3"/>
    <x v="10"/>
    <x v="1"/>
  </r>
  <r>
    <s v="TX501885"/>
    <s v="T-Shirts"/>
    <n v="3"/>
    <n v="33.200000000000003"/>
    <n v="99.600000000000009"/>
    <d v="2025-03-10T00:00:00"/>
    <d v="2025-03-24T00:00:00"/>
    <s v=""/>
    <x v="0"/>
    <n v="2"/>
    <s v="California"/>
    <s v="San Diego County"/>
    <n v="14"/>
    <x v="10"/>
    <x v="0"/>
  </r>
  <r>
    <s v="TX501886"/>
    <s v="Tank Tops"/>
    <n v="4"/>
    <n v="74.5"/>
    <n v="298"/>
    <d v="2025-03-10T00:00:00"/>
    <d v="2025-03-11T00:00:00"/>
    <s v="M"/>
    <x v="4"/>
    <n v="4"/>
    <s v="California"/>
    <s v="San Diego County"/>
    <n v="1"/>
    <x v="10"/>
    <x v="1"/>
  </r>
  <r>
    <s v="TX501887"/>
    <s v="Bikinis"/>
    <n v="12"/>
    <n v="68.599999999999994"/>
    <n v="823.19999999999993"/>
    <d v="2025-03-10T00:00:00"/>
    <d v="2025-03-13T00:00:00"/>
    <s v="F"/>
    <x v="0"/>
    <n v="5"/>
    <s v="California"/>
    <s v="San Diego County"/>
    <n v="3"/>
    <x v="10"/>
    <x v="2"/>
  </r>
  <r>
    <s v="TX501888"/>
    <s v="Sandals"/>
    <n v="14"/>
    <n v="36.4"/>
    <n v="509.59999999999997"/>
    <d v="2025-03-10T00:00:00"/>
    <d v="2025-03-12T00:00:00"/>
    <s v="F"/>
    <x v="0"/>
    <n v="3"/>
    <s v="California"/>
    <s v="San Mateo County"/>
    <n v="2"/>
    <x v="10"/>
    <x v="2"/>
  </r>
  <r>
    <s v="TX501889"/>
    <s v="Sunglasses"/>
    <n v="5"/>
    <n v="67.599999999999994"/>
    <n v="338"/>
    <d v="2025-03-11T00:00:00"/>
    <d v="2025-03-14T00:00:00"/>
    <s v="F"/>
    <x v="4"/>
    <n v="3"/>
    <s v="California"/>
    <s v="San Mateo County"/>
    <n v="3"/>
    <x v="10"/>
    <x v="2"/>
  </r>
  <r>
    <s v="TX501890"/>
    <s v="Crop Tops"/>
    <n v="1"/>
    <n v="46.3"/>
    <n v="46.3"/>
    <d v="2025-03-11T00:00:00"/>
    <d v="2025-03-12T00:00:00"/>
    <s v="M"/>
    <x v="2"/>
    <n v="4"/>
    <s v="California"/>
    <s v="San Mateo County"/>
    <n v="1"/>
    <x v="10"/>
    <x v="1"/>
  </r>
  <r>
    <s v="TX501891"/>
    <s v="Tank Tops"/>
    <n v="3"/>
    <n v="124.2"/>
    <n v="372.6"/>
    <d v="2025-03-11T00:00:00"/>
    <d v="2025-03-13T00:00:00"/>
    <s v="F"/>
    <x v="1"/>
    <n v="5"/>
    <s v="California"/>
    <s v="Santa Clara County"/>
    <n v="2"/>
    <x v="10"/>
    <x v="2"/>
  </r>
  <r>
    <s v="TX501892"/>
    <s v="Bikinis"/>
    <n v="2"/>
    <n v="37"/>
    <n v="74"/>
    <d v="2025-03-11T00:00:00"/>
    <d v="2025-03-17T00:00:00"/>
    <s v="M"/>
    <x v="0"/>
    <n v="4"/>
    <s v="California"/>
    <s v="Santa Clara County"/>
    <n v="6"/>
    <x v="10"/>
    <x v="1"/>
  </r>
  <r>
    <s v="TX501893"/>
    <s v="Sandals"/>
    <n v="1"/>
    <n v="41.8"/>
    <n v="41.8"/>
    <d v="2025-03-11T00:00:00"/>
    <d v="2025-03-12T00:00:00"/>
    <s v="M"/>
    <x v="2"/>
    <n v="4"/>
    <s v="California"/>
    <s v="Sutter County"/>
    <n v="1"/>
    <x v="10"/>
    <x v="1"/>
  </r>
  <r>
    <s v="TX501894"/>
    <s v="Sundresses"/>
    <n v="2"/>
    <n v="57.2"/>
    <n v="114.4"/>
    <d v="2025-03-11T00:00:00"/>
    <d v="2025-03-13T00:00:00"/>
    <s v="M"/>
    <x v="2"/>
    <n v="3"/>
    <s v="California"/>
    <s v="Tulare County"/>
    <n v="2"/>
    <x v="10"/>
    <x v="1"/>
  </r>
  <r>
    <s v="TX501895"/>
    <s v="Jeans"/>
    <n v="2"/>
    <n v="47.1"/>
    <n v="94.2"/>
    <d v="2025-03-11T00:00:00"/>
    <d v="2025-03-13T00:00:00"/>
    <s v="F"/>
    <x v="0"/>
    <n v="2"/>
    <s v="California"/>
    <s v="Tulare County"/>
    <n v="2"/>
    <x v="10"/>
    <x v="2"/>
  </r>
  <r>
    <s v="TX501896"/>
    <s v="Sandals"/>
    <n v="3"/>
    <n v="86.4"/>
    <n v="259.20000000000005"/>
    <d v="2025-03-11T00:00:00"/>
    <d v="2025-03-12T00:00:00"/>
    <s v="M"/>
    <x v="2"/>
    <n v="3"/>
    <s v="California"/>
    <s v="Tuolumne County"/>
    <n v="1"/>
    <x v="10"/>
    <x v="1"/>
  </r>
  <r>
    <s v="TX501897"/>
    <s v="Jeans"/>
    <n v="5"/>
    <n v="105"/>
    <n v="525"/>
    <d v="2025-03-11T00:00:00"/>
    <d v="2025-03-14T00:00:00"/>
    <s v="M"/>
    <x v="0"/>
    <n v="4"/>
    <s v="California"/>
    <s v="Ventura County"/>
    <n v="3"/>
    <x v="10"/>
    <x v="1"/>
  </r>
  <r>
    <s v="TX501898"/>
    <s v="Leggings"/>
    <n v="1"/>
    <n v="33"/>
    <n v="33"/>
    <d v="2025-03-11T00:00:00"/>
    <d v="2025-03-14T00:00:00"/>
    <s v="M"/>
    <x v="4"/>
    <n v="4"/>
    <s v="California"/>
    <s v="Alameda County"/>
    <n v="3"/>
    <x v="10"/>
    <x v="1"/>
  </r>
  <r>
    <s v="TX501899"/>
    <s v="Jeans"/>
    <n v="5"/>
    <n v="106.6"/>
    <n v="533"/>
    <d v="2025-03-11T00:00:00"/>
    <d v="2025-03-24T00:00:00"/>
    <s v="F"/>
    <x v="2"/>
    <n v="4"/>
    <s v="California"/>
    <s v="Contra Costa County"/>
    <n v="13"/>
    <x v="10"/>
    <x v="2"/>
  </r>
  <r>
    <s v="TX501900"/>
    <s v="Bikinis"/>
    <n v="32"/>
    <n v="26.8"/>
    <n v="857.6"/>
    <d v="2025-03-11T00:00:00"/>
    <d v="2025-03-12T00:00:00"/>
    <s v="F"/>
    <x v="2"/>
    <n v="4"/>
    <s v="California"/>
    <s v="Contra Costa County"/>
    <n v="1"/>
    <x v="10"/>
    <x v="2"/>
  </r>
  <r>
    <s v="TX501901"/>
    <s v="Pajama Sets"/>
    <n v="5"/>
    <n v="25.8"/>
    <n v="129"/>
    <d v="2025-03-11T00:00:00"/>
    <d v="2025-03-11T00:00:00"/>
    <s v="F"/>
    <x v="1"/>
    <n v="5"/>
    <s v="California"/>
    <s v="Los Angeles County"/>
    <n v="0"/>
    <x v="10"/>
    <x v="2"/>
  </r>
  <r>
    <s v="TX501902"/>
    <s v="Sneakers"/>
    <n v="3"/>
    <n v="217"/>
    <n v="651"/>
    <d v="2025-03-11T00:00:00"/>
    <d v="2025-03-12T00:00:00"/>
    <s v="F"/>
    <x v="1"/>
    <n v="3"/>
    <s v="California"/>
    <s v="Los Angeles County"/>
    <n v="1"/>
    <x v="10"/>
    <x v="2"/>
  </r>
  <r>
    <s v="TX501903"/>
    <s v="Sneakers"/>
    <n v="2"/>
    <n v="97.3"/>
    <n v="194.6"/>
    <d v="2025-03-11T00:00:00"/>
    <d v="2025-03-12T00:00:00"/>
    <s v="M"/>
    <x v="2"/>
    <n v="2"/>
    <s v="California"/>
    <s v="Los Angeles County"/>
    <n v="1"/>
    <x v="10"/>
    <x v="1"/>
  </r>
  <r>
    <s v="TX501904"/>
    <s v="Tank Tops"/>
    <n v="1"/>
    <n v="49.8"/>
    <n v="49.8"/>
    <d v="2025-03-11T00:00:00"/>
    <d v="2025-03-12T00:00:00"/>
    <s v="F"/>
    <x v="0"/>
    <n v="4"/>
    <s v="California"/>
    <s v="Los Angeles County"/>
    <n v="1"/>
    <x v="10"/>
    <x v="2"/>
  </r>
  <r>
    <s v="TX501905"/>
    <s v="Casual Dresses"/>
    <n v="5"/>
    <n v="32.6"/>
    <n v="163"/>
    <d v="2025-03-11T00:00:00"/>
    <d v="2025-03-12T00:00:00"/>
    <s v="F"/>
    <x v="0"/>
    <n v="4"/>
    <s v="California"/>
    <s v="Los Angeles County"/>
    <n v="1"/>
    <x v="10"/>
    <x v="2"/>
  </r>
  <r>
    <s v="TX501906"/>
    <s v="Sundresses"/>
    <n v="2"/>
    <n v="40.1"/>
    <n v="80.2"/>
    <d v="2025-03-11T00:00:00"/>
    <d v="2025-03-14T00:00:00"/>
    <s v="M"/>
    <x v="1"/>
    <n v="5"/>
    <s v="California"/>
    <s v="Los Angeles County"/>
    <n v="3"/>
    <x v="10"/>
    <x v="1"/>
  </r>
  <r>
    <s v="TX501907"/>
    <s v="Bikinis"/>
    <n v="2"/>
    <n v="49.4"/>
    <n v="98.8"/>
    <d v="2025-03-11T00:00:00"/>
    <d v="2025-03-13T00:00:00"/>
    <s v="M"/>
    <x v="1"/>
    <n v="4"/>
    <s v="California"/>
    <s v="Los Angeles County"/>
    <n v="2"/>
    <x v="10"/>
    <x v="1"/>
  </r>
  <r>
    <s v="TX501908"/>
    <s v="Sneakers"/>
    <n v="1"/>
    <n v="67.3"/>
    <n v="67.3"/>
    <d v="2025-03-11T00:00:00"/>
    <d v="2025-03-12T00:00:00"/>
    <s v="F"/>
    <x v="0"/>
    <n v="5"/>
    <s v="California"/>
    <s v="Los Angeles County"/>
    <n v="1"/>
    <x v="10"/>
    <x v="2"/>
  </r>
  <r>
    <s v="TX501909"/>
    <s v="Leggings"/>
    <n v="4"/>
    <n v="44.5"/>
    <n v="178"/>
    <d v="2025-03-11T00:00:00"/>
    <d v="2025-03-14T00:00:00"/>
    <s v=""/>
    <x v="1"/>
    <n v="4"/>
    <s v="California"/>
    <s v="Los Angeles County"/>
    <n v="3"/>
    <x v="10"/>
    <x v="0"/>
  </r>
  <r>
    <s v="TX501910"/>
    <s v="Jeans"/>
    <n v="11"/>
    <n v="111.1"/>
    <n v="1222.0999999999999"/>
    <d v="2025-03-11T00:00:00"/>
    <d v="2025-03-12T00:00:00"/>
    <s v="F"/>
    <x v="4"/>
    <n v="4"/>
    <s v="California"/>
    <s v="Los Angeles County"/>
    <n v="1"/>
    <x v="10"/>
    <x v="2"/>
  </r>
  <r>
    <s v="TX501911"/>
    <s v="T-Shirts"/>
    <n v="3"/>
    <n v="19.7"/>
    <n v="59.099999999999994"/>
    <d v="2025-03-11T00:00:00"/>
    <d v="2025-03-12T00:00:00"/>
    <s v="F"/>
    <x v="4"/>
    <n v="2"/>
    <s v="California"/>
    <s v="Los Angeles County"/>
    <n v="1"/>
    <x v="10"/>
    <x v="2"/>
  </r>
  <r>
    <s v="TX501912"/>
    <s v="Tank Tops"/>
    <n v="1"/>
    <n v="40.299999999999997"/>
    <n v="40.299999999999997"/>
    <d v="2025-03-11T00:00:00"/>
    <d v="2025-03-12T00:00:00"/>
    <s v="O"/>
    <x v="1"/>
    <n v="4"/>
    <s v="California"/>
    <s v="Los Angeles County"/>
    <n v="1"/>
    <x v="10"/>
    <x v="3"/>
  </r>
  <r>
    <s v="TX501913"/>
    <s v="Jeans"/>
    <n v="2"/>
    <n v="108.8"/>
    <n v="217.6"/>
    <d v="2025-03-11T00:00:00"/>
    <d v="2025-03-16T00:00:00"/>
    <s v="M"/>
    <x v="0"/>
    <n v="5"/>
    <s v="California"/>
    <s v="Sacramento County"/>
    <n v="5"/>
    <x v="10"/>
    <x v="1"/>
  </r>
  <r>
    <s v="TX501914"/>
    <s v="T-Shirts"/>
    <n v="3"/>
    <n v="48.2"/>
    <n v="144.60000000000002"/>
    <d v="2025-03-11T00:00:00"/>
    <d v="2025-03-16T00:00:00"/>
    <s v="F"/>
    <x v="4"/>
    <n v="4"/>
    <s v="California"/>
    <s v="San Bernardino County"/>
    <n v="5"/>
    <x v="10"/>
    <x v="2"/>
  </r>
  <r>
    <s v="TX501915"/>
    <s v="Sneakers"/>
    <n v="3"/>
    <n v="104.7"/>
    <n v="314.10000000000002"/>
    <d v="2025-03-11T00:00:00"/>
    <d v="2025-03-13T00:00:00"/>
    <s v="F"/>
    <x v="0"/>
    <n v="3"/>
    <s v="California"/>
    <s v="San Bernardino County"/>
    <n v="2"/>
    <x v="10"/>
    <x v="2"/>
  </r>
  <r>
    <s v="TX501916"/>
    <s v="Tank Tops"/>
    <n v="2"/>
    <n v="80.599999999999994"/>
    <n v="161.19999999999999"/>
    <d v="2025-03-11T00:00:00"/>
    <d v="2025-03-11T00:00:00"/>
    <s v="F"/>
    <x v="1"/>
    <n v="4"/>
    <s v="California"/>
    <s v="San Diego County"/>
    <n v="0"/>
    <x v="10"/>
    <x v="2"/>
  </r>
  <r>
    <s v="TX501917"/>
    <s v="Jeans"/>
    <n v="1"/>
    <n v="65.5"/>
    <n v="65.5"/>
    <d v="2025-03-11T00:00:00"/>
    <d v="2025-03-13T00:00:00"/>
    <s v="O"/>
    <x v="1"/>
    <n v="4"/>
    <s v="California"/>
    <s v="San Diego County"/>
    <n v="2"/>
    <x v="10"/>
    <x v="3"/>
  </r>
  <r>
    <s v="TX501918"/>
    <s v="Sundresses"/>
    <n v="3"/>
    <n v="61.4"/>
    <n v="184.2"/>
    <d v="2025-03-11T00:00:00"/>
    <d v="2025-03-13T00:00:00"/>
    <s v="F"/>
    <x v="4"/>
    <n v="5"/>
    <s v="California"/>
    <s v="San Diego County"/>
    <n v="2"/>
    <x v="10"/>
    <x v="2"/>
  </r>
  <r>
    <s v="TX501919"/>
    <s v="Shorts"/>
    <n v="1"/>
    <n v="12.5"/>
    <n v="12.5"/>
    <d v="2025-03-12T00:00:00"/>
    <d v="2025-03-15T00:00:00"/>
    <s v="F"/>
    <x v="0"/>
    <n v="3"/>
    <s v="California"/>
    <s v="San Diego County"/>
    <n v="3"/>
    <x v="10"/>
    <x v="2"/>
  </r>
  <r>
    <s v="TX501920"/>
    <s v="Graphic Tees"/>
    <n v="4"/>
    <n v="35.1"/>
    <n v="140.4"/>
    <d v="2025-03-12T00:00:00"/>
    <d v="2025-03-13T00:00:00"/>
    <s v="M"/>
    <x v="2"/>
    <n v="3"/>
    <s v="California"/>
    <s v="San Francisco"/>
    <n v="1"/>
    <x v="10"/>
    <x v="1"/>
  </r>
  <r>
    <s v="TX501921"/>
    <s v="Sandals"/>
    <n v="2"/>
    <n v="55.7"/>
    <n v="111.4"/>
    <d v="2025-03-12T00:00:00"/>
    <d v="2025-03-13T00:00:00"/>
    <s v="M"/>
    <x v="0"/>
    <n v="3"/>
    <s v="California"/>
    <s v="San Joaquin County"/>
    <n v="1"/>
    <x v="10"/>
    <x v="1"/>
  </r>
  <r>
    <s v="TX501922"/>
    <s v="Hoodies &amp; Sweatshirts"/>
    <n v="2"/>
    <n v="57.7"/>
    <n v="115.4"/>
    <d v="2025-03-12T00:00:00"/>
    <d v="2025-03-14T00:00:00"/>
    <s v="M"/>
    <x v="4"/>
    <n v="3"/>
    <s v="California"/>
    <s v="San Mateo County"/>
    <n v="2"/>
    <x v="10"/>
    <x v="1"/>
  </r>
  <r>
    <s v="TX501923"/>
    <s v="Sneakers"/>
    <n v="6"/>
    <n v="85.7"/>
    <n v="514.20000000000005"/>
    <d v="2025-03-12T00:00:00"/>
    <d v="2025-03-13T00:00:00"/>
    <s v="M"/>
    <x v="3"/>
    <n v="5"/>
    <s v="California"/>
    <s v="San Mateo County"/>
    <n v="1"/>
    <x v="10"/>
    <x v="1"/>
  </r>
  <r>
    <s v="TX501924"/>
    <s v="Sneakers"/>
    <n v="3"/>
    <n v="86.9"/>
    <n v="260.70000000000005"/>
    <d v="2025-03-12T00:00:00"/>
    <d v="2025-03-14T00:00:00"/>
    <s v="F"/>
    <x v="1"/>
    <n v="4"/>
    <s v="California"/>
    <s v="Santa Clara County"/>
    <n v="2"/>
    <x v="10"/>
    <x v="2"/>
  </r>
  <r>
    <s v="TX501925"/>
    <s v="Leggings"/>
    <n v="2"/>
    <n v="46.4"/>
    <n v="92.8"/>
    <d v="2025-03-12T00:00:00"/>
    <d v="2025-03-15T00:00:00"/>
    <s v="F"/>
    <x v="4"/>
    <n v="4"/>
    <s v="California"/>
    <s v="Santa Clara County"/>
    <n v="3"/>
    <x v="10"/>
    <x v="2"/>
  </r>
  <r>
    <s v="TX501926"/>
    <s v="Sandals"/>
    <n v="3"/>
    <n v="25.4"/>
    <n v="76.199999999999989"/>
    <d v="2025-03-12T00:00:00"/>
    <d v="2025-03-12T00:00:00"/>
    <s v="F"/>
    <x v="2"/>
    <n v="5"/>
    <s v="California"/>
    <s v="Sonoma County"/>
    <n v="0"/>
    <x v="10"/>
    <x v="2"/>
  </r>
  <r>
    <s v="TX501927"/>
    <s v="Bikinis"/>
    <n v="3"/>
    <n v="47.8"/>
    <n v="143.39999999999998"/>
    <d v="2025-03-12T00:00:00"/>
    <d v="2025-03-12T00:00:00"/>
    <s v=""/>
    <x v="2"/>
    <n v="5"/>
    <s v="California"/>
    <s v="Stanislaus County"/>
    <n v="0"/>
    <x v="10"/>
    <x v="0"/>
  </r>
  <r>
    <s v="TX501928"/>
    <s v="T-Shirts"/>
    <n v="19"/>
    <n v="18.399999999999999"/>
    <n v="349.59999999999997"/>
    <d v="2025-03-12T00:00:00"/>
    <d v="2025-03-14T00:00:00"/>
    <s v="O"/>
    <x v="2"/>
    <n v="4"/>
    <s v="California"/>
    <s v="Tulare County"/>
    <n v="2"/>
    <x v="10"/>
    <x v="3"/>
  </r>
  <r>
    <s v="TX501929"/>
    <s v="Casual Dresses"/>
    <n v="3"/>
    <n v="65.5"/>
    <n v="196.5"/>
    <d v="2025-03-12T00:00:00"/>
    <d v="2025-03-20T00:00:00"/>
    <s v="F"/>
    <x v="0"/>
    <n v="4"/>
    <s v="California"/>
    <s v="Alameda County"/>
    <n v="8"/>
    <x v="10"/>
    <x v="2"/>
  </r>
  <r>
    <s v="TX501930"/>
    <s v="Bikinis"/>
    <n v="2"/>
    <n v="50.6"/>
    <n v="101.2"/>
    <d v="2025-03-12T00:00:00"/>
    <d v="2025-03-15T00:00:00"/>
    <s v="M"/>
    <x v="2"/>
    <n v="2"/>
    <s v="California"/>
    <s v="Alameda County"/>
    <n v="3"/>
    <x v="10"/>
    <x v="1"/>
  </r>
  <r>
    <s v="TX501931"/>
    <s v="Workout Tops"/>
    <n v="5"/>
    <n v="69"/>
    <n v="345"/>
    <d v="2025-03-12T00:00:00"/>
    <d v="2025-03-16T00:00:00"/>
    <s v="M"/>
    <x v="3"/>
    <n v="4"/>
    <s v="California"/>
    <s v="Alameda County"/>
    <n v="4"/>
    <x v="10"/>
    <x v="1"/>
  </r>
  <r>
    <s v="TX501932"/>
    <s v="Sundresses"/>
    <n v="8"/>
    <n v="51.1"/>
    <n v="408.8"/>
    <d v="2025-03-12T00:00:00"/>
    <d v="2025-03-14T00:00:00"/>
    <s v="F"/>
    <x v="0"/>
    <n v="4"/>
    <s v="California"/>
    <s v="Contra Costa County"/>
    <n v="2"/>
    <x v="10"/>
    <x v="2"/>
  </r>
  <r>
    <s v="TX501933"/>
    <s v="Sundresses"/>
    <n v="1"/>
    <n v="36.1"/>
    <n v="36.1"/>
    <d v="2025-03-12T00:00:00"/>
    <d v="2025-03-13T00:00:00"/>
    <s v="F"/>
    <x v="0"/>
    <n v="5"/>
    <s v="California"/>
    <s v="Kings County"/>
    <n v="1"/>
    <x v="10"/>
    <x v="2"/>
  </r>
  <r>
    <s v="TX501934"/>
    <s v="Baseball Caps"/>
    <n v="1"/>
    <n v="18.7"/>
    <n v="18.7"/>
    <d v="2025-03-12T00:00:00"/>
    <d v="2025-03-13T00:00:00"/>
    <s v="M"/>
    <x v="0"/>
    <n v="4"/>
    <s v="California"/>
    <s v="Los Angeles County"/>
    <n v="1"/>
    <x v="10"/>
    <x v="1"/>
  </r>
  <r>
    <s v="TX501935"/>
    <s v="Pajama Sets"/>
    <n v="1"/>
    <n v="30.1"/>
    <n v="30.1"/>
    <d v="2025-03-12T00:00:00"/>
    <d v="2025-03-15T00:00:00"/>
    <s v="F"/>
    <x v="3"/>
    <n v="3"/>
    <s v="California"/>
    <s v="Los Angeles County"/>
    <n v="3"/>
    <x v="10"/>
    <x v="2"/>
  </r>
  <r>
    <s v="TX501936"/>
    <s v="T-Shirts"/>
    <n v="1"/>
    <n v="16.3"/>
    <n v="16.3"/>
    <d v="2025-03-12T00:00:00"/>
    <d v="2025-03-13T00:00:00"/>
    <s v="M"/>
    <x v="3"/>
    <n v="4"/>
    <s v="California"/>
    <s v="Los Angeles County"/>
    <n v="1"/>
    <x v="10"/>
    <x v="1"/>
  </r>
  <r>
    <s v="TX501937"/>
    <s v="Tank Tops"/>
    <n v="3"/>
    <n v="63.8"/>
    <n v="191.39999999999998"/>
    <d v="2025-03-12T00:00:00"/>
    <d v="2025-03-17T00:00:00"/>
    <s v="F"/>
    <x v="2"/>
    <n v="3"/>
    <s v="California"/>
    <s v="Los Angeles County"/>
    <n v="5"/>
    <x v="10"/>
    <x v="2"/>
  </r>
  <r>
    <s v="TX501938"/>
    <s v="Tank Tops"/>
    <n v="7"/>
    <n v="73.900000000000006"/>
    <n v="517.30000000000007"/>
    <d v="2025-03-12T00:00:00"/>
    <d v="2025-03-12T00:00:00"/>
    <s v="F"/>
    <x v="0"/>
    <n v="3"/>
    <s v="California"/>
    <s v="Los Angeles County"/>
    <n v="0"/>
    <x v="10"/>
    <x v="2"/>
  </r>
  <r>
    <s v="TX501939"/>
    <s v="Shorts"/>
    <n v="2"/>
    <n v="20.2"/>
    <n v="40.4"/>
    <d v="2025-03-12T00:00:00"/>
    <d v="2025-03-13T00:00:00"/>
    <s v="M"/>
    <x v="0"/>
    <n v="3"/>
    <s v="California"/>
    <s v="Los Angeles County"/>
    <n v="1"/>
    <x v="10"/>
    <x v="1"/>
  </r>
  <r>
    <s v="TX501940"/>
    <s v="Maxi Dresses"/>
    <n v="11"/>
    <n v="29.5"/>
    <n v="324.5"/>
    <d v="2025-03-12T00:00:00"/>
    <d v="2025-03-13T00:00:00"/>
    <s v="M"/>
    <x v="0"/>
    <n v="4"/>
    <s v="California"/>
    <s v="Los Angeles County"/>
    <n v="1"/>
    <x v="10"/>
    <x v="1"/>
  </r>
  <r>
    <s v="TX501941"/>
    <s v="Crop Tops"/>
    <n v="7"/>
    <n v="37.9"/>
    <n v="265.3"/>
    <d v="2025-03-12T00:00:00"/>
    <d v="2025-03-13T00:00:00"/>
    <s v="M"/>
    <x v="1"/>
    <n v="4"/>
    <s v="California"/>
    <s v="Los Angeles County"/>
    <n v="1"/>
    <x v="10"/>
    <x v="1"/>
  </r>
  <r>
    <s v="TX501942"/>
    <s v="Sneakers"/>
    <n v="1"/>
    <n v="56.5"/>
    <n v="56.5"/>
    <d v="2025-03-12T00:00:00"/>
    <d v="2025-03-13T00:00:00"/>
    <s v="F"/>
    <x v="2"/>
    <n v="3"/>
    <s v="California"/>
    <s v="Los Angeles County"/>
    <n v="1"/>
    <x v="10"/>
    <x v="2"/>
  </r>
  <r>
    <s v="TX501943"/>
    <s v="Sneakers"/>
    <n v="2"/>
    <n v="66.900000000000006"/>
    <n v="133.80000000000001"/>
    <d v="2025-03-12T00:00:00"/>
    <d v="2025-03-18T00:00:00"/>
    <s v="M"/>
    <x v="1"/>
    <n v="2"/>
    <s v="California"/>
    <s v="Orange County"/>
    <n v="6"/>
    <x v="10"/>
    <x v="1"/>
  </r>
  <r>
    <s v="TX501944"/>
    <s v="Sneakers"/>
    <n v="5"/>
    <n v="51.9"/>
    <n v="259.5"/>
    <d v="2025-03-12T00:00:00"/>
    <d v="2025-03-15T00:00:00"/>
    <s v="M"/>
    <x v="1"/>
    <n v="4"/>
    <s v="California"/>
    <s v="San Bernardino County"/>
    <n v="3"/>
    <x v="10"/>
    <x v="1"/>
  </r>
  <r>
    <s v="TX501945"/>
    <s v="Sneakers"/>
    <n v="2"/>
    <n v="75.599999999999994"/>
    <n v="151.19999999999999"/>
    <d v="2025-03-12T00:00:00"/>
    <d v="2025-03-15T00:00:00"/>
    <s v="M"/>
    <x v="1"/>
    <n v="4"/>
    <s v="California"/>
    <s v="San Diego County"/>
    <n v="3"/>
    <x v="10"/>
    <x v="1"/>
  </r>
  <r>
    <s v="TX501946"/>
    <s v="Casual Dresses"/>
    <n v="6"/>
    <n v="47.3"/>
    <n v="283.79999999999995"/>
    <d v="2025-03-12T00:00:00"/>
    <d v="2025-03-23T00:00:00"/>
    <s v="M"/>
    <x v="0"/>
    <n v="4"/>
    <s v="California"/>
    <s v="San Diego County"/>
    <n v="11"/>
    <x v="10"/>
    <x v="1"/>
  </r>
  <r>
    <s v="TX501947"/>
    <s v="Graphic Tees"/>
    <n v="1"/>
    <n v="20.6"/>
    <n v="20.6"/>
    <d v="2025-03-12T00:00:00"/>
    <d v="2025-03-13T00:00:00"/>
    <s v=""/>
    <x v="0"/>
    <n v="3"/>
    <s v="California"/>
    <s v="San Diego County"/>
    <n v="1"/>
    <x v="10"/>
    <x v="0"/>
  </r>
  <r>
    <s v="TX501948"/>
    <s v="Jeans"/>
    <n v="3"/>
    <n v="49.7"/>
    <n v="149.10000000000002"/>
    <d v="2025-03-12T00:00:00"/>
    <d v="2025-03-14T00:00:00"/>
    <s v="M"/>
    <x v="0"/>
    <n v="3"/>
    <s v="California"/>
    <s v="San Diego County"/>
    <n v="2"/>
    <x v="10"/>
    <x v="1"/>
  </r>
  <r>
    <s v="TX501949"/>
    <s v="Workout Tops"/>
    <n v="1"/>
    <n v="37.9"/>
    <n v="37.9"/>
    <d v="2025-03-12T00:00:00"/>
    <d v="2025-03-14T00:00:00"/>
    <s v="F"/>
    <x v="0"/>
    <n v="4"/>
    <s v="California"/>
    <s v="San Diego County"/>
    <n v="2"/>
    <x v="10"/>
    <x v="2"/>
  </r>
  <r>
    <s v="TX501950"/>
    <s v="Tote Bags"/>
    <n v="15"/>
    <n v="32"/>
    <n v="480"/>
    <d v="2025-03-12T00:00:00"/>
    <d v="2025-03-14T00:00:00"/>
    <s v="F"/>
    <x v="4"/>
    <n v="4"/>
    <s v="California"/>
    <s v="Santa Clara County"/>
    <n v="2"/>
    <x v="10"/>
    <x v="2"/>
  </r>
  <r>
    <s v="TX501951"/>
    <s v="Bikinis"/>
    <n v="18"/>
    <n v="38.5"/>
    <n v="693"/>
    <d v="2025-03-13T00:00:00"/>
    <d v="2025-03-14T00:00:00"/>
    <s v="M"/>
    <x v="0"/>
    <n v="5"/>
    <s v="California"/>
    <s v="Santa Clara County"/>
    <n v="1"/>
    <x v="10"/>
    <x v="1"/>
  </r>
  <r>
    <s v="TX501952"/>
    <s v="Shorts"/>
    <n v="4"/>
    <n v="11.7"/>
    <n v="46.8"/>
    <d v="2025-03-13T00:00:00"/>
    <d v="2025-03-15T00:00:00"/>
    <s v="F"/>
    <x v="1"/>
    <n v="4"/>
    <s v="California"/>
    <s v="Tulare County"/>
    <n v="2"/>
    <x v="10"/>
    <x v="2"/>
  </r>
  <r>
    <s v="TX501953"/>
    <s v="Workout Tops"/>
    <n v="6"/>
    <n v="83.8"/>
    <n v="502.79999999999995"/>
    <d v="2025-03-13T00:00:00"/>
    <d v="2025-03-14T00:00:00"/>
    <s v="M"/>
    <x v="0"/>
    <n v="4"/>
    <s v="California"/>
    <s v="Alameda County"/>
    <n v="1"/>
    <x v="10"/>
    <x v="1"/>
  </r>
  <r>
    <s v="TX501954"/>
    <s v="Shorts"/>
    <n v="7"/>
    <n v="14"/>
    <n v="98"/>
    <d v="2025-03-13T00:00:00"/>
    <d v="2025-03-16T00:00:00"/>
    <s v="M"/>
    <x v="0"/>
    <n v="3"/>
    <s v="California"/>
    <s v="Kern County"/>
    <n v="3"/>
    <x v="10"/>
    <x v="1"/>
  </r>
  <r>
    <s v="TX501955"/>
    <s v="Sunglasses"/>
    <n v="4"/>
    <n v="77.3"/>
    <n v="309.2"/>
    <d v="2025-03-13T00:00:00"/>
    <d v="2025-03-15T00:00:00"/>
    <s v="F"/>
    <x v="4"/>
    <n v="5"/>
    <s v="California"/>
    <s v="Los Angeles County"/>
    <n v="2"/>
    <x v="10"/>
    <x v="2"/>
  </r>
  <r>
    <s v="TX501956"/>
    <s v="Sneakers"/>
    <n v="2"/>
    <n v="76.900000000000006"/>
    <n v="153.80000000000001"/>
    <d v="2025-03-13T00:00:00"/>
    <d v="2025-03-17T00:00:00"/>
    <s v="F"/>
    <x v="0"/>
    <n v="3"/>
    <s v="California"/>
    <s v="Los Angeles County"/>
    <n v="4"/>
    <x v="10"/>
    <x v="2"/>
  </r>
  <r>
    <s v="TX501957"/>
    <s v="Tank Tops"/>
    <n v="1"/>
    <n v="48"/>
    <n v="48"/>
    <d v="2025-03-13T00:00:00"/>
    <d v="2025-03-15T00:00:00"/>
    <s v="F"/>
    <x v="1"/>
    <n v="5"/>
    <s v="California"/>
    <s v="Los Angeles County"/>
    <n v="2"/>
    <x v="10"/>
    <x v="2"/>
  </r>
  <r>
    <s v="TX501958"/>
    <s v="Sneakers"/>
    <n v="1"/>
    <n v="94.5"/>
    <n v="94.5"/>
    <d v="2025-03-13T00:00:00"/>
    <d v="2025-03-16T00:00:00"/>
    <s v="M"/>
    <x v="1"/>
    <n v="3"/>
    <s v="California"/>
    <s v="Los Angeles County"/>
    <n v="3"/>
    <x v="10"/>
    <x v="1"/>
  </r>
  <r>
    <s v="TX501959"/>
    <s v="Bikinis"/>
    <n v="3"/>
    <n v="58.4"/>
    <n v="175.2"/>
    <d v="2025-03-13T00:00:00"/>
    <d v="2025-03-15T00:00:00"/>
    <s v="F"/>
    <x v="1"/>
    <n v="5"/>
    <s v="California"/>
    <s v="Los Angeles County"/>
    <n v="2"/>
    <x v="10"/>
    <x v="2"/>
  </r>
  <r>
    <s v="TX501960"/>
    <s v="Hoodies &amp; Sweatshirts"/>
    <n v="13"/>
    <n v="42.2"/>
    <n v="548.6"/>
    <d v="2025-03-13T00:00:00"/>
    <d v="2025-03-13T00:00:00"/>
    <s v="M"/>
    <x v="0"/>
    <n v="4"/>
    <s v="California"/>
    <s v="Orange County"/>
    <n v="0"/>
    <x v="10"/>
    <x v="1"/>
  </r>
  <r>
    <s v="TX501961"/>
    <s v="Jeans"/>
    <n v="2"/>
    <n v="152.19999999999999"/>
    <n v="304.39999999999998"/>
    <d v="2025-03-13T00:00:00"/>
    <d v="2025-03-14T00:00:00"/>
    <s v="M"/>
    <x v="4"/>
    <n v="3"/>
    <s v="California"/>
    <s v="Orange County"/>
    <n v="1"/>
    <x v="10"/>
    <x v="1"/>
  </r>
  <r>
    <s v="TX501962"/>
    <s v="Jeans"/>
    <n v="24"/>
    <n v="72"/>
    <n v="1728"/>
    <d v="2025-03-13T00:00:00"/>
    <d v="2025-03-14T00:00:00"/>
    <s v="M"/>
    <x v="0"/>
    <n v="3"/>
    <s v="California"/>
    <s v="Sacramento County"/>
    <n v="1"/>
    <x v="10"/>
    <x v="1"/>
  </r>
  <r>
    <s v="TX501963"/>
    <s v="Tank Tops"/>
    <n v="23"/>
    <n v="70.900000000000006"/>
    <n v="1630.7"/>
    <d v="2025-03-13T00:00:00"/>
    <d v="2025-03-14T00:00:00"/>
    <s v="F"/>
    <x v="2"/>
    <n v="4"/>
    <s v="California"/>
    <s v="San Diego County"/>
    <n v="1"/>
    <x v="10"/>
    <x v="2"/>
  </r>
  <r>
    <s v="TX501964"/>
    <s v="Sneakers"/>
    <n v="2"/>
    <n v="53.7"/>
    <n v="107.4"/>
    <d v="2025-03-13T00:00:00"/>
    <d v="2025-03-14T00:00:00"/>
    <s v="M"/>
    <x v="2"/>
    <n v="5"/>
    <s v="California"/>
    <s v="San Diego County"/>
    <n v="1"/>
    <x v="10"/>
    <x v="1"/>
  </r>
  <r>
    <s v="TX501965"/>
    <s v="Sundresses"/>
    <n v="4"/>
    <n v="42.9"/>
    <n v="171.6"/>
    <d v="2025-03-13T00:00:00"/>
    <d v="2025-03-14T00:00:00"/>
    <s v="F"/>
    <x v="2"/>
    <n v="2"/>
    <s v="California"/>
    <s v="San Mateo County"/>
    <n v="1"/>
    <x v="10"/>
    <x v="2"/>
  </r>
  <r>
    <s v="TX501966"/>
    <s v="Sneakers"/>
    <n v="7"/>
    <n v="107.5"/>
    <n v="752.5"/>
    <d v="2025-03-13T00:00:00"/>
    <d v="2025-03-14T00:00:00"/>
    <s v="M"/>
    <x v="1"/>
    <n v="4"/>
    <s v="California"/>
    <s v="Santa Clara County"/>
    <n v="1"/>
    <x v="10"/>
    <x v="1"/>
  </r>
  <r>
    <s v="TX501967"/>
    <s v="Pajama Sets"/>
    <n v="16"/>
    <n v="21.5"/>
    <n v="344"/>
    <d v="2025-03-13T00:00:00"/>
    <d v="2025-03-14T00:00:00"/>
    <s v="M"/>
    <x v="1"/>
    <n v="3"/>
    <s v="California"/>
    <s v="Santa Cruz County"/>
    <n v="1"/>
    <x v="10"/>
    <x v="1"/>
  </r>
  <r>
    <s v="TX501968"/>
    <s v="Workout Tops"/>
    <n v="5"/>
    <n v="85.3"/>
    <n v="426.5"/>
    <d v="2025-03-13T00:00:00"/>
    <d v="2025-03-15T00:00:00"/>
    <s v="F"/>
    <x v="3"/>
    <n v="4"/>
    <s v="California"/>
    <s v="Sonoma County"/>
    <n v="2"/>
    <x v="10"/>
    <x v="2"/>
  </r>
  <r>
    <s v="TX501969"/>
    <s v="Hoodies &amp; Sweatshirts"/>
    <n v="5"/>
    <n v="80.8"/>
    <n v="404"/>
    <d v="2025-03-13T00:00:00"/>
    <d v="2025-03-21T00:00:00"/>
    <s v="O"/>
    <x v="1"/>
    <n v="3"/>
    <s v="California"/>
    <s v="Stanislaus County"/>
    <n v="8"/>
    <x v="10"/>
    <x v="3"/>
  </r>
  <r>
    <s v="TX501970"/>
    <s v="Sneakers"/>
    <n v="3"/>
    <n v="123.1"/>
    <n v="369.29999999999995"/>
    <d v="2025-03-13T00:00:00"/>
    <d v="2025-03-15T00:00:00"/>
    <s v=""/>
    <x v="2"/>
    <n v="4"/>
    <s v="California"/>
    <s v="Alameda County"/>
    <n v="2"/>
    <x v="10"/>
    <x v="0"/>
  </r>
  <r>
    <s v="TX501971"/>
    <s v="T-Shirts"/>
    <n v="2"/>
    <n v="36.9"/>
    <n v="73.8"/>
    <d v="2025-03-13T00:00:00"/>
    <d v="2025-03-15T00:00:00"/>
    <s v="F"/>
    <x v="2"/>
    <n v="2"/>
    <s v="California"/>
    <s v="Butte County"/>
    <n v="2"/>
    <x v="10"/>
    <x v="2"/>
  </r>
  <r>
    <s v="TX501972"/>
    <s v="Maxi Dresses"/>
    <n v="5"/>
    <n v="40"/>
    <n v="200"/>
    <d v="2025-03-13T00:00:00"/>
    <d v="2025-03-14T00:00:00"/>
    <s v="M"/>
    <x v="0"/>
    <n v="4"/>
    <s v="California"/>
    <s v="Contra Costa County"/>
    <n v="1"/>
    <x v="10"/>
    <x v="1"/>
  </r>
  <r>
    <s v="TX501973"/>
    <s v="Jeans"/>
    <n v="3"/>
    <n v="55.5"/>
    <n v="166.5"/>
    <d v="2025-03-13T00:00:00"/>
    <d v="2025-03-14T00:00:00"/>
    <s v="M"/>
    <x v="4"/>
    <n v="5"/>
    <s v="California"/>
    <s v="Contra Costa County"/>
    <n v="1"/>
    <x v="10"/>
    <x v="1"/>
  </r>
  <r>
    <s v="TX501974"/>
    <s v="Shorts"/>
    <n v="4"/>
    <n v="20.5"/>
    <n v="82"/>
    <d v="2025-03-13T00:00:00"/>
    <d v="2025-03-17T00:00:00"/>
    <s v="F"/>
    <x v="4"/>
    <n v="4"/>
    <s v="California"/>
    <s v="Contra Costa County"/>
    <n v="4"/>
    <x v="10"/>
    <x v="2"/>
  </r>
  <r>
    <s v="TX501975"/>
    <s v="Leggings"/>
    <n v="4"/>
    <n v="50.1"/>
    <n v="200.4"/>
    <d v="2025-03-13T00:00:00"/>
    <d v="2025-03-14T00:00:00"/>
    <s v="F"/>
    <x v="4"/>
    <n v="4"/>
    <s v="California"/>
    <s v="Contra Costa County"/>
    <n v="1"/>
    <x v="10"/>
    <x v="2"/>
  </r>
  <r>
    <s v="TX501976"/>
    <s v="Sundresses"/>
    <n v="1"/>
    <n v="35.9"/>
    <n v="35.9"/>
    <d v="2025-03-13T00:00:00"/>
    <d v="2025-03-15T00:00:00"/>
    <s v="M"/>
    <x v="1"/>
    <n v="5"/>
    <s v="California"/>
    <s v="Contra Costa County"/>
    <n v="2"/>
    <x v="10"/>
    <x v="1"/>
  </r>
  <r>
    <s v="TX501977"/>
    <s v="Tote Bags"/>
    <n v="4"/>
    <n v="29.4"/>
    <n v="117.6"/>
    <d v="2025-03-14T00:00:00"/>
    <d v="2025-03-15T00:00:00"/>
    <s v="M"/>
    <x v="2"/>
    <n v="5"/>
    <s v="California"/>
    <s v="Imperial County"/>
    <n v="1"/>
    <x v="10"/>
    <x v="1"/>
  </r>
  <r>
    <s v="TX501978"/>
    <s v="T-Shirts"/>
    <n v="5"/>
    <n v="29.1"/>
    <n v="145.5"/>
    <d v="2025-03-14T00:00:00"/>
    <d v="2025-03-22T00:00:00"/>
    <s v="O"/>
    <x v="2"/>
    <n v="3"/>
    <s v="California"/>
    <s v="Imperial County"/>
    <n v="8"/>
    <x v="10"/>
    <x v="3"/>
  </r>
  <r>
    <s v="TX501979"/>
    <s v="T-Shirts"/>
    <n v="3"/>
    <n v="33.5"/>
    <n v="100.5"/>
    <d v="2025-03-14T00:00:00"/>
    <d v="2025-03-26T00:00:00"/>
    <s v="M"/>
    <x v="0"/>
    <n v="5"/>
    <s v="California"/>
    <s v="Kern County"/>
    <n v="12"/>
    <x v="10"/>
    <x v="1"/>
  </r>
  <r>
    <s v="TX501980"/>
    <s v="Graphic Tees"/>
    <n v="10"/>
    <n v="36"/>
    <n v="360"/>
    <d v="2025-03-14T00:00:00"/>
    <d v="2025-03-14T00:00:00"/>
    <s v="M"/>
    <x v="3"/>
    <n v="5"/>
    <s v="California"/>
    <s v="Los Angeles County"/>
    <n v="0"/>
    <x v="10"/>
    <x v="1"/>
  </r>
  <r>
    <s v="TX501981"/>
    <s v="Sunglasses"/>
    <n v="3"/>
    <n v="57.3"/>
    <n v="171.89999999999998"/>
    <d v="2025-03-14T00:00:00"/>
    <d v="2025-03-18T00:00:00"/>
    <s v="F"/>
    <x v="0"/>
    <n v="5"/>
    <s v="California"/>
    <s v="Los Angeles County"/>
    <n v="4"/>
    <x v="10"/>
    <x v="2"/>
  </r>
  <r>
    <s v="TX501982"/>
    <s v="Tank Tops"/>
    <n v="1"/>
    <n v="81.400000000000006"/>
    <n v="81.400000000000006"/>
    <d v="2025-03-14T00:00:00"/>
    <d v="2025-03-15T00:00:00"/>
    <s v="F"/>
    <x v="2"/>
    <n v="5"/>
    <s v="California"/>
    <s v="Los Angeles County"/>
    <n v="1"/>
    <x v="10"/>
    <x v="2"/>
  </r>
  <r>
    <s v="TX501983"/>
    <s v="Bikinis"/>
    <n v="2"/>
    <n v="35.299999999999997"/>
    <n v="70.599999999999994"/>
    <d v="2025-03-14T00:00:00"/>
    <d v="2025-03-18T00:00:00"/>
    <s v="M"/>
    <x v="0"/>
    <n v="5"/>
    <s v="California"/>
    <s v="Los Angeles County"/>
    <n v="4"/>
    <x v="10"/>
    <x v="1"/>
  </r>
  <r>
    <s v="TX501984"/>
    <s v="Workout Tops"/>
    <n v="1"/>
    <n v="36.1"/>
    <n v="36.1"/>
    <d v="2025-03-14T00:00:00"/>
    <d v="2025-03-15T00:00:00"/>
    <s v="F"/>
    <x v="4"/>
    <n v="4"/>
    <s v="California"/>
    <s v="Los Angeles County"/>
    <n v="1"/>
    <x v="10"/>
    <x v="2"/>
  </r>
  <r>
    <s v="TX501985"/>
    <s v="Tank Tops"/>
    <n v="2"/>
    <n v="36.700000000000003"/>
    <n v="73.400000000000006"/>
    <d v="2025-03-14T00:00:00"/>
    <d v="2025-03-16T00:00:00"/>
    <s v="F"/>
    <x v="0"/>
    <n v="5"/>
    <s v="California"/>
    <s v="Los Angeles County"/>
    <n v="2"/>
    <x v="10"/>
    <x v="2"/>
  </r>
  <r>
    <s v="TX501986"/>
    <s v="Bikinis"/>
    <n v="1"/>
    <n v="20.9"/>
    <n v="20.9"/>
    <d v="2025-03-14T00:00:00"/>
    <d v="2025-03-16T00:00:00"/>
    <s v="F"/>
    <x v="0"/>
    <n v="2"/>
    <s v="California"/>
    <s v="Los Angeles County"/>
    <n v="2"/>
    <x v="10"/>
    <x v="2"/>
  </r>
  <r>
    <s v="TX501987"/>
    <s v="Casual Dresses"/>
    <n v="3"/>
    <n v="58.8"/>
    <n v="176.39999999999998"/>
    <d v="2025-03-14T00:00:00"/>
    <d v="2025-03-18T00:00:00"/>
    <s v="M"/>
    <x v="0"/>
    <n v="5"/>
    <s v="California"/>
    <s v="Orange County"/>
    <n v="4"/>
    <x v="10"/>
    <x v="1"/>
  </r>
  <r>
    <s v="TX501988"/>
    <s v="Sneakers"/>
    <n v="3"/>
    <n v="97.6"/>
    <n v="292.79999999999995"/>
    <d v="2025-03-15T00:00:00"/>
    <d v="2025-03-17T00:00:00"/>
    <s v=""/>
    <x v="0"/>
    <n v="4"/>
    <s v="California"/>
    <s v="Sacramento County"/>
    <n v="2"/>
    <x v="10"/>
    <x v="0"/>
  </r>
  <r>
    <s v="TX501989"/>
    <s v="Tank Tops"/>
    <n v="2"/>
    <n v="58.7"/>
    <n v="117.4"/>
    <d v="2025-03-15T00:00:00"/>
    <d v="2025-03-18T00:00:00"/>
    <s v="F"/>
    <x v="0"/>
    <n v="3"/>
    <s v="California"/>
    <s v="Sacramento County"/>
    <n v="3"/>
    <x v="10"/>
    <x v="2"/>
  </r>
  <r>
    <s v="TX501990"/>
    <s v="Jeans"/>
    <n v="5"/>
    <n v="71.900000000000006"/>
    <n v="359.5"/>
    <d v="2025-03-15T00:00:00"/>
    <d v="2025-03-16T00:00:00"/>
    <s v=""/>
    <x v="0"/>
    <n v="3"/>
    <s v="California"/>
    <s v="Sacramento County"/>
    <n v="1"/>
    <x v="10"/>
    <x v="0"/>
  </r>
  <r>
    <s v="TX501991"/>
    <s v="Tank Tops"/>
    <n v="2"/>
    <n v="62.4"/>
    <n v="124.8"/>
    <d v="2025-03-15T00:00:00"/>
    <d v="2025-03-17T00:00:00"/>
    <s v=""/>
    <x v="0"/>
    <n v="3"/>
    <s v="California"/>
    <s v="San Diego County"/>
    <n v="2"/>
    <x v="10"/>
    <x v="0"/>
  </r>
  <r>
    <s v="TX501992"/>
    <s v="Jeans"/>
    <n v="16"/>
    <n v="53.8"/>
    <n v="860.8"/>
    <d v="2025-03-15T00:00:00"/>
    <d v="2025-03-16T00:00:00"/>
    <s v="F"/>
    <x v="1"/>
    <n v="4"/>
    <s v="California"/>
    <s v="San Diego County"/>
    <n v="1"/>
    <x v="10"/>
    <x v="2"/>
  </r>
  <r>
    <s v="TX501993"/>
    <s v="Sundresses"/>
    <n v="1"/>
    <n v="43.8"/>
    <n v="43.8"/>
    <d v="2025-03-15T00:00:00"/>
    <d v="2025-03-22T00:00:00"/>
    <s v="F"/>
    <x v="0"/>
    <n v="5"/>
    <s v="California"/>
    <s v="San Diego County"/>
    <n v="7"/>
    <x v="10"/>
    <x v="2"/>
  </r>
  <r>
    <s v="TX501994"/>
    <s v="Sandals"/>
    <n v="3"/>
    <n v="53.6"/>
    <n v="160.80000000000001"/>
    <d v="2025-03-15T00:00:00"/>
    <d v="2025-03-16T00:00:00"/>
    <s v="M"/>
    <x v="3"/>
    <n v="4"/>
    <s v="California"/>
    <s v="San Diego County"/>
    <n v="1"/>
    <x v="10"/>
    <x v="1"/>
  </r>
  <r>
    <s v="TX501995"/>
    <s v="Casual Dresses"/>
    <n v="2"/>
    <n v="84.3"/>
    <n v="168.6"/>
    <d v="2025-03-15T00:00:00"/>
    <d v="2025-03-18T00:00:00"/>
    <s v="M"/>
    <x v="4"/>
    <n v="3"/>
    <s v="California"/>
    <s v="San Diego County"/>
    <n v="3"/>
    <x v="10"/>
    <x v="1"/>
  </r>
  <r>
    <s v="TX501996"/>
    <s v="Jeans"/>
    <n v="9"/>
    <n v="117.9"/>
    <n v="1061.1000000000001"/>
    <d v="2025-03-15T00:00:00"/>
    <d v="2025-03-16T00:00:00"/>
    <s v="F"/>
    <x v="1"/>
    <n v="5"/>
    <s v="California"/>
    <s v="San Diego County"/>
    <n v="1"/>
    <x v="10"/>
    <x v="2"/>
  </r>
  <r>
    <s v="TX501997"/>
    <s v="Graphic Tees"/>
    <n v="8"/>
    <n v="30"/>
    <n v="240"/>
    <d v="2025-03-15T00:00:00"/>
    <d v="2025-03-16T00:00:00"/>
    <s v="F"/>
    <x v="1"/>
    <n v="4"/>
    <s v="California"/>
    <s v="San Joaquin County"/>
    <n v="1"/>
    <x v="10"/>
    <x v="2"/>
  </r>
  <r>
    <s v="TX501998"/>
    <s v="Baseball Caps"/>
    <n v="3"/>
    <n v="37.299999999999997"/>
    <n v="111.89999999999999"/>
    <d v="2025-03-15T00:00:00"/>
    <d v="2025-03-16T00:00:00"/>
    <s v="M"/>
    <x v="2"/>
    <n v="4"/>
    <s v="California"/>
    <s v="San Mateo County"/>
    <n v="1"/>
    <x v="10"/>
    <x v="1"/>
  </r>
  <r>
    <s v="TX501999"/>
    <s v="Graphic Tees"/>
    <n v="9"/>
    <n v="25.1"/>
    <n v="225.9"/>
    <d v="2025-03-15T00:00:00"/>
    <d v="2025-03-17T00:00:00"/>
    <s v="M"/>
    <x v="1"/>
    <n v="5"/>
    <s v="California"/>
    <s v="Santa Clara County"/>
    <n v="2"/>
    <x v="10"/>
    <x v="1"/>
  </r>
  <r>
    <s v="TX502000"/>
    <s v="T-Shirts"/>
    <n v="11"/>
    <n v="36"/>
    <n v="396"/>
    <d v="2025-03-15T00:00:00"/>
    <d v="2025-03-25T00:00:00"/>
    <s v="M"/>
    <x v="1"/>
    <n v="4"/>
    <s v="California"/>
    <s v="Sonoma County"/>
    <n v="10"/>
    <x v="10"/>
    <x v="1"/>
  </r>
  <r>
    <s v="TX502001"/>
    <s v="Sunglasses"/>
    <n v="3"/>
    <n v="48.5"/>
    <n v="145.5"/>
    <d v="2025-03-15T00:00:00"/>
    <d v="2025-03-19T00:00:00"/>
    <s v="F"/>
    <x v="1"/>
    <n v="4"/>
    <s v="California"/>
    <s v="Stanislaus County"/>
    <n v="4"/>
    <x v="10"/>
    <x v="2"/>
  </r>
  <r>
    <s v="TX502002"/>
    <s v="Pajama Sets"/>
    <n v="6"/>
    <n v="21.1"/>
    <n v="126.60000000000001"/>
    <d v="2025-03-15T00:00:00"/>
    <d v="2025-03-16T00:00:00"/>
    <s v="M"/>
    <x v="1"/>
    <n v="5"/>
    <s v="California"/>
    <s v="Alameda County"/>
    <n v="1"/>
    <x v="10"/>
    <x v="1"/>
  </r>
  <r>
    <s v="TX502003"/>
    <s v="Crop Tops"/>
    <n v="14"/>
    <n v="43.2"/>
    <n v="604.80000000000007"/>
    <d v="2025-03-15T00:00:00"/>
    <d v="2025-03-16T00:00:00"/>
    <s v="O"/>
    <x v="0"/>
    <n v="3"/>
    <s v="California"/>
    <s v="Alameda County"/>
    <n v="1"/>
    <x v="10"/>
    <x v="3"/>
  </r>
  <r>
    <s v="TX502004"/>
    <s v="Sundresses"/>
    <n v="2"/>
    <n v="21.1"/>
    <n v="42.2"/>
    <d v="2025-03-15T00:00:00"/>
    <d v="2025-03-16T00:00:00"/>
    <s v=""/>
    <x v="3"/>
    <n v="3"/>
    <s v="California"/>
    <s v="Alameda County"/>
    <n v="1"/>
    <x v="10"/>
    <x v="0"/>
  </r>
  <r>
    <s v="TX502005"/>
    <s v="Jeans"/>
    <n v="4"/>
    <n v="41.3"/>
    <n v="165.2"/>
    <d v="2025-03-15T00:00:00"/>
    <d v="2025-03-17T00:00:00"/>
    <s v="F"/>
    <x v="3"/>
    <n v="5"/>
    <s v="California"/>
    <s v="Contra Costa County"/>
    <n v="2"/>
    <x v="10"/>
    <x v="2"/>
  </r>
  <r>
    <s v="TX502006"/>
    <s v="T-Shirts"/>
    <n v="2"/>
    <n v="15.3"/>
    <n v="30.6"/>
    <d v="2025-03-15T00:00:00"/>
    <d v="2025-03-18T00:00:00"/>
    <s v=""/>
    <x v="2"/>
    <n v="5"/>
    <s v="California"/>
    <s v="Contra Costa County"/>
    <n v="3"/>
    <x v="10"/>
    <x v="0"/>
  </r>
  <r>
    <s v="TX502007"/>
    <s v="Tank Tops"/>
    <n v="1"/>
    <n v="54.6"/>
    <n v="54.6"/>
    <d v="2025-03-15T00:00:00"/>
    <d v="2025-03-17T00:00:00"/>
    <s v="M"/>
    <x v="1"/>
    <n v="3"/>
    <s v="California"/>
    <s v="Fresno County"/>
    <n v="2"/>
    <x v="10"/>
    <x v="1"/>
  </r>
  <r>
    <s v="TX502008"/>
    <s v="T-Shirts"/>
    <n v="1"/>
    <n v="15.9"/>
    <n v="15.9"/>
    <d v="2025-03-15T00:00:00"/>
    <d v="2025-03-16T00:00:00"/>
    <s v="M"/>
    <x v="0"/>
    <n v="3"/>
    <s v="California"/>
    <s v="Kern County"/>
    <n v="1"/>
    <x v="10"/>
    <x v="1"/>
  </r>
  <r>
    <s v="TX502009"/>
    <s v="Sundresses"/>
    <n v="1"/>
    <n v="50.2"/>
    <n v="50.2"/>
    <d v="2025-03-15T00:00:00"/>
    <d v="2025-03-17T00:00:00"/>
    <s v="F"/>
    <x v="3"/>
    <n v="5"/>
    <s v="California"/>
    <s v="Kings County"/>
    <n v="2"/>
    <x v="10"/>
    <x v="2"/>
  </r>
  <r>
    <s v="TX502010"/>
    <s v="Maxi Dresses"/>
    <n v="4"/>
    <n v="85.1"/>
    <n v="340.4"/>
    <d v="2025-03-15T00:00:00"/>
    <d v="2025-03-16T00:00:00"/>
    <s v="F"/>
    <x v="3"/>
    <n v="2"/>
    <s v="California"/>
    <s v="Kings County"/>
    <n v="1"/>
    <x v="10"/>
    <x v="2"/>
  </r>
  <r>
    <s v="TX502011"/>
    <s v="Maxi Dresses"/>
    <n v="2"/>
    <n v="41.4"/>
    <n v="82.8"/>
    <d v="2025-03-15T00:00:00"/>
    <d v="2025-03-16T00:00:00"/>
    <s v="F"/>
    <x v="0"/>
    <n v="5"/>
    <s v="California"/>
    <s v="Los Angeles County"/>
    <n v="1"/>
    <x v="10"/>
    <x v="2"/>
  </r>
  <r>
    <s v="TX502012"/>
    <s v="Graphic Tees"/>
    <n v="7"/>
    <n v="32.700000000000003"/>
    <n v="228.90000000000003"/>
    <d v="2025-03-15T00:00:00"/>
    <d v="2025-03-16T00:00:00"/>
    <s v="F"/>
    <x v="2"/>
    <n v="3"/>
    <s v="California"/>
    <s v="Los Angeles County"/>
    <n v="1"/>
    <x v="10"/>
    <x v="2"/>
  </r>
  <r>
    <s v="TX502013"/>
    <s v="Graphic Tees"/>
    <n v="2"/>
    <n v="41.6"/>
    <n v="83.2"/>
    <d v="2025-03-15T00:00:00"/>
    <d v="2025-03-17T00:00:00"/>
    <s v="M"/>
    <x v="4"/>
    <n v="3"/>
    <s v="California"/>
    <s v="Los Angeles County"/>
    <n v="2"/>
    <x v="10"/>
    <x v="1"/>
  </r>
  <r>
    <s v="TX502014"/>
    <s v="Sandals"/>
    <n v="4"/>
    <n v="64.8"/>
    <n v="259.2"/>
    <d v="2025-03-15T00:00:00"/>
    <d v="2025-03-16T00:00:00"/>
    <s v=""/>
    <x v="2"/>
    <n v="4"/>
    <s v="California"/>
    <s v="Los Angeles County"/>
    <n v="1"/>
    <x v="10"/>
    <x v="0"/>
  </r>
  <r>
    <s v="TX502015"/>
    <s v="Crop Tops"/>
    <n v="2"/>
    <n v="33.6"/>
    <n v="67.2"/>
    <d v="2025-03-15T00:00:00"/>
    <d v="2025-03-16T00:00:00"/>
    <s v="M"/>
    <x v="0"/>
    <n v="5"/>
    <s v="California"/>
    <s v="Los Angeles County"/>
    <n v="1"/>
    <x v="10"/>
    <x v="1"/>
  </r>
  <r>
    <s v="TX502016"/>
    <s v="Jeans"/>
    <n v="3"/>
    <n v="100.7"/>
    <n v="302.10000000000002"/>
    <d v="2025-03-15T00:00:00"/>
    <d v="2025-03-16T00:00:00"/>
    <s v=""/>
    <x v="1"/>
    <n v="4"/>
    <s v="California"/>
    <s v="Los Angeles County"/>
    <n v="1"/>
    <x v="10"/>
    <x v="0"/>
  </r>
  <r>
    <s v="TX502017"/>
    <s v="Graphic Tees"/>
    <n v="2"/>
    <n v="49.3"/>
    <n v="98.6"/>
    <d v="2025-03-16T00:00:00"/>
    <d v="2025-03-18T00:00:00"/>
    <s v="F"/>
    <x v="4"/>
    <n v="5"/>
    <s v="California"/>
    <s v="Los Angeles County"/>
    <n v="2"/>
    <x v="10"/>
    <x v="2"/>
  </r>
  <r>
    <s v="TX502018"/>
    <s v="Sneakers"/>
    <n v="6"/>
    <n v="97"/>
    <n v="582"/>
    <d v="2025-03-16T00:00:00"/>
    <d v="2025-03-19T00:00:00"/>
    <s v="M"/>
    <x v="2"/>
    <n v="5"/>
    <s v="California"/>
    <s v="Los Angeles County"/>
    <n v="3"/>
    <x v="10"/>
    <x v="1"/>
  </r>
  <r>
    <s v="TX502019"/>
    <s v="Shorts"/>
    <n v="6"/>
    <n v="25.2"/>
    <n v="151.19999999999999"/>
    <d v="2025-03-16T00:00:00"/>
    <d v="2025-03-19T00:00:00"/>
    <s v="F"/>
    <x v="4"/>
    <n v="5"/>
    <s v="California"/>
    <s v="Los Angeles County"/>
    <n v="3"/>
    <x v="10"/>
    <x v="2"/>
  </r>
  <r>
    <s v="TX502020"/>
    <s v="Shorts"/>
    <n v="11"/>
    <n v="12.2"/>
    <n v="134.19999999999999"/>
    <d v="2025-03-16T00:00:00"/>
    <d v="2025-03-17T00:00:00"/>
    <s v=""/>
    <x v="0"/>
    <n v="3"/>
    <s v="California"/>
    <s v="Los Angeles County"/>
    <n v="1"/>
    <x v="10"/>
    <x v="0"/>
  </r>
  <r>
    <s v="TX502021"/>
    <s v="T-Shirts"/>
    <n v="7"/>
    <n v="38.799999999999997"/>
    <n v="271.59999999999997"/>
    <d v="2025-03-16T00:00:00"/>
    <d v="2025-03-18T00:00:00"/>
    <s v="F"/>
    <x v="1"/>
    <n v="3"/>
    <s v="California"/>
    <s v="Riverside County"/>
    <n v="2"/>
    <x v="10"/>
    <x v="2"/>
  </r>
  <r>
    <s v="TX502022"/>
    <s v="Sneakers"/>
    <n v="4"/>
    <n v="53.2"/>
    <n v="212.8"/>
    <d v="2025-03-16T00:00:00"/>
    <d v="2025-03-17T00:00:00"/>
    <s v="M"/>
    <x v="0"/>
    <n v="5"/>
    <s v="California"/>
    <s v="San Diego County"/>
    <n v="1"/>
    <x v="10"/>
    <x v="1"/>
  </r>
  <r>
    <s v="TX502023"/>
    <s v="Jeans"/>
    <n v="7"/>
    <n v="151"/>
    <n v="1057"/>
    <d v="2025-03-16T00:00:00"/>
    <d v="2025-03-17T00:00:00"/>
    <s v="O"/>
    <x v="1"/>
    <n v="3"/>
    <s v="California"/>
    <s v="San Diego County"/>
    <n v="1"/>
    <x v="10"/>
    <x v="3"/>
  </r>
  <r>
    <s v="TX502024"/>
    <s v="Tank Tops"/>
    <n v="2"/>
    <n v="37.1"/>
    <n v="74.2"/>
    <d v="2025-03-16T00:00:00"/>
    <d v="2025-03-17T00:00:00"/>
    <s v="F"/>
    <x v="4"/>
    <n v="4"/>
    <s v="California"/>
    <s v="San Diego County"/>
    <n v="1"/>
    <x v="10"/>
    <x v="2"/>
  </r>
  <r>
    <s v="TX502025"/>
    <s v="Sandals"/>
    <n v="2"/>
    <n v="38.9"/>
    <n v="77.8"/>
    <d v="2025-03-16T00:00:00"/>
    <d v="2025-03-17T00:00:00"/>
    <s v="M"/>
    <x v="4"/>
    <n v="4"/>
    <s v="California"/>
    <s v="San Diego County"/>
    <n v="1"/>
    <x v="10"/>
    <x v="1"/>
  </r>
  <r>
    <s v="TX502026"/>
    <s v="Bikinis"/>
    <n v="2"/>
    <n v="35.200000000000003"/>
    <n v="70.400000000000006"/>
    <d v="2025-03-16T00:00:00"/>
    <d v="2025-03-17T00:00:00"/>
    <s v="M"/>
    <x v="0"/>
    <n v="5"/>
    <s v="California"/>
    <s v="San Francisco"/>
    <n v="1"/>
    <x v="10"/>
    <x v="1"/>
  </r>
  <r>
    <s v="TX502027"/>
    <s v="Shorts"/>
    <n v="2"/>
    <n v="22.3"/>
    <n v="44.6"/>
    <d v="2025-03-16T00:00:00"/>
    <d v="2025-03-18T00:00:00"/>
    <s v="F"/>
    <x v="1"/>
    <n v="4"/>
    <s v="California"/>
    <s v="San Mateo County"/>
    <n v="2"/>
    <x v="10"/>
    <x v="2"/>
  </r>
  <r>
    <s v="TX502028"/>
    <s v="Sundresses"/>
    <n v="1"/>
    <n v="43.3"/>
    <n v="43.3"/>
    <d v="2025-03-16T00:00:00"/>
    <d v="2025-03-19T00:00:00"/>
    <s v="F"/>
    <x v="0"/>
    <n v="5"/>
    <s v="California"/>
    <s v="Santa Clara County"/>
    <n v="3"/>
    <x v="10"/>
    <x v="2"/>
  </r>
  <r>
    <s v="TX502029"/>
    <s v="Jeans"/>
    <n v="6"/>
    <n v="75.900000000000006"/>
    <n v="455.40000000000003"/>
    <d v="2025-03-16T00:00:00"/>
    <d v="2025-03-22T00:00:00"/>
    <s v="M"/>
    <x v="0"/>
    <n v="4"/>
    <s v="California"/>
    <s v="Santa Clara County"/>
    <n v="6"/>
    <x v="10"/>
    <x v="1"/>
  </r>
  <r>
    <s v="TX502030"/>
    <s v="Jeans"/>
    <n v="3"/>
    <n v="78.7"/>
    <n v="236.10000000000002"/>
    <d v="2025-03-16T00:00:00"/>
    <d v="2025-03-20T00:00:00"/>
    <s v="F"/>
    <x v="2"/>
    <n v="3"/>
    <s v="California"/>
    <s v="Santa Clara County"/>
    <n v="4"/>
    <x v="10"/>
    <x v="2"/>
  </r>
  <r>
    <s v="TX502031"/>
    <s v="Tank Tops"/>
    <n v="1"/>
    <n v="66.3"/>
    <n v="66.3"/>
    <d v="2025-03-16T00:00:00"/>
    <d v="2025-03-20T00:00:00"/>
    <s v="F"/>
    <x v="0"/>
    <n v="5"/>
    <s v="California"/>
    <s v="Stanislaus County"/>
    <n v="4"/>
    <x v="10"/>
    <x v="2"/>
  </r>
  <r>
    <s v="TX502032"/>
    <s v="T-Shirts"/>
    <n v="2"/>
    <n v="33.6"/>
    <n v="67.2"/>
    <d v="2025-03-16T00:00:00"/>
    <d v="2025-03-16T00:00:00"/>
    <s v="M"/>
    <x v="0"/>
    <n v="3"/>
    <s v="California"/>
    <s v="Stanislaus County"/>
    <n v="0"/>
    <x v="10"/>
    <x v="1"/>
  </r>
  <r>
    <s v="TX502033"/>
    <s v="Sneakers"/>
    <n v="7"/>
    <n v="61.4"/>
    <n v="429.8"/>
    <d v="2025-03-16T00:00:00"/>
    <d v="2025-03-17T00:00:00"/>
    <s v="M"/>
    <x v="4"/>
    <n v="4"/>
    <s v="California"/>
    <s v="Stanislaus County"/>
    <n v="1"/>
    <x v="10"/>
    <x v="1"/>
  </r>
  <r>
    <s v="TX502034"/>
    <s v="T-Shirts"/>
    <n v="2"/>
    <n v="17.5"/>
    <n v="35"/>
    <d v="2025-03-16T00:00:00"/>
    <d v="2025-03-19T00:00:00"/>
    <s v="F"/>
    <x v="0"/>
    <n v="4"/>
    <s v="California"/>
    <s v="Alameda County"/>
    <n v="3"/>
    <x v="10"/>
    <x v="2"/>
  </r>
  <r>
    <s v="TX502035"/>
    <s v="T-Shirts"/>
    <n v="2"/>
    <n v="32.5"/>
    <n v="65"/>
    <d v="2025-03-16T00:00:00"/>
    <d v="2025-03-19T00:00:00"/>
    <s v="F"/>
    <x v="1"/>
    <n v="4"/>
    <s v="California"/>
    <s v="Alameda County"/>
    <n v="3"/>
    <x v="10"/>
    <x v="2"/>
  </r>
  <r>
    <s v="TX502036"/>
    <s v="Graphic Tees"/>
    <n v="1"/>
    <n v="34.6"/>
    <n v="34.6"/>
    <d v="2025-03-16T00:00:00"/>
    <d v="2025-03-17T00:00:00"/>
    <s v="F"/>
    <x v="4"/>
    <n v="4"/>
    <s v="California"/>
    <s v="Alameda County"/>
    <n v="1"/>
    <x v="10"/>
    <x v="2"/>
  </r>
  <r>
    <s v="TX502037"/>
    <s v="Sneakers"/>
    <n v="1"/>
    <n v="75.900000000000006"/>
    <n v="75.900000000000006"/>
    <d v="2025-03-16T00:00:00"/>
    <d v="2025-03-16T00:00:00"/>
    <s v="M"/>
    <x v="1"/>
    <n v="5"/>
    <s v="California"/>
    <s v="Alameda County"/>
    <n v="0"/>
    <x v="10"/>
    <x v="1"/>
  </r>
  <r>
    <s v="TX502038"/>
    <s v="Tank Tops"/>
    <n v="3"/>
    <n v="42.1"/>
    <n v="126.30000000000001"/>
    <d v="2025-03-16T00:00:00"/>
    <d v="2025-03-19T00:00:00"/>
    <s v="M"/>
    <x v="1"/>
    <n v="3"/>
    <s v="California"/>
    <s v="Alameda County"/>
    <n v="3"/>
    <x v="10"/>
    <x v="1"/>
  </r>
  <r>
    <s v="TX502039"/>
    <s v="Hoodies &amp; Sweatshirts"/>
    <n v="3"/>
    <n v="65.3"/>
    <n v="195.89999999999998"/>
    <d v="2025-03-16T00:00:00"/>
    <d v="2025-03-23T00:00:00"/>
    <s v="M"/>
    <x v="0"/>
    <n v="4"/>
    <s v="California"/>
    <s v="Contra Costa County"/>
    <n v="7"/>
    <x v="10"/>
    <x v="1"/>
  </r>
  <r>
    <s v="TX502040"/>
    <s v="Crop Tops"/>
    <n v="1"/>
    <n v="20.6"/>
    <n v="20.6"/>
    <d v="2025-03-16T00:00:00"/>
    <d v="2025-03-19T00:00:00"/>
    <s v="M"/>
    <x v="3"/>
    <n v="4"/>
    <s v="California"/>
    <s v="El Dorado County"/>
    <n v="3"/>
    <x v="10"/>
    <x v="1"/>
  </r>
  <r>
    <s v="TX502041"/>
    <s v="T-Shirts"/>
    <n v="7"/>
    <n v="16.5"/>
    <n v="115.5"/>
    <d v="2025-03-16T00:00:00"/>
    <d v="2025-03-17T00:00:00"/>
    <s v="M"/>
    <x v="1"/>
    <n v="3"/>
    <s v="California"/>
    <s v="Fresno County"/>
    <n v="1"/>
    <x v="10"/>
    <x v="1"/>
  </r>
  <r>
    <s v="TX502042"/>
    <s v="Sunglasses"/>
    <n v="10"/>
    <n v="36.200000000000003"/>
    <n v="362"/>
    <d v="2025-03-16T00:00:00"/>
    <d v="2025-03-18T00:00:00"/>
    <s v="M"/>
    <x v="0"/>
    <n v="5"/>
    <s v="California"/>
    <s v="Fresno County"/>
    <n v="2"/>
    <x v="10"/>
    <x v="1"/>
  </r>
  <r>
    <s v="TX502043"/>
    <s v="Jeans"/>
    <n v="1"/>
    <n v="53.2"/>
    <n v="53.2"/>
    <d v="2025-03-16T00:00:00"/>
    <d v="2025-03-17T00:00:00"/>
    <s v="F"/>
    <x v="0"/>
    <n v="3"/>
    <s v="California"/>
    <s v="Kern County"/>
    <n v="1"/>
    <x v="10"/>
    <x v="2"/>
  </r>
  <r>
    <s v="TX502044"/>
    <s v="Sneakers"/>
    <n v="14"/>
    <n v="176"/>
    <n v="2464"/>
    <d v="2025-03-16T00:00:00"/>
    <d v="2025-03-17T00:00:00"/>
    <s v="F"/>
    <x v="0"/>
    <n v="3"/>
    <s v="California"/>
    <s v="Los Angeles County"/>
    <n v="1"/>
    <x v="10"/>
    <x v="2"/>
  </r>
  <r>
    <s v="TX502045"/>
    <s v="Tank Tops"/>
    <n v="1"/>
    <n v="52.4"/>
    <n v="52.4"/>
    <d v="2025-03-16T00:00:00"/>
    <d v="2025-03-17T00:00:00"/>
    <s v="M"/>
    <x v="1"/>
    <n v="4"/>
    <s v="California"/>
    <s v="Los Angeles County"/>
    <n v="1"/>
    <x v="10"/>
    <x v="1"/>
  </r>
  <r>
    <s v="TX502046"/>
    <s v="Bikinis"/>
    <n v="3"/>
    <n v="48.2"/>
    <n v="144.60000000000002"/>
    <d v="2025-03-16T00:00:00"/>
    <d v="2025-03-17T00:00:00"/>
    <s v="F"/>
    <x v="1"/>
    <n v="5"/>
    <s v="California"/>
    <s v="Los Angeles County"/>
    <n v="1"/>
    <x v="10"/>
    <x v="2"/>
  </r>
  <r>
    <s v="TX502047"/>
    <s v="Crop Tops"/>
    <n v="1"/>
    <n v="51.6"/>
    <n v="51.6"/>
    <d v="2025-03-16T00:00:00"/>
    <d v="2025-03-20T00:00:00"/>
    <s v="F"/>
    <x v="2"/>
    <n v="3"/>
    <s v="California"/>
    <s v="Los Angeles County"/>
    <n v="4"/>
    <x v="10"/>
    <x v="2"/>
  </r>
  <r>
    <s v="TX502048"/>
    <s v="Shorts"/>
    <n v="4"/>
    <n v="33.700000000000003"/>
    <n v="134.80000000000001"/>
    <d v="2025-03-17T00:00:00"/>
    <d v="2025-03-18T00:00:00"/>
    <s v="M"/>
    <x v="0"/>
    <n v="4"/>
    <s v="California"/>
    <s v="Los Angeles County"/>
    <n v="1"/>
    <x v="11"/>
    <x v="1"/>
  </r>
  <r>
    <s v="TX502049"/>
    <s v="Graphic Tees"/>
    <n v="10"/>
    <n v="36.299999999999997"/>
    <n v="363"/>
    <d v="2025-03-17T00:00:00"/>
    <d v="2025-03-19T00:00:00"/>
    <s v="F"/>
    <x v="4"/>
    <n v="3"/>
    <s v="California"/>
    <s v="Los Angeles County"/>
    <n v="2"/>
    <x v="11"/>
    <x v="2"/>
  </r>
  <r>
    <s v="TX502050"/>
    <s v="T-Shirts"/>
    <n v="1"/>
    <n v="23.4"/>
    <n v="23.4"/>
    <d v="2025-03-17T00:00:00"/>
    <d v="2025-03-22T00:00:00"/>
    <s v="F"/>
    <x v="1"/>
    <n v="5"/>
    <s v="California"/>
    <s v="Los Angeles County"/>
    <n v="5"/>
    <x v="11"/>
    <x v="2"/>
  </r>
  <r>
    <s v="TX502051"/>
    <s v="Crop Tops"/>
    <n v="8"/>
    <n v="56.6"/>
    <n v="452.8"/>
    <d v="2025-03-17T00:00:00"/>
    <d v="2025-03-19T00:00:00"/>
    <s v="F"/>
    <x v="1"/>
    <n v="4"/>
    <s v="California"/>
    <s v="Los Angeles County"/>
    <n v="2"/>
    <x v="11"/>
    <x v="2"/>
  </r>
  <r>
    <s v="TX502052"/>
    <s v="Crop Tops"/>
    <n v="2"/>
    <n v="26.8"/>
    <n v="53.6"/>
    <d v="2025-03-17T00:00:00"/>
    <d v="2025-03-18T00:00:00"/>
    <s v="M"/>
    <x v="0"/>
    <n v="4"/>
    <s v="California"/>
    <s v="Nevada County"/>
    <n v="1"/>
    <x v="11"/>
    <x v="1"/>
  </r>
  <r>
    <s v="TX502053"/>
    <s v="Shorts"/>
    <n v="3"/>
    <n v="11.3"/>
    <n v="33.900000000000006"/>
    <d v="2025-03-17T00:00:00"/>
    <d v="2025-03-19T00:00:00"/>
    <s v="M"/>
    <x v="2"/>
    <n v="4"/>
    <s v="California"/>
    <s v="Orange County"/>
    <n v="2"/>
    <x v="11"/>
    <x v="1"/>
  </r>
  <r>
    <s v="TX502054"/>
    <s v="Jeans"/>
    <n v="3"/>
    <n v="60.1"/>
    <n v="180.3"/>
    <d v="2025-03-17T00:00:00"/>
    <d v="2025-03-20T00:00:00"/>
    <s v="F"/>
    <x v="0"/>
    <n v="4"/>
    <s v="California"/>
    <s v="San Bernardino County"/>
    <n v="3"/>
    <x v="11"/>
    <x v="2"/>
  </r>
  <r>
    <s v="TX502055"/>
    <s v="Shorts"/>
    <n v="11"/>
    <n v="27.7"/>
    <n v="304.7"/>
    <d v="2025-03-17T00:00:00"/>
    <d v="2025-03-22T00:00:00"/>
    <s v="F"/>
    <x v="0"/>
    <n v="4"/>
    <s v="California"/>
    <s v="San Diego County"/>
    <n v="5"/>
    <x v="11"/>
    <x v="2"/>
  </r>
  <r>
    <s v="TX502056"/>
    <s v="Crop Tops"/>
    <n v="1"/>
    <n v="71.400000000000006"/>
    <n v="71.400000000000006"/>
    <d v="2025-03-17T00:00:00"/>
    <d v="2025-03-20T00:00:00"/>
    <s v="M"/>
    <x v="0"/>
    <n v="5"/>
    <s v="California"/>
    <s v="San Diego County"/>
    <n v="3"/>
    <x v="11"/>
    <x v="1"/>
  </r>
  <r>
    <s v="TX502057"/>
    <s v="Sneakers"/>
    <n v="2"/>
    <n v="66.7"/>
    <n v="133.4"/>
    <d v="2025-03-17T00:00:00"/>
    <d v="2025-03-18T00:00:00"/>
    <s v="F"/>
    <x v="0"/>
    <n v="5"/>
    <s v="California"/>
    <s v="San Diego County"/>
    <n v="1"/>
    <x v="11"/>
    <x v="2"/>
  </r>
  <r>
    <s v="TX502058"/>
    <s v="Tote Bags"/>
    <n v="5"/>
    <n v="39.1"/>
    <n v="195.5"/>
    <d v="2025-03-17T00:00:00"/>
    <d v="2025-03-18T00:00:00"/>
    <s v="F"/>
    <x v="0"/>
    <n v="4"/>
    <s v="California"/>
    <s v="San Diego County"/>
    <n v="1"/>
    <x v="11"/>
    <x v="2"/>
  </r>
  <r>
    <s v="TX502059"/>
    <s v="T-Shirts"/>
    <n v="4"/>
    <n v="24.9"/>
    <n v="99.6"/>
    <d v="2025-03-17T00:00:00"/>
    <d v="2025-03-22T00:00:00"/>
    <s v="M"/>
    <x v="1"/>
    <n v="5"/>
    <s v="California"/>
    <s v="San Diego County"/>
    <n v="5"/>
    <x v="11"/>
    <x v="1"/>
  </r>
  <r>
    <s v="TX502060"/>
    <s v="Sandals"/>
    <n v="5"/>
    <n v="29.2"/>
    <n v="146"/>
    <d v="2025-03-17T00:00:00"/>
    <d v="2025-03-18T00:00:00"/>
    <s v="M"/>
    <x v="0"/>
    <n v="5"/>
    <s v="California"/>
    <s v="San Francisco"/>
    <n v="1"/>
    <x v="11"/>
    <x v="1"/>
  </r>
  <r>
    <s v="TX502061"/>
    <s v="Tote Bags"/>
    <n v="14"/>
    <n v="28.3"/>
    <n v="396.2"/>
    <d v="2025-03-17T00:00:00"/>
    <d v="2025-03-19T00:00:00"/>
    <s v="F"/>
    <x v="1"/>
    <n v="4"/>
    <s v="California"/>
    <s v="Santa Clara County"/>
    <n v="2"/>
    <x v="11"/>
    <x v="2"/>
  </r>
  <r>
    <s v="TX502062"/>
    <s v="Sundresses"/>
    <n v="3"/>
    <n v="37.799999999999997"/>
    <n v="113.39999999999999"/>
    <d v="2025-03-17T00:00:00"/>
    <d v="2025-03-18T00:00:00"/>
    <s v="F"/>
    <x v="0"/>
    <n v="3"/>
    <s v="California"/>
    <s v="Santa Clara County"/>
    <n v="1"/>
    <x v="11"/>
    <x v="2"/>
  </r>
  <r>
    <s v="TX502063"/>
    <s v="Baseball Caps"/>
    <n v="7"/>
    <n v="28.1"/>
    <n v="196.70000000000002"/>
    <d v="2025-03-17T00:00:00"/>
    <d v="2025-03-23T00:00:00"/>
    <s v="F"/>
    <x v="2"/>
    <n v="4"/>
    <s v="California"/>
    <s v="Santa Clara County"/>
    <n v="6"/>
    <x v="11"/>
    <x v="2"/>
  </r>
  <r>
    <s v="TX502064"/>
    <s v="Tank Tops"/>
    <n v="3"/>
    <n v="59.7"/>
    <n v="179.10000000000002"/>
    <d v="2025-03-17T00:00:00"/>
    <d v="2025-03-19T00:00:00"/>
    <s v="F"/>
    <x v="2"/>
    <n v="4"/>
    <s v="California"/>
    <s v="Santa Clara County"/>
    <n v="2"/>
    <x v="11"/>
    <x v="2"/>
  </r>
  <r>
    <s v="TX502065"/>
    <s v="Sunglasses"/>
    <n v="1"/>
    <n v="71.900000000000006"/>
    <n v="71.900000000000006"/>
    <d v="2025-03-17T00:00:00"/>
    <d v="2025-03-18T00:00:00"/>
    <s v="M"/>
    <x v="1"/>
    <n v="3"/>
    <s v="California"/>
    <s v="Santa Clara County"/>
    <n v="1"/>
    <x v="11"/>
    <x v="1"/>
  </r>
  <r>
    <s v="TX502066"/>
    <s v="Tank Tops"/>
    <n v="2"/>
    <n v="56.9"/>
    <n v="113.8"/>
    <d v="2025-03-17T00:00:00"/>
    <d v="2025-03-18T00:00:00"/>
    <s v="M"/>
    <x v="2"/>
    <n v="4"/>
    <s v="California"/>
    <s v="Ventura County"/>
    <n v="1"/>
    <x v="11"/>
    <x v="1"/>
  </r>
  <r>
    <s v="TX502067"/>
    <s v="T-Shirts"/>
    <n v="2"/>
    <n v="15.8"/>
    <n v="31.6"/>
    <d v="2025-03-17T00:00:00"/>
    <d v="2025-03-20T00:00:00"/>
    <s v="F"/>
    <x v="2"/>
    <n v="3"/>
    <s v="California"/>
    <s v="Contra Costa County"/>
    <n v="3"/>
    <x v="11"/>
    <x v="2"/>
  </r>
  <r>
    <s v="TX502068"/>
    <s v="Maxi Dresses"/>
    <n v="4"/>
    <n v="61.7"/>
    <n v="246.8"/>
    <d v="2025-03-17T00:00:00"/>
    <d v="2025-03-19T00:00:00"/>
    <s v="F"/>
    <x v="2"/>
    <n v="4"/>
    <s v="California"/>
    <s v="Kern County"/>
    <n v="2"/>
    <x v="11"/>
    <x v="2"/>
  </r>
  <r>
    <s v="TX502069"/>
    <s v="Sneakers"/>
    <n v="10"/>
    <n v="105.2"/>
    <n v="1052"/>
    <d v="2025-03-17T00:00:00"/>
    <d v="2025-03-19T00:00:00"/>
    <s v="M"/>
    <x v="1"/>
    <n v="2"/>
    <s v="California"/>
    <s v="Los Angeles County"/>
    <n v="2"/>
    <x v="11"/>
    <x v="1"/>
  </r>
  <r>
    <s v="TX502070"/>
    <s v="Shorts"/>
    <n v="2"/>
    <n v="17"/>
    <n v="34"/>
    <d v="2025-03-17T00:00:00"/>
    <d v="2025-03-19T00:00:00"/>
    <s v="F"/>
    <x v="2"/>
    <n v="4"/>
    <s v="California"/>
    <s v="Los Angeles County"/>
    <n v="2"/>
    <x v="11"/>
    <x v="2"/>
  </r>
  <r>
    <s v="TX502071"/>
    <s v="Jeans"/>
    <n v="3"/>
    <n v="84.1"/>
    <n v="252.29999999999998"/>
    <d v="2025-03-17T00:00:00"/>
    <d v="2025-03-18T00:00:00"/>
    <s v="M"/>
    <x v="2"/>
    <n v="4"/>
    <s v="California"/>
    <s v="Los Angeles County"/>
    <n v="1"/>
    <x v="11"/>
    <x v="1"/>
  </r>
  <r>
    <s v="TX502072"/>
    <s v="Workout Tops"/>
    <n v="4"/>
    <n v="59.5"/>
    <n v="238"/>
    <d v="2025-03-17T00:00:00"/>
    <d v="2025-03-22T00:00:00"/>
    <s v="M"/>
    <x v="0"/>
    <n v="5"/>
    <s v="California"/>
    <s v="Los Angeles County"/>
    <n v="5"/>
    <x v="11"/>
    <x v="1"/>
  </r>
  <r>
    <s v="TX502073"/>
    <s v="T-Shirts"/>
    <n v="2"/>
    <n v="57.5"/>
    <n v="115"/>
    <d v="2025-03-17T00:00:00"/>
    <d v="2025-03-19T00:00:00"/>
    <s v="M"/>
    <x v="1"/>
    <n v="5"/>
    <s v="California"/>
    <s v="Los Angeles County"/>
    <n v="2"/>
    <x v="11"/>
    <x v="1"/>
  </r>
  <r>
    <s v="TX502074"/>
    <s v="T-Shirts"/>
    <n v="1"/>
    <n v="34.299999999999997"/>
    <n v="34.299999999999997"/>
    <d v="2025-03-17T00:00:00"/>
    <d v="2025-03-18T00:00:00"/>
    <s v="F"/>
    <x v="4"/>
    <n v="5"/>
    <s v="California"/>
    <s v="Los Angeles County"/>
    <n v="1"/>
    <x v="11"/>
    <x v="2"/>
  </r>
  <r>
    <s v="TX502075"/>
    <s v="Sandals"/>
    <n v="2"/>
    <n v="27.8"/>
    <n v="55.6"/>
    <d v="2025-03-18T00:00:00"/>
    <d v="2025-03-20T00:00:00"/>
    <s v="F"/>
    <x v="0"/>
    <n v="4"/>
    <s v="California"/>
    <s v="Los Angeles County"/>
    <n v="2"/>
    <x v="11"/>
    <x v="2"/>
  </r>
  <r>
    <s v="TX502076"/>
    <s v="Casual Dresses"/>
    <n v="2"/>
    <n v="85"/>
    <n v="170"/>
    <d v="2025-03-18T00:00:00"/>
    <d v="2025-03-18T00:00:00"/>
    <s v="M"/>
    <x v="2"/>
    <n v="5"/>
    <s v="California"/>
    <s v="Los Angeles County"/>
    <n v="0"/>
    <x v="11"/>
    <x v="1"/>
  </r>
  <r>
    <s v="TX502077"/>
    <s v="Jeans"/>
    <n v="2"/>
    <n v="95"/>
    <n v="190"/>
    <d v="2025-03-18T00:00:00"/>
    <d v="2025-03-20T00:00:00"/>
    <s v="F"/>
    <x v="0"/>
    <n v="4"/>
    <s v="California"/>
    <s v="Los Angeles County"/>
    <n v="2"/>
    <x v="11"/>
    <x v="2"/>
  </r>
  <r>
    <s v="TX502078"/>
    <s v="Sunglasses"/>
    <n v="2"/>
    <n v="32"/>
    <n v="64"/>
    <d v="2025-03-18T00:00:00"/>
    <d v="2025-03-20T00:00:00"/>
    <s v="M"/>
    <x v="0"/>
    <n v="3"/>
    <s v="California"/>
    <s v="Los Angeles County"/>
    <n v="2"/>
    <x v="11"/>
    <x v="1"/>
  </r>
  <r>
    <s v="TX502079"/>
    <s v="Sneakers"/>
    <n v="2"/>
    <n v="65.2"/>
    <n v="130.4"/>
    <d v="2025-03-18T00:00:00"/>
    <d v="2025-03-19T00:00:00"/>
    <s v="F"/>
    <x v="1"/>
    <n v="4"/>
    <s v="California"/>
    <s v="Los Angeles County"/>
    <n v="1"/>
    <x v="11"/>
    <x v="2"/>
  </r>
  <r>
    <s v="TX502080"/>
    <s v="Pajama Sets"/>
    <n v="4"/>
    <n v="22"/>
    <n v="88"/>
    <d v="2025-03-18T00:00:00"/>
    <d v="2025-03-19T00:00:00"/>
    <s v="M"/>
    <x v="1"/>
    <n v="5"/>
    <s v="California"/>
    <s v="Los Angeles County"/>
    <n v="1"/>
    <x v="11"/>
    <x v="1"/>
  </r>
  <r>
    <s v="TX502081"/>
    <s v="Crop Tops"/>
    <n v="3"/>
    <n v="69.400000000000006"/>
    <n v="208.20000000000002"/>
    <d v="2025-03-18T00:00:00"/>
    <d v="2025-03-21T00:00:00"/>
    <s v="M"/>
    <x v="1"/>
    <n v="5"/>
    <s v="California"/>
    <s v="Los Angeles County"/>
    <n v="3"/>
    <x v="11"/>
    <x v="1"/>
  </r>
  <r>
    <s v="TX502082"/>
    <s v="Bikinis"/>
    <n v="6"/>
    <n v="31.5"/>
    <n v="189"/>
    <d v="2025-03-18T00:00:00"/>
    <d v="2025-03-20T00:00:00"/>
    <s v="F"/>
    <x v="0"/>
    <n v="5"/>
    <s v="California"/>
    <s v="Los Angeles County"/>
    <n v="2"/>
    <x v="11"/>
    <x v="2"/>
  </r>
  <r>
    <s v="TX502083"/>
    <s v="Jeans"/>
    <n v="1"/>
    <n v="45.8"/>
    <n v="45.8"/>
    <d v="2025-03-18T00:00:00"/>
    <d v="2025-03-22T00:00:00"/>
    <s v="O"/>
    <x v="0"/>
    <n v="4"/>
    <s v="California"/>
    <s v="Los Angeles County"/>
    <n v="4"/>
    <x v="11"/>
    <x v="3"/>
  </r>
  <r>
    <s v="TX502084"/>
    <s v="Jewelry"/>
    <n v="4"/>
    <n v="12.8"/>
    <n v="51.2"/>
    <d v="2025-03-18T00:00:00"/>
    <d v="2025-03-25T00:00:00"/>
    <s v="F"/>
    <x v="1"/>
    <n v="3"/>
    <s v="California"/>
    <s v="Placer County"/>
    <n v="7"/>
    <x v="11"/>
    <x v="2"/>
  </r>
  <r>
    <s v="TX502085"/>
    <s v="Sandals"/>
    <n v="3"/>
    <n v="115.3"/>
    <n v="345.9"/>
    <d v="2025-03-18T00:00:00"/>
    <d v="2025-03-19T00:00:00"/>
    <s v="F"/>
    <x v="2"/>
    <n v="5"/>
    <s v="California"/>
    <s v="Sacramento County"/>
    <n v="1"/>
    <x v="11"/>
    <x v="2"/>
  </r>
  <r>
    <s v="TX502086"/>
    <s v="Sandals"/>
    <n v="2"/>
    <n v="85"/>
    <n v="170"/>
    <d v="2025-03-18T00:00:00"/>
    <d v="2025-03-20T00:00:00"/>
    <s v="F"/>
    <x v="1"/>
    <n v="4"/>
    <s v="California"/>
    <s v="San Bernardino County"/>
    <n v="2"/>
    <x v="11"/>
    <x v="2"/>
  </r>
  <r>
    <s v="TX502087"/>
    <s v="T-Shirts"/>
    <n v="3"/>
    <n v="56.6"/>
    <n v="169.8"/>
    <d v="2025-03-18T00:00:00"/>
    <d v="2025-03-19T00:00:00"/>
    <s v="F"/>
    <x v="1"/>
    <n v="5"/>
    <s v="California"/>
    <s v="San Bernardino County"/>
    <n v="1"/>
    <x v="11"/>
    <x v="2"/>
  </r>
  <r>
    <s v="TX502088"/>
    <s v="Crop Tops"/>
    <n v="27"/>
    <n v="46.3"/>
    <n v="1250.0999999999999"/>
    <d v="2025-03-18T00:00:00"/>
    <d v="2025-03-21T00:00:00"/>
    <s v="M"/>
    <x v="0"/>
    <n v="4"/>
    <s v="California"/>
    <s v="San Bernardino County"/>
    <n v="3"/>
    <x v="11"/>
    <x v="1"/>
  </r>
  <r>
    <s v="TX502089"/>
    <s v="Baseball Caps"/>
    <n v="4"/>
    <n v="23"/>
    <n v="92"/>
    <d v="2025-03-18T00:00:00"/>
    <d v="2025-03-22T00:00:00"/>
    <s v="M"/>
    <x v="3"/>
    <n v="5"/>
    <s v="California"/>
    <s v="San Bernardino County"/>
    <n v="4"/>
    <x v="11"/>
    <x v="1"/>
  </r>
  <r>
    <s v="TX502090"/>
    <s v="T-Shirts"/>
    <n v="6"/>
    <n v="42.1"/>
    <n v="252.60000000000002"/>
    <d v="2025-03-18T00:00:00"/>
    <d v="2025-03-20T00:00:00"/>
    <s v="M"/>
    <x v="4"/>
    <n v="4"/>
    <s v="California"/>
    <s v="San Diego County"/>
    <n v="2"/>
    <x v="11"/>
    <x v="1"/>
  </r>
  <r>
    <s v="TX502091"/>
    <s v="Sandals"/>
    <n v="7"/>
    <n v="57.4"/>
    <n v="401.8"/>
    <d v="2025-03-18T00:00:00"/>
    <d v="2025-03-22T00:00:00"/>
    <s v="F"/>
    <x v="1"/>
    <n v="2"/>
    <s v="California"/>
    <s v="San Diego County"/>
    <n v="4"/>
    <x v="11"/>
    <x v="2"/>
  </r>
  <r>
    <s v="TX502092"/>
    <s v="Shorts"/>
    <n v="6"/>
    <n v="13.2"/>
    <n v="79.199999999999989"/>
    <d v="2025-03-18T00:00:00"/>
    <d v="2025-03-22T00:00:00"/>
    <s v="M"/>
    <x v="2"/>
    <n v="4"/>
    <s v="California"/>
    <s v="San Diego County"/>
    <n v="4"/>
    <x v="11"/>
    <x v="1"/>
  </r>
  <r>
    <s v="TX502093"/>
    <s v="Jeans"/>
    <n v="3"/>
    <n v="52.3"/>
    <n v="156.89999999999998"/>
    <d v="2025-03-18T00:00:00"/>
    <d v="2025-03-19T00:00:00"/>
    <s v="M"/>
    <x v="1"/>
    <n v="4"/>
    <s v="California"/>
    <s v="San Diego County"/>
    <n v="1"/>
    <x v="11"/>
    <x v="1"/>
  </r>
  <r>
    <s v="TX502094"/>
    <s v="T-Shirts"/>
    <n v="2"/>
    <n v="15.7"/>
    <n v="31.4"/>
    <d v="2025-03-18T00:00:00"/>
    <d v="2025-03-21T00:00:00"/>
    <s v="M"/>
    <x v="1"/>
    <n v="5"/>
    <s v="California"/>
    <s v="San Diego County"/>
    <n v="3"/>
    <x v="11"/>
    <x v="1"/>
  </r>
  <r>
    <s v="TX502095"/>
    <s v="Hoodies &amp; Sweatshirts"/>
    <n v="3"/>
    <n v="35"/>
    <n v="105"/>
    <d v="2025-03-18T00:00:00"/>
    <d v="2025-03-21T00:00:00"/>
    <s v="F"/>
    <x v="1"/>
    <n v="5"/>
    <s v="California"/>
    <s v="San Mateo County"/>
    <n v="3"/>
    <x v="11"/>
    <x v="2"/>
  </r>
  <r>
    <s v="TX502096"/>
    <s v="Graphic Tees"/>
    <n v="3"/>
    <n v="26.6"/>
    <n v="79.800000000000011"/>
    <d v="2025-03-18T00:00:00"/>
    <d v="2025-03-18T00:00:00"/>
    <s v="M"/>
    <x v="1"/>
    <n v="5"/>
    <s v="California"/>
    <s v="Santa Clara County"/>
    <n v="0"/>
    <x v="11"/>
    <x v="1"/>
  </r>
  <r>
    <s v="TX502097"/>
    <s v="Graphic Tees"/>
    <n v="8"/>
    <n v="47.9"/>
    <n v="383.2"/>
    <d v="2025-03-19T00:00:00"/>
    <d v="2025-03-20T00:00:00"/>
    <s v="F"/>
    <x v="3"/>
    <n v="5"/>
    <s v="California"/>
    <s v="Tulare County"/>
    <n v="1"/>
    <x v="11"/>
    <x v="2"/>
  </r>
  <r>
    <s v="TX502098"/>
    <s v="Sandals"/>
    <n v="1"/>
    <n v="80.099999999999994"/>
    <n v="80.099999999999994"/>
    <d v="2025-03-19T00:00:00"/>
    <d v="2025-03-20T00:00:00"/>
    <s v="M"/>
    <x v="2"/>
    <n v="4"/>
    <s v="California"/>
    <s v="Alameda County"/>
    <n v="1"/>
    <x v="11"/>
    <x v="1"/>
  </r>
  <r>
    <s v="TX502099"/>
    <s v="Jeans"/>
    <n v="5"/>
    <n v="50.4"/>
    <n v="252"/>
    <d v="2025-03-19T00:00:00"/>
    <d v="2025-03-20T00:00:00"/>
    <s v="M"/>
    <x v="1"/>
    <n v="5"/>
    <s v="California"/>
    <s v="Alameda County"/>
    <n v="1"/>
    <x v="11"/>
    <x v="1"/>
  </r>
  <r>
    <s v="TX502100"/>
    <s v="Bikinis"/>
    <n v="7"/>
    <n v="43.3"/>
    <n v="303.09999999999997"/>
    <d v="2025-03-19T00:00:00"/>
    <d v="2025-03-20T00:00:00"/>
    <s v="M"/>
    <x v="2"/>
    <n v="4"/>
    <s v="California"/>
    <s v="Alameda County"/>
    <n v="1"/>
    <x v="11"/>
    <x v="1"/>
  </r>
  <r>
    <s v="TX502101"/>
    <s v="Bikinis"/>
    <n v="4"/>
    <n v="57.5"/>
    <n v="230"/>
    <d v="2025-03-19T00:00:00"/>
    <d v="2025-03-20T00:00:00"/>
    <s v="F"/>
    <x v="1"/>
    <n v="5"/>
    <s v="California"/>
    <s v="Contra Costa County"/>
    <n v="1"/>
    <x v="11"/>
    <x v="2"/>
  </r>
  <r>
    <s v="TX502102"/>
    <s v="Sundresses"/>
    <n v="13"/>
    <n v="24.8"/>
    <n v="322.40000000000003"/>
    <d v="2025-03-19T00:00:00"/>
    <d v="2025-03-20T00:00:00"/>
    <s v="M"/>
    <x v="0"/>
    <n v="4"/>
    <s v="California"/>
    <s v="Del Norte County"/>
    <n v="1"/>
    <x v="11"/>
    <x v="1"/>
  </r>
  <r>
    <s v="TX502103"/>
    <s v="Sneakers"/>
    <n v="9"/>
    <n v="85.7"/>
    <n v="771.30000000000007"/>
    <d v="2025-03-19T00:00:00"/>
    <d v="2025-03-20T00:00:00"/>
    <s v="F"/>
    <x v="0"/>
    <n v="4"/>
    <s v="California"/>
    <s v="El Dorado County"/>
    <n v="1"/>
    <x v="11"/>
    <x v="2"/>
  </r>
  <r>
    <s v="TX502104"/>
    <s v="Hoodies &amp; Sweatshirts"/>
    <n v="1"/>
    <n v="47.1"/>
    <n v="47.1"/>
    <d v="2025-03-19T00:00:00"/>
    <d v="2025-03-21T00:00:00"/>
    <s v="F"/>
    <x v="0"/>
    <n v="4"/>
    <s v="California"/>
    <s v="Fresno County"/>
    <n v="2"/>
    <x v="11"/>
    <x v="2"/>
  </r>
  <r>
    <s v="TX502105"/>
    <s v="Sandals"/>
    <n v="10"/>
    <n v="83.2"/>
    <n v="832"/>
    <d v="2025-03-19T00:00:00"/>
    <d v="2025-03-23T00:00:00"/>
    <s v="F"/>
    <x v="0"/>
    <n v="4"/>
    <s v="California"/>
    <s v="Imperial County"/>
    <n v="4"/>
    <x v="11"/>
    <x v="2"/>
  </r>
  <r>
    <s v="TX502106"/>
    <s v="Sneakers"/>
    <n v="3"/>
    <n v="157"/>
    <n v="471"/>
    <d v="2025-03-19T00:00:00"/>
    <d v="2025-03-21T00:00:00"/>
    <s v="F"/>
    <x v="0"/>
    <n v="5"/>
    <s v="California"/>
    <s v="Kern County"/>
    <n v="2"/>
    <x v="11"/>
    <x v="2"/>
  </r>
  <r>
    <s v="TX502107"/>
    <s v="Sunglasses"/>
    <n v="4"/>
    <n v="33.700000000000003"/>
    <n v="134.80000000000001"/>
    <d v="2025-03-19T00:00:00"/>
    <d v="2025-03-20T00:00:00"/>
    <s v="M"/>
    <x v="2"/>
    <n v="5"/>
    <s v="California"/>
    <s v="Kern County"/>
    <n v="1"/>
    <x v="11"/>
    <x v="1"/>
  </r>
  <r>
    <s v="TX502108"/>
    <s v="Sneakers"/>
    <n v="3"/>
    <n v="60.8"/>
    <n v="182.39999999999998"/>
    <d v="2025-03-19T00:00:00"/>
    <d v="2025-03-23T00:00:00"/>
    <s v="F"/>
    <x v="1"/>
    <n v="3"/>
    <s v="California"/>
    <s v="Los Angeles County"/>
    <n v="4"/>
    <x v="11"/>
    <x v="2"/>
  </r>
  <r>
    <s v="TX502109"/>
    <s v="Hoodies &amp; Sweatshirts"/>
    <n v="1"/>
    <n v="57.6"/>
    <n v="57.6"/>
    <d v="2025-03-19T00:00:00"/>
    <d v="2025-03-20T00:00:00"/>
    <s v="M"/>
    <x v="1"/>
    <n v="2"/>
    <s v="California"/>
    <s v="Los Angeles County"/>
    <n v="1"/>
    <x v="11"/>
    <x v="1"/>
  </r>
  <r>
    <s v="TX502110"/>
    <s v="Bikinis"/>
    <n v="1"/>
    <n v="32"/>
    <n v="32"/>
    <d v="2025-03-19T00:00:00"/>
    <d v="2025-03-21T00:00:00"/>
    <s v="M"/>
    <x v="0"/>
    <n v="4"/>
    <s v="California"/>
    <s v="Los Angeles County"/>
    <n v="2"/>
    <x v="11"/>
    <x v="1"/>
  </r>
  <r>
    <s v="TX502111"/>
    <s v="Bikinis"/>
    <n v="4"/>
    <n v="23.5"/>
    <n v="94"/>
    <d v="2025-03-19T00:00:00"/>
    <d v="2025-03-20T00:00:00"/>
    <s v="F"/>
    <x v="0"/>
    <n v="5"/>
    <s v="California"/>
    <s v="Los Angeles County"/>
    <n v="1"/>
    <x v="11"/>
    <x v="2"/>
  </r>
  <r>
    <s v="TX502112"/>
    <s v="Casual Dresses"/>
    <n v="3"/>
    <n v="44.8"/>
    <n v="134.39999999999998"/>
    <d v="2025-03-19T00:00:00"/>
    <d v="2025-03-20T00:00:00"/>
    <s v="O"/>
    <x v="4"/>
    <n v="4"/>
    <s v="California"/>
    <s v="Los Angeles County"/>
    <n v="1"/>
    <x v="11"/>
    <x v="3"/>
  </r>
  <r>
    <s v="TX502113"/>
    <s v="Shorts"/>
    <n v="8"/>
    <n v="11.7"/>
    <n v="93.6"/>
    <d v="2025-03-19T00:00:00"/>
    <d v="2025-03-20T00:00:00"/>
    <s v="M"/>
    <x v="2"/>
    <n v="5"/>
    <s v="California"/>
    <s v="Los Angeles County"/>
    <n v="1"/>
    <x v="11"/>
    <x v="1"/>
  </r>
  <r>
    <s v="TX502114"/>
    <s v="Hoodies &amp; Sweatshirts"/>
    <n v="2"/>
    <n v="38.799999999999997"/>
    <n v="77.599999999999994"/>
    <d v="2025-03-19T00:00:00"/>
    <d v="2025-03-22T00:00:00"/>
    <s v="F"/>
    <x v="2"/>
    <n v="4"/>
    <s v="California"/>
    <s v="Los Angeles County"/>
    <n v="3"/>
    <x v="11"/>
    <x v="2"/>
  </r>
  <r>
    <s v="TX502115"/>
    <s v="Sandals"/>
    <n v="14"/>
    <n v="86.9"/>
    <n v="1216.6000000000001"/>
    <d v="2025-03-19T00:00:00"/>
    <d v="2025-03-24T00:00:00"/>
    <s v="F"/>
    <x v="1"/>
    <n v="4"/>
    <s v="California"/>
    <s v="Los Angeles County"/>
    <n v="5"/>
    <x v="11"/>
    <x v="2"/>
  </r>
  <r>
    <s v="TX502116"/>
    <s v="T-Shirts"/>
    <n v="1"/>
    <n v="18.3"/>
    <n v="18.3"/>
    <d v="2025-03-19T00:00:00"/>
    <d v="2025-03-20T00:00:00"/>
    <s v="F"/>
    <x v="0"/>
    <n v="4"/>
    <s v="California"/>
    <s v="Los Angeles County"/>
    <n v="1"/>
    <x v="11"/>
    <x v="2"/>
  </r>
  <r>
    <s v="TX502117"/>
    <s v="Sandals"/>
    <n v="1"/>
    <n v="47.5"/>
    <n v="47.5"/>
    <d v="2025-03-19T00:00:00"/>
    <d v="2025-03-23T00:00:00"/>
    <s v="M"/>
    <x v="4"/>
    <n v="5"/>
    <s v="California"/>
    <s v="Los Angeles County"/>
    <n v="4"/>
    <x v="11"/>
    <x v="1"/>
  </r>
  <r>
    <s v="TX502118"/>
    <s v="Tank Tops"/>
    <n v="2"/>
    <n v="78.599999999999994"/>
    <n v="157.19999999999999"/>
    <d v="2025-03-19T00:00:00"/>
    <d v="2025-03-20T00:00:00"/>
    <s v="M"/>
    <x v="2"/>
    <n v="5"/>
    <s v="California"/>
    <s v="Los Angeles County"/>
    <n v="1"/>
    <x v="11"/>
    <x v="1"/>
  </r>
  <r>
    <s v="TX502119"/>
    <s v="Jeans"/>
    <n v="4"/>
    <n v="87.3"/>
    <n v="349.2"/>
    <d v="2025-03-19T00:00:00"/>
    <d v="2025-03-20T00:00:00"/>
    <s v="M"/>
    <x v="0"/>
    <n v="4"/>
    <s v="California"/>
    <s v="Los Angeles County"/>
    <n v="1"/>
    <x v="11"/>
    <x v="1"/>
  </r>
  <r>
    <s v="TX502120"/>
    <s v="Sundresses"/>
    <n v="2"/>
    <n v="63.2"/>
    <n v="126.4"/>
    <d v="2025-03-19T00:00:00"/>
    <d v="2025-03-19T00:00:00"/>
    <s v="M"/>
    <x v="4"/>
    <n v="3"/>
    <s v="California"/>
    <s v="Los Angeles County"/>
    <n v="0"/>
    <x v="11"/>
    <x v="1"/>
  </r>
  <r>
    <s v="TX502121"/>
    <s v="Sandals"/>
    <n v="5"/>
    <n v="33.700000000000003"/>
    <n v="168.5"/>
    <d v="2025-03-19T00:00:00"/>
    <d v="2025-03-20T00:00:00"/>
    <s v="F"/>
    <x v="0"/>
    <n v="4"/>
    <s v="California"/>
    <s v="Los Angeles County"/>
    <n v="1"/>
    <x v="11"/>
    <x v="2"/>
  </r>
  <r>
    <s v="TX502122"/>
    <s v="Sneakers"/>
    <n v="3"/>
    <n v="107.4"/>
    <n v="322.20000000000005"/>
    <d v="2025-03-19T00:00:00"/>
    <d v="2025-04-01T00:00:00"/>
    <s v="F"/>
    <x v="1"/>
    <n v="5"/>
    <s v="California"/>
    <s v="Los Angeles County"/>
    <n v="13"/>
    <x v="11"/>
    <x v="2"/>
  </r>
  <r>
    <s v="TX502123"/>
    <s v="Graphic Tees"/>
    <n v="4"/>
    <n v="22.2"/>
    <n v="88.8"/>
    <d v="2025-03-19T00:00:00"/>
    <d v="2025-03-20T00:00:00"/>
    <s v=""/>
    <x v="1"/>
    <n v="5"/>
    <s v="California"/>
    <s v="Merced County"/>
    <n v="1"/>
    <x v="11"/>
    <x v="0"/>
  </r>
  <r>
    <s v="TX502124"/>
    <s v="Leggings"/>
    <n v="3"/>
    <n v="52.8"/>
    <n v="158.39999999999998"/>
    <d v="2025-03-19T00:00:00"/>
    <d v="2025-03-20T00:00:00"/>
    <s v="M"/>
    <x v="3"/>
    <n v="5"/>
    <s v="California"/>
    <s v="Merced County"/>
    <n v="1"/>
    <x v="11"/>
    <x v="1"/>
  </r>
  <r>
    <s v="TX502125"/>
    <s v="T-Shirts"/>
    <n v="3"/>
    <n v="41.5"/>
    <n v="124.5"/>
    <d v="2025-03-19T00:00:00"/>
    <d v="2025-03-22T00:00:00"/>
    <s v="F"/>
    <x v="0"/>
    <n v="4"/>
    <s v="California"/>
    <s v="Orange County"/>
    <n v="3"/>
    <x v="11"/>
    <x v="2"/>
  </r>
  <r>
    <s v="TX502126"/>
    <s v="Casual Dresses"/>
    <n v="8"/>
    <n v="103.5"/>
    <n v="828"/>
    <d v="2025-03-19T00:00:00"/>
    <d v="2025-03-22T00:00:00"/>
    <s v="F"/>
    <x v="0"/>
    <n v="5"/>
    <s v="California"/>
    <s v="Riverside County"/>
    <n v="3"/>
    <x v="11"/>
    <x v="2"/>
  </r>
  <r>
    <s v="TX502127"/>
    <s v="Graphic Tees"/>
    <n v="14"/>
    <n v="37.5"/>
    <n v="525"/>
    <d v="2025-03-19T00:00:00"/>
    <d v="2025-03-19T00:00:00"/>
    <s v="F"/>
    <x v="1"/>
    <n v="5"/>
    <s v="California"/>
    <s v="Sacramento County"/>
    <n v="0"/>
    <x v="11"/>
    <x v="2"/>
  </r>
  <r>
    <s v="TX502128"/>
    <s v="Crop Tops"/>
    <n v="8"/>
    <n v="44.4"/>
    <n v="355.2"/>
    <d v="2025-03-19T00:00:00"/>
    <d v="2025-03-25T00:00:00"/>
    <s v="F"/>
    <x v="3"/>
    <n v="5"/>
    <s v="California"/>
    <s v="San Bernardino County"/>
    <n v="6"/>
    <x v="11"/>
    <x v="2"/>
  </r>
  <r>
    <s v="TX502129"/>
    <s v="T-Shirts"/>
    <n v="3"/>
    <n v="26.2"/>
    <n v="78.599999999999994"/>
    <d v="2025-03-19T00:00:00"/>
    <d v="2025-03-20T00:00:00"/>
    <s v="M"/>
    <x v="0"/>
    <n v="4"/>
    <s v="California"/>
    <s v="San Diego County"/>
    <n v="1"/>
    <x v="11"/>
    <x v="1"/>
  </r>
  <r>
    <s v="TX502130"/>
    <s v="Tank Tops"/>
    <n v="7"/>
    <n v="32.200000000000003"/>
    <n v="225.40000000000003"/>
    <d v="2025-03-19T00:00:00"/>
    <d v="2025-03-20T00:00:00"/>
    <s v="F"/>
    <x v="1"/>
    <n v="5"/>
    <s v="California"/>
    <s v="San Diego County"/>
    <n v="1"/>
    <x v="11"/>
    <x v="2"/>
  </r>
  <r>
    <s v="TX502131"/>
    <s v="T-Shirts"/>
    <n v="1"/>
    <n v="17.399999999999999"/>
    <n v="17.399999999999999"/>
    <d v="2025-03-19T00:00:00"/>
    <d v="2025-03-23T00:00:00"/>
    <s v=""/>
    <x v="2"/>
    <n v="3"/>
    <s v="California"/>
    <s v="San Diego County"/>
    <n v="4"/>
    <x v="11"/>
    <x v="0"/>
  </r>
  <r>
    <s v="TX502132"/>
    <s v="T-Shirts"/>
    <n v="6"/>
    <n v="72.3"/>
    <n v="433.79999999999995"/>
    <d v="2025-03-19T00:00:00"/>
    <d v="2025-03-22T00:00:00"/>
    <s v="F"/>
    <x v="0"/>
    <n v="4"/>
    <s v="California"/>
    <s v="San Diego County"/>
    <n v="3"/>
    <x v="11"/>
    <x v="2"/>
  </r>
  <r>
    <s v="TX502133"/>
    <s v="T-Shirts"/>
    <n v="11"/>
    <n v="24.3"/>
    <n v="267.3"/>
    <d v="2025-03-19T00:00:00"/>
    <d v="2025-03-20T00:00:00"/>
    <s v="M"/>
    <x v="0"/>
    <n v="4"/>
    <s v="California"/>
    <s v="San Diego County"/>
    <n v="1"/>
    <x v="11"/>
    <x v="1"/>
  </r>
  <r>
    <s v="TX502134"/>
    <s v="Tote Bags"/>
    <n v="3"/>
    <n v="49.1"/>
    <n v="147.30000000000001"/>
    <d v="2025-03-19T00:00:00"/>
    <d v="2025-03-25T00:00:00"/>
    <s v="M"/>
    <x v="2"/>
    <n v="2"/>
    <s v="California"/>
    <s v="San Diego County"/>
    <n v="6"/>
    <x v="11"/>
    <x v="1"/>
  </r>
  <r>
    <s v="TX502135"/>
    <s v="Sneakers"/>
    <n v="10"/>
    <n v="234.7"/>
    <n v="2347"/>
    <d v="2025-03-19T00:00:00"/>
    <d v="2025-03-20T00:00:00"/>
    <s v="M"/>
    <x v="3"/>
    <n v="3"/>
    <s v="California"/>
    <s v="San Diego County"/>
    <n v="1"/>
    <x v="11"/>
    <x v="1"/>
  </r>
  <r>
    <s v="TX502136"/>
    <s v="Workout Tops"/>
    <n v="5"/>
    <n v="76.099999999999994"/>
    <n v="380.5"/>
    <d v="2025-03-19T00:00:00"/>
    <d v="2025-03-21T00:00:00"/>
    <s v="M"/>
    <x v="1"/>
    <n v="3"/>
    <s v="California"/>
    <s v="San Francisco"/>
    <n v="2"/>
    <x v="11"/>
    <x v="1"/>
  </r>
  <r>
    <s v="TX502137"/>
    <s v="Tank Tops"/>
    <n v="3"/>
    <n v="93.9"/>
    <n v="281.70000000000005"/>
    <d v="2025-03-19T00:00:00"/>
    <d v="2025-03-20T00:00:00"/>
    <s v="M"/>
    <x v="1"/>
    <n v="2"/>
    <s v="California"/>
    <s v="Santa Clara County"/>
    <n v="1"/>
    <x v="11"/>
    <x v="1"/>
  </r>
  <r>
    <s v="TX502138"/>
    <s v="Sneakers"/>
    <n v="4"/>
    <n v="187"/>
    <n v="748"/>
    <d v="2025-03-20T00:00:00"/>
    <d v="2025-03-23T00:00:00"/>
    <s v="M"/>
    <x v="0"/>
    <n v="4"/>
    <s v="California"/>
    <s v="Santa Clara County"/>
    <n v="3"/>
    <x v="11"/>
    <x v="1"/>
  </r>
  <r>
    <s v="TX502139"/>
    <s v="T-Shirts"/>
    <n v="2"/>
    <n v="18"/>
    <n v="36"/>
    <d v="2025-03-20T00:00:00"/>
    <d v="2025-03-21T00:00:00"/>
    <s v="F"/>
    <x v="1"/>
    <n v="5"/>
    <s v="California"/>
    <s v="Shasta County"/>
    <n v="1"/>
    <x v="11"/>
    <x v="2"/>
  </r>
  <r>
    <s v="TX502140"/>
    <s v="Graphic Tees"/>
    <n v="1"/>
    <n v="24.4"/>
    <n v="24.4"/>
    <d v="2025-03-20T00:00:00"/>
    <d v="2025-03-21T00:00:00"/>
    <s v="F"/>
    <x v="4"/>
    <n v="5"/>
    <s v="California"/>
    <s v="Alameda County"/>
    <n v="1"/>
    <x v="11"/>
    <x v="2"/>
  </r>
  <r>
    <s v="TX502141"/>
    <s v="Bikinis"/>
    <n v="2"/>
    <n v="38.799999999999997"/>
    <n v="77.599999999999994"/>
    <d v="2025-03-20T00:00:00"/>
    <d v="2025-03-21T00:00:00"/>
    <s v="M"/>
    <x v="4"/>
    <n v="3"/>
    <s v="California"/>
    <s v="Los Angeles County"/>
    <n v="1"/>
    <x v="11"/>
    <x v="1"/>
  </r>
  <r>
    <s v="TX502142"/>
    <s v="Workout Tops"/>
    <n v="1"/>
    <n v="59.7"/>
    <n v="59.7"/>
    <d v="2025-03-20T00:00:00"/>
    <d v="2025-03-23T00:00:00"/>
    <s v="M"/>
    <x v="3"/>
    <n v="4"/>
    <s v="California"/>
    <s v="Los Angeles County"/>
    <n v="3"/>
    <x v="11"/>
    <x v="1"/>
  </r>
  <r>
    <s v="TX502143"/>
    <s v="Hoodies &amp; Sweatshirts"/>
    <n v="1"/>
    <n v="31.2"/>
    <n v="31.2"/>
    <d v="2025-03-20T00:00:00"/>
    <d v="2025-03-21T00:00:00"/>
    <s v="M"/>
    <x v="1"/>
    <n v="5"/>
    <s v="California"/>
    <s v="Los Angeles County"/>
    <n v="1"/>
    <x v="11"/>
    <x v="1"/>
  </r>
  <r>
    <s v="TX502144"/>
    <s v="Shorts"/>
    <n v="1"/>
    <n v="16.8"/>
    <n v="16.8"/>
    <d v="2025-03-20T00:00:00"/>
    <d v="2025-03-21T00:00:00"/>
    <s v="F"/>
    <x v="2"/>
    <n v="3"/>
    <s v="California"/>
    <s v="Los Angeles County"/>
    <n v="1"/>
    <x v="11"/>
    <x v="2"/>
  </r>
  <r>
    <s v="TX502145"/>
    <s v="T-Shirts"/>
    <n v="1"/>
    <n v="46"/>
    <n v="46"/>
    <d v="2025-03-20T00:00:00"/>
    <d v="2025-03-21T00:00:00"/>
    <s v="M"/>
    <x v="0"/>
    <n v="4"/>
    <s v="California"/>
    <s v="Los Angeles County"/>
    <n v="1"/>
    <x v="11"/>
    <x v="1"/>
  </r>
  <r>
    <s v="TX502146"/>
    <s v="Sundresses"/>
    <n v="8"/>
    <n v="42.2"/>
    <n v="337.6"/>
    <d v="2025-03-20T00:00:00"/>
    <d v="2025-03-23T00:00:00"/>
    <s v="F"/>
    <x v="3"/>
    <n v="5"/>
    <s v="California"/>
    <s v="Los Angeles County"/>
    <n v="3"/>
    <x v="11"/>
    <x v="2"/>
  </r>
  <r>
    <s v="TX502147"/>
    <s v="Tank Tops"/>
    <n v="3"/>
    <n v="71.5"/>
    <n v="214.5"/>
    <d v="2025-03-20T00:00:00"/>
    <d v="2025-04-03T00:00:00"/>
    <s v="F"/>
    <x v="0"/>
    <n v="4"/>
    <s v="California"/>
    <s v="Los Angeles County"/>
    <n v="14"/>
    <x v="11"/>
    <x v="2"/>
  </r>
  <r>
    <s v="TX502148"/>
    <s v="Tank Tops"/>
    <n v="2"/>
    <n v="76.599999999999994"/>
    <n v="153.19999999999999"/>
    <d v="2025-03-20T00:00:00"/>
    <d v="2025-03-20T00:00:00"/>
    <s v="M"/>
    <x v="0"/>
    <n v="5"/>
    <s v="California"/>
    <s v="Los Angeles County"/>
    <n v="0"/>
    <x v="11"/>
    <x v="1"/>
  </r>
  <r>
    <s v="TX502149"/>
    <s v="Casual Dresses"/>
    <n v="2"/>
    <n v="87.3"/>
    <n v="174.6"/>
    <d v="2025-03-20T00:00:00"/>
    <d v="2025-03-28T00:00:00"/>
    <s v="F"/>
    <x v="3"/>
    <n v="5"/>
    <s v="California"/>
    <s v="Los Angeles County"/>
    <n v="8"/>
    <x v="11"/>
    <x v="2"/>
  </r>
  <r>
    <s v="TX502150"/>
    <s v="Tank Tops"/>
    <n v="1"/>
    <n v="63"/>
    <n v="63"/>
    <d v="2025-03-20T00:00:00"/>
    <d v="2025-03-23T00:00:00"/>
    <s v="M"/>
    <x v="3"/>
    <n v="4"/>
    <s v="California"/>
    <s v="Los Angeles County"/>
    <n v="3"/>
    <x v="11"/>
    <x v="1"/>
  </r>
  <r>
    <s v="TX502151"/>
    <s v="T-Shirts"/>
    <n v="2"/>
    <n v="41.7"/>
    <n v="83.4"/>
    <d v="2025-03-20T00:00:00"/>
    <d v="2025-03-21T00:00:00"/>
    <s v="F"/>
    <x v="4"/>
    <n v="3"/>
    <s v="California"/>
    <s v="Marin County"/>
    <n v="1"/>
    <x v="11"/>
    <x v="2"/>
  </r>
  <r>
    <s v="TX502152"/>
    <s v="Jeans"/>
    <n v="2"/>
    <n v="76.099999999999994"/>
    <n v="152.19999999999999"/>
    <d v="2025-03-20T00:00:00"/>
    <d v="2025-03-20T00:00:00"/>
    <s v="F"/>
    <x v="4"/>
    <n v="5"/>
    <s v="California"/>
    <s v="Napa County"/>
    <n v="0"/>
    <x v="11"/>
    <x v="2"/>
  </r>
  <r>
    <s v="TX502153"/>
    <s v="Tote Bags"/>
    <n v="2"/>
    <n v="28.5"/>
    <n v="57"/>
    <d v="2025-03-20T00:00:00"/>
    <d v="2025-03-21T00:00:00"/>
    <s v="F"/>
    <x v="0"/>
    <n v="5"/>
    <s v="California"/>
    <s v="Nevada County"/>
    <n v="1"/>
    <x v="11"/>
    <x v="2"/>
  </r>
  <r>
    <s v="TX502154"/>
    <s v="Shorts"/>
    <n v="4"/>
    <n v="32.1"/>
    <n v="128.4"/>
    <d v="2025-03-20T00:00:00"/>
    <d v="2025-03-21T00:00:00"/>
    <s v="F"/>
    <x v="1"/>
    <n v="5"/>
    <s v="California"/>
    <s v="Orange County"/>
    <n v="1"/>
    <x v="11"/>
    <x v="2"/>
  </r>
  <r>
    <s v="TX502155"/>
    <s v="Graphic Tees"/>
    <n v="3"/>
    <n v="39"/>
    <n v="117"/>
    <d v="2025-03-20T00:00:00"/>
    <d v="2025-03-23T00:00:00"/>
    <s v="M"/>
    <x v="1"/>
    <n v="5"/>
    <s v="California"/>
    <s v="Orange County"/>
    <n v="3"/>
    <x v="11"/>
    <x v="1"/>
  </r>
  <r>
    <s v="TX502156"/>
    <s v="Jeans"/>
    <n v="1"/>
    <n v="78.5"/>
    <n v="78.5"/>
    <d v="2025-03-20T00:00:00"/>
    <d v="2025-03-21T00:00:00"/>
    <s v="M"/>
    <x v="1"/>
    <n v="4"/>
    <s v="California"/>
    <s v="Sacramento County"/>
    <n v="1"/>
    <x v="11"/>
    <x v="1"/>
  </r>
  <r>
    <s v="TX502157"/>
    <s v="Graphic Tees"/>
    <n v="5"/>
    <n v="49.7"/>
    <n v="248.5"/>
    <d v="2025-03-20T00:00:00"/>
    <d v="2025-03-22T00:00:00"/>
    <s v="F"/>
    <x v="0"/>
    <n v="4"/>
    <s v="California"/>
    <s v="Sacramento County"/>
    <n v="2"/>
    <x v="11"/>
    <x v="2"/>
  </r>
  <r>
    <s v="TX502158"/>
    <s v="Tank Tops"/>
    <n v="4"/>
    <n v="68.400000000000006"/>
    <n v="273.60000000000002"/>
    <d v="2025-03-20T00:00:00"/>
    <d v="2025-03-21T00:00:00"/>
    <s v="F"/>
    <x v="2"/>
    <n v="5"/>
    <s v="California"/>
    <s v="San Bernardino County"/>
    <n v="1"/>
    <x v="11"/>
    <x v="2"/>
  </r>
  <r>
    <s v="TX502159"/>
    <s v="Workout Tops"/>
    <n v="2"/>
    <n v="72.900000000000006"/>
    <n v="145.80000000000001"/>
    <d v="2025-03-20T00:00:00"/>
    <d v="2025-03-23T00:00:00"/>
    <s v=""/>
    <x v="0"/>
    <n v="5"/>
    <s v="California"/>
    <s v="San Bernardino County"/>
    <n v="3"/>
    <x v="11"/>
    <x v="0"/>
  </r>
  <r>
    <s v="TX502160"/>
    <s v="Sandals"/>
    <n v="13"/>
    <n v="30.3"/>
    <n v="393.90000000000003"/>
    <d v="2025-03-20T00:00:00"/>
    <d v="2025-03-21T00:00:00"/>
    <s v="M"/>
    <x v="4"/>
    <n v="4"/>
    <s v="California"/>
    <s v="San Bernardino County"/>
    <n v="1"/>
    <x v="11"/>
    <x v="1"/>
  </r>
  <r>
    <s v="TX502161"/>
    <s v="Jeans"/>
    <n v="11"/>
    <n v="57.9"/>
    <n v="636.9"/>
    <d v="2025-03-20T00:00:00"/>
    <d v="2025-03-21T00:00:00"/>
    <s v="F"/>
    <x v="0"/>
    <n v="4"/>
    <s v="California"/>
    <s v="San Diego County"/>
    <n v="1"/>
    <x v="11"/>
    <x v="2"/>
  </r>
  <r>
    <s v="TX502162"/>
    <s v="Tank Tops"/>
    <n v="1"/>
    <n v="96.7"/>
    <n v="96.7"/>
    <d v="2025-03-20T00:00:00"/>
    <d v="2025-03-21T00:00:00"/>
    <s v="M"/>
    <x v="0"/>
    <n v="4"/>
    <s v="California"/>
    <s v="San Diego County"/>
    <n v="1"/>
    <x v="11"/>
    <x v="1"/>
  </r>
  <r>
    <s v="TX502163"/>
    <s v="T-Shirts"/>
    <n v="12"/>
    <n v="27.6"/>
    <n v="331.20000000000005"/>
    <d v="2025-03-20T00:00:00"/>
    <d v="2025-03-22T00:00:00"/>
    <s v="M"/>
    <x v="2"/>
    <n v="5"/>
    <s v="California"/>
    <s v="San Diego County"/>
    <n v="2"/>
    <x v="11"/>
    <x v="1"/>
  </r>
  <r>
    <s v="TX502164"/>
    <s v="Jeans"/>
    <n v="4"/>
    <n v="64.7"/>
    <n v="258.8"/>
    <d v="2025-03-20T00:00:00"/>
    <d v="2025-03-20T00:00:00"/>
    <s v="M"/>
    <x v="3"/>
    <n v="5"/>
    <s v="California"/>
    <s v="San Diego County"/>
    <n v="0"/>
    <x v="11"/>
    <x v="1"/>
  </r>
  <r>
    <s v="TX502165"/>
    <s v="Bikinis"/>
    <n v="6"/>
    <n v="30.5"/>
    <n v="183"/>
    <d v="2025-03-20T00:00:00"/>
    <d v="2025-03-21T00:00:00"/>
    <s v="M"/>
    <x v="4"/>
    <n v="4"/>
    <s v="California"/>
    <s v="San Diego County"/>
    <n v="1"/>
    <x v="11"/>
    <x v="1"/>
  </r>
  <r>
    <s v="TX502166"/>
    <s v="Jeans"/>
    <n v="70"/>
    <n v="106"/>
    <n v="7420"/>
    <d v="2025-03-21T00:00:00"/>
    <d v="2025-03-23T00:00:00"/>
    <s v="M"/>
    <x v="4"/>
    <n v="5"/>
    <s v="California"/>
    <s v="San Diego County"/>
    <n v="2"/>
    <x v="11"/>
    <x v="1"/>
  </r>
  <r>
    <s v="TX502167"/>
    <s v="Casual Dresses"/>
    <n v="5"/>
    <n v="76.8"/>
    <n v="384"/>
    <d v="2025-03-21T00:00:00"/>
    <d v="2025-03-27T00:00:00"/>
    <s v=""/>
    <x v="1"/>
    <n v="3"/>
    <s v="California"/>
    <s v="Sonoma County"/>
    <n v="6"/>
    <x v="11"/>
    <x v="0"/>
  </r>
  <r>
    <s v="TX502168"/>
    <s v="Jeans"/>
    <n v="2"/>
    <n v="80.400000000000006"/>
    <n v="160.80000000000001"/>
    <d v="2025-03-21T00:00:00"/>
    <d v="2025-03-22T00:00:00"/>
    <s v="F"/>
    <x v="2"/>
    <n v="4"/>
    <s v="California"/>
    <s v="Ventura County"/>
    <n v="1"/>
    <x v="11"/>
    <x v="2"/>
  </r>
  <r>
    <s v="TX502169"/>
    <s v="Jeans"/>
    <n v="4"/>
    <n v="69.099999999999994"/>
    <n v="276.39999999999998"/>
    <d v="2025-03-21T00:00:00"/>
    <d v="2025-03-22T00:00:00"/>
    <s v="M"/>
    <x v="1"/>
    <n v="5"/>
    <s v="California"/>
    <s v="Alameda County"/>
    <n v="1"/>
    <x v="11"/>
    <x v="1"/>
  </r>
  <r>
    <s v="TX502170"/>
    <s v="Leggings"/>
    <n v="2"/>
    <n v="76.400000000000006"/>
    <n v="152.80000000000001"/>
    <d v="2025-03-21T00:00:00"/>
    <d v="2025-03-21T00:00:00"/>
    <s v="M"/>
    <x v="3"/>
    <n v="4"/>
    <s v="California"/>
    <s v="Alameda County"/>
    <n v="0"/>
    <x v="11"/>
    <x v="1"/>
  </r>
  <r>
    <s v="TX502171"/>
    <s v="Sneakers"/>
    <n v="2"/>
    <n v="61.3"/>
    <n v="122.6"/>
    <d v="2025-03-21T00:00:00"/>
    <d v="2025-03-22T00:00:00"/>
    <s v="F"/>
    <x v="1"/>
    <n v="3"/>
    <s v="California"/>
    <s v="Alameda County"/>
    <n v="1"/>
    <x v="11"/>
    <x v="2"/>
  </r>
  <r>
    <s v="TX502172"/>
    <s v="Hoodies &amp; Sweatshirts"/>
    <n v="1"/>
    <n v="58"/>
    <n v="58"/>
    <d v="2025-03-21T00:00:00"/>
    <d v="2025-03-22T00:00:00"/>
    <s v="M"/>
    <x v="3"/>
    <n v="3"/>
    <s v="California"/>
    <s v="Contra Costa County"/>
    <n v="1"/>
    <x v="11"/>
    <x v="1"/>
  </r>
  <r>
    <s v="TX502173"/>
    <s v="Sneakers"/>
    <n v="8"/>
    <n v="102.3"/>
    <n v="818.4"/>
    <d v="2025-03-21T00:00:00"/>
    <d v="2025-03-23T00:00:00"/>
    <s v="M"/>
    <x v="2"/>
    <n v="4"/>
    <s v="California"/>
    <s v="El Dorado County"/>
    <n v="2"/>
    <x v="11"/>
    <x v="1"/>
  </r>
  <r>
    <s v="TX502174"/>
    <s v="Jewelry"/>
    <n v="2"/>
    <n v="13.8"/>
    <n v="27.6"/>
    <d v="2025-03-21T00:00:00"/>
    <d v="2025-03-22T00:00:00"/>
    <s v="F"/>
    <x v="4"/>
    <n v="5"/>
    <s v="California"/>
    <s v="Fresno County"/>
    <n v="1"/>
    <x v="11"/>
    <x v="2"/>
  </r>
  <r>
    <s v="TX502175"/>
    <s v="T-Shirts"/>
    <n v="3"/>
    <n v="33.299999999999997"/>
    <n v="99.899999999999991"/>
    <d v="2025-03-21T00:00:00"/>
    <d v="2025-03-24T00:00:00"/>
    <s v="F"/>
    <x v="2"/>
    <n v="4"/>
    <s v="California"/>
    <s v="Kern County"/>
    <n v="3"/>
    <x v="11"/>
    <x v="2"/>
  </r>
  <r>
    <s v="TX502176"/>
    <s v="Bikinis"/>
    <n v="1"/>
    <n v="27.4"/>
    <n v="27.4"/>
    <d v="2025-03-21T00:00:00"/>
    <d v="2025-03-24T00:00:00"/>
    <s v="M"/>
    <x v="0"/>
    <n v="5"/>
    <s v="California"/>
    <s v="Kern County"/>
    <n v="3"/>
    <x v="11"/>
    <x v="1"/>
  </r>
  <r>
    <s v="TX502177"/>
    <s v="Baseball Caps"/>
    <n v="2"/>
    <n v="25.6"/>
    <n v="51.2"/>
    <d v="2025-03-21T00:00:00"/>
    <d v="2025-03-22T00:00:00"/>
    <s v="F"/>
    <x v="1"/>
    <n v="3"/>
    <s v="California"/>
    <s v="Los Angeles County"/>
    <n v="1"/>
    <x v="11"/>
    <x v="2"/>
  </r>
  <r>
    <s v="TX502178"/>
    <s v="Tote Bags"/>
    <n v="1"/>
    <n v="58.4"/>
    <n v="58.4"/>
    <d v="2025-03-21T00:00:00"/>
    <d v="2025-03-22T00:00:00"/>
    <s v="F"/>
    <x v="2"/>
    <n v="5"/>
    <s v="California"/>
    <s v="Los Angeles County"/>
    <n v="1"/>
    <x v="11"/>
    <x v="2"/>
  </r>
  <r>
    <s v="TX502179"/>
    <s v="Maxi Dresses"/>
    <n v="30"/>
    <n v="27"/>
    <n v="810"/>
    <d v="2025-03-21T00:00:00"/>
    <d v="2025-03-22T00:00:00"/>
    <s v="F"/>
    <x v="4"/>
    <n v="4"/>
    <s v="California"/>
    <s v="Los Angeles County"/>
    <n v="1"/>
    <x v="11"/>
    <x v="2"/>
  </r>
  <r>
    <s v="TX502180"/>
    <s v="Shorts"/>
    <n v="4"/>
    <n v="14.2"/>
    <n v="56.8"/>
    <d v="2025-03-21T00:00:00"/>
    <d v="2025-03-22T00:00:00"/>
    <s v="M"/>
    <x v="0"/>
    <n v="5"/>
    <s v="California"/>
    <s v="Los Angeles County"/>
    <n v="1"/>
    <x v="11"/>
    <x v="1"/>
  </r>
  <r>
    <s v="TX502181"/>
    <s v="Hoodies &amp; Sweatshirts"/>
    <n v="2"/>
    <n v="68"/>
    <n v="136"/>
    <d v="2025-03-21T00:00:00"/>
    <d v="2025-03-31T00:00:00"/>
    <s v="M"/>
    <x v="2"/>
    <n v="3"/>
    <s v="California"/>
    <s v="Los Angeles County"/>
    <n v="10"/>
    <x v="11"/>
    <x v="1"/>
  </r>
  <r>
    <s v="TX502182"/>
    <s v="T-Shirts"/>
    <n v="1"/>
    <n v="30.7"/>
    <n v="30.7"/>
    <d v="2025-03-21T00:00:00"/>
    <d v="2025-03-22T00:00:00"/>
    <s v="M"/>
    <x v="0"/>
    <n v="4"/>
    <s v="California"/>
    <s v="Los Angeles County"/>
    <n v="1"/>
    <x v="11"/>
    <x v="1"/>
  </r>
  <r>
    <s v="TX502183"/>
    <s v="Pajama Sets"/>
    <n v="13"/>
    <n v="51.6"/>
    <n v="670.80000000000007"/>
    <d v="2025-03-21T00:00:00"/>
    <d v="2025-03-24T00:00:00"/>
    <s v="O"/>
    <x v="1"/>
    <n v="5"/>
    <s v="California"/>
    <s v="Los Angeles County"/>
    <n v="3"/>
    <x v="11"/>
    <x v="3"/>
  </r>
  <r>
    <s v="TX502184"/>
    <s v="T-Shirts"/>
    <n v="3"/>
    <n v="20.6"/>
    <n v="61.800000000000004"/>
    <d v="2025-03-21T00:00:00"/>
    <d v="2025-03-25T00:00:00"/>
    <s v="F"/>
    <x v="4"/>
    <n v="5"/>
    <s v="California"/>
    <s v="Los Angeles County"/>
    <n v="4"/>
    <x v="11"/>
    <x v="2"/>
  </r>
  <r>
    <s v="TX502185"/>
    <s v="T-Shirts"/>
    <n v="1"/>
    <n v="24.8"/>
    <n v="24.8"/>
    <d v="2025-03-21T00:00:00"/>
    <d v="2025-03-22T00:00:00"/>
    <s v="M"/>
    <x v="4"/>
    <n v="4"/>
    <s v="California"/>
    <s v="Los Angeles County"/>
    <n v="1"/>
    <x v="11"/>
    <x v="1"/>
  </r>
  <r>
    <s v="TX502186"/>
    <s v="Shorts"/>
    <n v="7"/>
    <n v="11.2"/>
    <n v="78.399999999999991"/>
    <d v="2025-03-21T00:00:00"/>
    <d v="2025-03-24T00:00:00"/>
    <s v="M"/>
    <x v="1"/>
    <n v="4"/>
    <s v="California"/>
    <s v="Los Angeles County"/>
    <n v="3"/>
    <x v="11"/>
    <x v="1"/>
  </r>
  <r>
    <s v="TX502187"/>
    <s v="Maxi Dresses"/>
    <n v="2"/>
    <n v="51.2"/>
    <n v="102.4"/>
    <d v="2025-03-21T00:00:00"/>
    <d v="2025-03-22T00:00:00"/>
    <s v="F"/>
    <x v="1"/>
    <n v="5"/>
    <s v="California"/>
    <s v="Los Angeles County"/>
    <n v="1"/>
    <x v="11"/>
    <x v="2"/>
  </r>
  <r>
    <s v="TX502188"/>
    <s v="Hoodies &amp; Sweatshirts"/>
    <n v="6"/>
    <n v="90.5"/>
    <n v="543"/>
    <d v="2025-03-21T00:00:00"/>
    <d v="2025-03-22T00:00:00"/>
    <s v="F"/>
    <x v="1"/>
    <n v="2"/>
    <s v="California"/>
    <s v="Los Angeles County"/>
    <n v="1"/>
    <x v="11"/>
    <x v="2"/>
  </r>
  <r>
    <s v="TX502189"/>
    <s v="Tank Tops"/>
    <n v="2"/>
    <n v="42.4"/>
    <n v="84.8"/>
    <d v="2025-03-21T00:00:00"/>
    <d v="2025-03-22T00:00:00"/>
    <s v="M"/>
    <x v="1"/>
    <n v="5"/>
    <s v="California"/>
    <s v="Nevada County"/>
    <n v="1"/>
    <x v="11"/>
    <x v="1"/>
  </r>
  <r>
    <s v="TX502190"/>
    <s v="Tank Tops"/>
    <n v="2"/>
    <n v="38.200000000000003"/>
    <n v="76.400000000000006"/>
    <d v="2025-03-21T00:00:00"/>
    <d v="2025-03-22T00:00:00"/>
    <s v="M"/>
    <x v="0"/>
    <n v="4"/>
    <s v="California"/>
    <s v="Placer County"/>
    <n v="1"/>
    <x v="11"/>
    <x v="1"/>
  </r>
  <r>
    <s v="TX502191"/>
    <s v="Sneakers"/>
    <n v="9"/>
    <n v="121.3"/>
    <n v="1091.7"/>
    <d v="2025-03-21T00:00:00"/>
    <d v="2025-03-26T00:00:00"/>
    <s v="M"/>
    <x v="0"/>
    <n v="4"/>
    <s v="California"/>
    <s v="Sacramento County"/>
    <n v="5"/>
    <x v="11"/>
    <x v="1"/>
  </r>
  <r>
    <s v="TX502192"/>
    <s v="Jeans"/>
    <n v="2"/>
    <n v="46.9"/>
    <n v="93.8"/>
    <d v="2025-03-21T00:00:00"/>
    <d v="2025-03-28T00:00:00"/>
    <s v="M"/>
    <x v="0"/>
    <n v="4"/>
    <s v="California"/>
    <s v="San Diego County"/>
    <n v="7"/>
    <x v="11"/>
    <x v="1"/>
  </r>
  <r>
    <s v="TX502193"/>
    <s v="Bikinis"/>
    <n v="1"/>
    <n v="55.3"/>
    <n v="55.3"/>
    <d v="2025-03-21T00:00:00"/>
    <d v="2025-03-23T00:00:00"/>
    <s v="M"/>
    <x v="0"/>
    <n v="4"/>
    <s v="California"/>
    <s v="San Diego County"/>
    <n v="2"/>
    <x v="11"/>
    <x v="1"/>
  </r>
  <r>
    <s v="TX502194"/>
    <s v="Sneakers"/>
    <n v="3"/>
    <n v="70.599999999999994"/>
    <n v="211.79999999999998"/>
    <d v="2025-03-22T00:00:00"/>
    <d v="2025-03-22T00:00:00"/>
    <s v="F"/>
    <x v="0"/>
    <n v="3"/>
    <s v="California"/>
    <s v="San Diego County"/>
    <n v="0"/>
    <x v="11"/>
    <x v="2"/>
  </r>
  <r>
    <s v="TX502195"/>
    <s v="Baseball Caps"/>
    <n v="4"/>
    <n v="26.1"/>
    <n v="104.4"/>
    <d v="2025-03-22T00:00:00"/>
    <d v="2025-03-24T00:00:00"/>
    <s v="M"/>
    <x v="0"/>
    <n v="4"/>
    <s v="California"/>
    <s v="San Diego County"/>
    <n v="2"/>
    <x v="11"/>
    <x v="1"/>
  </r>
  <r>
    <s v="TX502196"/>
    <s v="Sundresses"/>
    <n v="11"/>
    <n v="34.5"/>
    <n v="379.5"/>
    <d v="2025-03-22T00:00:00"/>
    <d v="2025-03-26T00:00:00"/>
    <s v="M"/>
    <x v="2"/>
    <n v="4"/>
    <s v="California"/>
    <s v="San Francisco"/>
    <n v="4"/>
    <x v="11"/>
    <x v="1"/>
  </r>
  <r>
    <s v="TX502197"/>
    <s v="Tank Tops"/>
    <n v="2"/>
    <n v="64.2"/>
    <n v="128.4"/>
    <d v="2025-03-22T00:00:00"/>
    <d v="2025-03-23T00:00:00"/>
    <s v="F"/>
    <x v="0"/>
    <n v="3"/>
    <s v="California"/>
    <s v="San Francisco"/>
    <n v="1"/>
    <x v="11"/>
    <x v="2"/>
  </r>
  <r>
    <s v="TX502198"/>
    <s v="Sneakers"/>
    <n v="4"/>
    <n v="145.69999999999999"/>
    <n v="582.79999999999995"/>
    <d v="2025-03-22T00:00:00"/>
    <d v="2025-03-23T00:00:00"/>
    <s v="F"/>
    <x v="0"/>
    <n v="2"/>
    <s v="California"/>
    <s v="San Francisco"/>
    <n v="1"/>
    <x v="11"/>
    <x v="2"/>
  </r>
  <r>
    <s v="TX502199"/>
    <s v="Casual Dresses"/>
    <n v="2"/>
    <n v="78.5"/>
    <n v="157"/>
    <d v="2025-03-22T00:00:00"/>
    <d v="2025-03-23T00:00:00"/>
    <s v="M"/>
    <x v="2"/>
    <n v="4"/>
    <s v="California"/>
    <s v="San Joaquin County"/>
    <n v="1"/>
    <x v="11"/>
    <x v="1"/>
  </r>
  <r>
    <s v="TX502200"/>
    <s v="Tank Tops"/>
    <n v="1"/>
    <n v="34.200000000000003"/>
    <n v="34.200000000000003"/>
    <d v="2025-03-22T00:00:00"/>
    <d v="2025-03-24T00:00:00"/>
    <s v="M"/>
    <x v="0"/>
    <n v="4"/>
    <s v="California"/>
    <s v="San Mateo County"/>
    <n v="2"/>
    <x v="11"/>
    <x v="1"/>
  </r>
  <r>
    <s v="TX502201"/>
    <s v="Jewelry"/>
    <n v="1"/>
    <n v="26.2"/>
    <n v="26.2"/>
    <d v="2025-03-22T00:00:00"/>
    <d v="2025-03-23T00:00:00"/>
    <s v="M"/>
    <x v="2"/>
    <n v="4"/>
    <s v="California"/>
    <s v="San Mateo County"/>
    <n v="1"/>
    <x v="11"/>
    <x v="1"/>
  </r>
  <r>
    <s v="TX502202"/>
    <s v="Jeans"/>
    <n v="4"/>
    <n v="53.2"/>
    <n v="212.8"/>
    <d v="2025-03-22T00:00:00"/>
    <d v="2025-03-23T00:00:00"/>
    <s v="M"/>
    <x v="1"/>
    <n v="3"/>
    <s v="California"/>
    <s v="Santa Clara County"/>
    <n v="1"/>
    <x v="11"/>
    <x v="1"/>
  </r>
  <r>
    <s v="TX502203"/>
    <s v="Tank Tops"/>
    <n v="1"/>
    <n v="35.4"/>
    <n v="35.4"/>
    <d v="2025-03-22T00:00:00"/>
    <d v="2025-03-26T00:00:00"/>
    <s v="M"/>
    <x v="1"/>
    <n v="2"/>
    <s v="California"/>
    <s v="Sonoma County"/>
    <n v="4"/>
    <x v="11"/>
    <x v="1"/>
  </r>
  <r>
    <s v="TX502204"/>
    <s v="Baseball Caps"/>
    <n v="2"/>
    <n v="21.3"/>
    <n v="42.6"/>
    <d v="2025-03-22T00:00:00"/>
    <d v="2025-03-23T00:00:00"/>
    <s v="M"/>
    <x v="2"/>
    <n v="4"/>
    <s v="California"/>
    <s v="Tulare County"/>
    <n v="1"/>
    <x v="11"/>
    <x v="1"/>
  </r>
  <r>
    <s v="TX502205"/>
    <s v="T-Shirts"/>
    <n v="4"/>
    <n v="32.9"/>
    <n v="131.6"/>
    <d v="2025-03-22T00:00:00"/>
    <d v="2025-03-25T00:00:00"/>
    <s v="F"/>
    <x v="4"/>
    <n v="5"/>
    <s v="California"/>
    <s v="Alameda County"/>
    <n v="3"/>
    <x v="11"/>
    <x v="2"/>
  </r>
  <r>
    <s v="TX502206"/>
    <s v="Sandals"/>
    <n v="15"/>
    <n v="85.5"/>
    <n v="1282.5"/>
    <d v="2025-03-22T00:00:00"/>
    <d v="2025-03-24T00:00:00"/>
    <s v="F"/>
    <x v="3"/>
    <n v="3"/>
    <s v="California"/>
    <s v="Alameda County"/>
    <n v="2"/>
    <x v="11"/>
    <x v="2"/>
  </r>
  <r>
    <s v="TX502207"/>
    <s v="Graphic Tees"/>
    <n v="1"/>
    <n v="26.8"/>
    <n v="26.8"/>
    <d v="2025-03-22T00:00:00"/>
    <d v="2025-03-23T00:00:00"/>
    <s v="F"/>
    <x v="0"/>
    <n v="3"/>
    <s v="California"/>
    <s v="Fresno County"/>
    <n v="1"/>
    <x v="11"/>
    <x v="2"/>
  </r>
  <r>
    <s v="TX502208"/>
    <s v="Sundresses"/>
    <n v="26"/>
    <n v="31.7"/>
    <n v="824.19999999999993"/>
    <d v="2025-03-22T00:00:00"/>
    <d v="2025-03-22T00:00:00"/>
    <s v="F"/>
    <x v="3"/>
    <n v="4"/>
    <s v="California"/>
    <s v="Fresno County"/>
    <n v="0"/>
    <x v="11"/>
    <x v="2"/>
  </r>
  <r>
    <s v="TX502209"/>
    <s v="Tank Tops"/>
    <n v="2"/>
    <n v="78.3"/>
    <n v="156.6"/>
    <d v="2025-03-22T00:00:00"/>
    <d v="2025-03-24T00:00:00"/>
    <s v="F"/>
    <x v="1"/>
    <n v="3"/>
    <s v="California"/>
    <s v="Los Angeles County"/>
    <n v="2"/>
    <x v="11"/>
    <x v="2"/>
  </r>
  <r>
    <s v="TX502210"/>
    <s v="Jeans"/>
    <n v="1"/>
    <n v="43.9"/>
    <n v="43.9"/>
    <d v="2025-03-22T00:00:00"/>
    <d v="2025-03-23T00:00:00"/>
    <s v="M"/>
    <x v="0"/>
    <n v="4"/>
    <s v="California"/>
    <s v="Los Angeles County"/>
    <n v="1"/>
    <x v="11"/>
    <x v="1"/>
  </r>
  <r>
    <s v="TX502211"/>
    <s v="Leggings"/>
    <n v="3"/>
    <n v="84"/>
    <n v="252"/>
    <d v="2025-03-22T00:00:00"/>
    <d v="2025-03-24T00:00:00"/>
    <s v=""/>
    <x v="3"/>
    <n v="5"/>
    <s v="California"/>
    <s v="Los Angeles County"/>
    <n v="2"/>
    <x v="11"/>
    <x v="0"/>
  </r>
  <r>
    <s v="TX502212"/>
    <s v="Shorts"/>
    <n v="3"/>
    <n v="11.4"/>
    <n v="34.200000000000003"/>
    <d v="2025-03-22T00:00:00"/>
    <d v="2025-03-23T00:00:00"/>
    <s v="M"/>
    <x v="4"/>
    <n v="4"/>
    <s v="California"/>
    <s v="Los Angeles County"/>
    <n v="1"/>
    <x v="11"/>
    <x v="1"/>
  </r>
  <r>
    <s v="TX502213"/>
    <s v="Casual Dresses"/>
    <n v="8"/>
    <n v="47.5"/>
    <n v="380"/>
    <d v="2025-03-22T00:00:00"/>
    <d v="2025-03-30T00:00:00"/>
    <s v="F"/>
    <x v="0"/>
    <n v="4"/>
    <s v="California"/>
    <s v="Los Angeles County"/>
    <n v="8"/>
    <x v="11"/>
    <x v="2"/>
  </r>
  <r>
    <s v="TX502214"/>
    <s v="Sundresses"/>
    <n v="11"/>
    <n v="50.5"/>
    <n v="555.5"/>
    <d v="2025-03-22T00:00:00"/>
    <d v="2025-03-24T00:00:00"/>
    <s v="M"/>
    <x v="2"/>
    <n v="4"/>
    <s v="California"/>
    <s v="Los Angeles County"/>
    <n v="2"/>
    <x v="11"/>
    <x v="1"/>
  </r>
  <r>
    <s v="TX502215"/>
    <s v="Crop Tops"/>
    <n v="1"/>
    <n v="36.299999999999997"/>
    <n v="36.299999999999997"/>
    <d v="2025-03-22T00:00:00"/>
    <d v="2025-03-25T00:00:00"/>
    <s v="O"/>
    <x v="0"/>
    <n v="3"/>
    <s v="California"/>
    <s v="San Diego County"/>
    <n v="3"/>
    <x v="11"/>
    <x v="3"/>
  </r>
  <r>
    <s v="TX502216"/>
    <s v="T-Shirts"/>
    <n v="2"/>
    <n v="35.4"/>
    <n v="70.8"/>
    <d v="2025-03-22T00:00:00"/>
    <d v="2025-03-23T00:00:00"/>
    <s v="F"/>
    <x v="0"/>
    <n v="4"/>
    <s v="California"/>
    <s v="San Francisco"/>
    <n v="1"/>
    <x v="11"/>
    <x v="2"/>
  </r>
  <r>
    <s v="TX502217"/>
    <s v="Tank Tops"/>
    <n v="3"/>
    <n v="45.9"/>
    <n v="137.69999999999999"/>
    <d v="2025-03-23T00:00:00"/>
    <d v="2025-03-24T00:00:00"/>
    <s v="M"/>
    <x v="3"/>
    <n v="4"/>
    <s v="California"/>
    <s v="San Mateo County"/>
    <n v="1"/>
    <x v="11"/>
    <x v="1"/>
  </r>
  <r>
    <s v="TX502218"/>
    <s v="Jeans"/>
    <n v="10"/>
    <n v="41.2"/>
    <n v="412"/>
    <d v="2025-03-23T00:00:00"/>
    <d v="2025-03-27T00:00:00"/>
    <s v="M"/>
    <x v="0"/>
    <n v="4"/>
    <s v="California"/>
    <s v="Santa Clara County"/>
    <n v="4"/>
    <x v="11"/>
    <x v="1"/>
  </r>
  <r>
    <s v="TX502219"/>
    <s v="Pajama Sets"/>
    <n v="2"/>
    <n v="45.1"/>
    <n v="90.2"/>
    <d v="2025-03-23T00:00:00"/>
    <d v="2025-03-24T00:00:00"/>
    <s v="M"/>
    <x v="1"/>
    <n v="3"/>
    <s v="California"/>
    <s v="Alameda County"/>
    <n v="1"/>
    <x v="11"/>
    <x v="1"/>
  </r>
  <r>
    <s v="TX502220"/>
    <s v="Jeans"/>
    <n v="10"/>
    <n v="63.6"/>
    <n v="636"/>
    <d v="2025-03-23T00:00:00"/>
    <d v="2025-03-23T00:00:00"/>
    <s v="M"/>
    <x v="2"/>
    <n v="4"/>
    <s v="California"/>
    <s v="Contra Costa County"/>
    <n v="0"/>
    <x v="11"/>
    <x v="1"/>
  </r>
  <r>
    <s v="TX502221"/>
    <s v="T-Shirts"/>
    <n v="1"/>
    <n v="70.5"/>
    <n v="70.5"/>
    <d v="2025-03-23T00:00:00"/>
    <d v="2025-03-24T00:00:00"/>
    <s v="M"/>
    <x v="0"/>
    <n v="4"/>
    <s v="California"/>
    <s v="Los Angeles County"/>
    <n v="1"/>
    <x v="11"/>
    <x v="1"/>
  </r>
  <r>
    <s v="TX502222"/>
    <s v="Jeans"/>
    <n v="1"/>
    <n v="41.3"/>
    <n v="41.3"/>
    <d v="2025-03-23T00:00:00"/>
    <d v="2025-03-23T00:00:00"/>
    <s v="M"/>
    <x v="4"/>
    <n v="4"/>
    <s v="California"/>
    <s v="Los Angeles County"/>
    <n v="0"/>
    <x v="11"/>
    <x v="1"/>
  </r>
  <r>
    <s v="TX502223"/>
    <s v="Graphic Tees"/>
    <n v="1"/>
    <n v="35.299999999999997"/>
    <n v="35.299999999999997"/>
    <d v="2025-03-23T00:00:00"/>
    <d v="2025-03-26T00:00:00"/>
    <s v="F"/>
    <x v="4"/>
    <n v="5"/>
    <s v="California"/>
    <s v="Los Angeles County"/>
    <n v="3"/>
    <x v="11"/>
    <x v="2"/>
  </r>
  <r>
    <s v="TX502224"/>
    <s v="T-Shirts"/>
    <n v="5"/>
    <n v="34.700000000000003"/>
    <n v="173.5"/>
    <d v="2025-03-23T00:00:00"/>
    <d v="2025-03-24T00:00:00"/>
    <s v="F"/>
    <x v="0"/>
    <n v="5"/>
    <s v="California"/>
    <s v="Los Angeles County"/>
    <n v="1"/>
    <x v="11"/>
    <x v="2"/>
  </r>
  <r>
    <s v="TX502225"/>
    <s v="T-Shirts"/>
    <n v="3"/>
    <n v="26.1"/>
    <n v="78.300000000000011"/>
    <d v="2025-03-23T00:00:00"/>
    <d v="2025-03-24T00:00:00"/>
    <s v="F"/>
    <x v="0"/>
    <n v="4"/>
    <s v="California"/>
    <s v="Los Angeles County"/>
    <n v="1"/>
    <x v="11"/>
    <x v="2"/>
  </r>
  <r>
    <s v="TX502226"/>
    <s v="Sundresses"/>
    <n v="5"/>
    <n v="22.6"/>
    <n v="113"/>
    <d v="2025-03-23T00:00:00"/>
    <d v="2025-03-23T00:00:00"/>
    <s v="F"/>
    <x v="1"/>
    <n v="5"/>
    <s v="California"/>
    <s v="Los Angeles County"/>
    <n v="0"/>
    <x v="11"/>
    <x v="2"/>
  </r>
  <r>
    <s v="TX502227"/>
    <s v="Sneakers"/>
    <n v="2"/>
    <n v="154.4"/>
    <n v="308.8"/>
    <d v="2025-03-23T00:00:00"/>
    <d v="2025-03-26T00:00:00"/>
    <s v="M"/>
    <x v="1"/>
    <n v="3"/>
    <s v="California"/>
    <s v="Los Angeles County"/>
    <n v="3"/>
    <x v="11"/>
    <x v="1"/>
  </r>
  <r>
    <s v="TX502228"/>
    <s v="T-Shirts"/>
    <n v="2"/>
    <n v="18.399999999999999"/>
    <n v="36.799999999999997"/>
    <d v="2025-03-23T00:00:00"/>
    <d v="2025-03-24T00:00:00"/>
    <s v="M"/>
    <x v="0"/>
    <n v="4"/>
    <s v="California"/>
    <s v="Los Angeles County"/>
    <n v="1"/>
    <x v="11"/>
    <x v="1"/>
  </r>
  <r>
    <s v="TX502229"/>
    <s v="Baseball Caps"/>
    <n v="1"/>
    <n v="25"/>
    <n v="25"/>
    <d v="2025-03-23T00:00:00"/>
    <d v="2025-03-26T00:00:00"/>
    <s v="F"/>
    <x v="0"/>
    <n v="4"/>
    <s v="California"/>
    <s v="Los Angeles County"/>
    <n v="3"/>
    <x v="11"/>
    <x v="2"/>
  </r>
  <r>
    <s v="TX502230"/>
    <s v="Sneakers"/>
    <n v="6"/>
    <n v="105.6"/>
    <n v="633.59999999999991"/>
    <d v="2025-03-23T00:00:00"/>
    <d v="2025-03-23T00:00:00"/>
    <s v="F"/>
    <x v="0"/>
    <n v="4"/>
    <s v="California"/>
    <s v="Los Angeles County"/>
    <n v="0"/>
    <x v="11"/>
    <x v="2"/>
  </r>
  <r>
    <s v="TX502231"/>
    <s v="Leggings"/>
    <n v="8"/>
    <n v="59.6"/>
    <n v="476.8"/>
    <d v="2025-03-23T00:00:00"/>
    <d v="2025-03-23T00:00:00"/>
    <s v="F"/>
    <x v="0"/>
    <n v="5"/>
    <s v="California"/>
    <s v="Riverside County"/>
    <n v="0"/>
    <x v="11"/>
    <x v="2"/>
  </r>
  <r>
    <s v="TX502232"/>
    <s v="Crop Tops"/>
    <n v="3"/>
    <n v="75.400000000000006"/>
    <n v="226.20000000000002"/>
    <d v="2025-03-23T00:00:00"/>
    <d v="2025-03-28T00:00:00"/>
    <s v="M"/>
    <x v="0"/>
    <n v="3"/>
    <s v="California"/>
    <s v="San Bernardino County"/>
    <n v="5"/>
    <x v="11"/>
    <x v="1"/>
  </r>
  <r>
    <s v="TX502233"/>
    <s v="Hoodies &amp; Sweatshirts"/>
    <n v="1"/>
    <n v="104.4"/>
    <n v="104.4"/>
    <d v="2025-03-23T00:00:00"/>
    <d v="2025-03-24T00:00:00"/>
    <s v="F"/>
    <x v="0"/>
    <n v="4"/>
    <s v="California"/>
    <s v="San Diego County"/>
    <n v="1"/>
    <x v="11"/>
    <x v="2"/>
  </r>
  <r>
    <s v="TX502234"/>
    <s v="Sneakers"/>
    <n v="10"/>
    <n v="208.2"/>
    <n v="2082"/>
    <d v="2025-03-23T00:00:00"/>
    <d v="2025-03-24T00:00:00"/>
    <s v="M"/>
    <x v="0"/>
    <n v="5"/>
    <s v="California"/>
    <s v="San Diego County"/>
    <n v="1"/>
    <x v="11"/>
    <x v="1"/>
  </r>
  <r>
    <s v="TX502235"/>
    <s v="Jeans"/>
    <n v="2"/>
    <n v="45"/>
    <n v="90"/>
    <d v="2025-03-23T00:00:00"/>
    <d v="2025-03-26T00:00:00"/>
    <s v="F"/>
    <x v="0"/>
    <n v="4"/>
    <s v="California"/>
    <s v="Santa Barbara County"/>
    <n v="3"/>
    <x v="11"/>
    <x v="2"/>
  </r>
  <r>
    <s v="TX502236"/>
    <s v="Crop Tops"/>
    <n v="2"/>
    <n v="20.3"/>
    <n v="40.6"/>
    <d v="2025-03-24T00:00:00"/>
    <d v="2025-03-26T00:00:00"/>
    <s v=""/>
    <x v="1"/>
    <n v="4"/>
    <s v="California"/>
    <s v="Santa Clara County"/>
    <n v="2"/>
    <x v="12"/>
    <x v="0"/>
  </r>
  <r>
    <s v="TX502237"/>
    <s v="Sneakers"/>
    <n v="3"/>
    <n v="94.4"/>
    <n v="283.20000000000005"/>
    <d v="2025-03-24T00:00:00"/>
    <d v="2025-03-25T00:00:00"/>
    <s v="F"/>
    <x v="0"/>
    <n v="5"/>
    <s v="California"/>
    <s v="Santa Clara County"/>
    <n v="1"/>
    <x v="12"/>
    <x v="2"/>
  </r>
  <r>
    <s v="TX502238"/>
    <s v="Sundresses"/>
    <n v="1"/>
    <n v="49"/>
    <n v="49"/>
    <d v="2025-03-24T00:00:00"/>
    <d v="2025-03-26T00:00:00"/>
    <s v="F"/>
    <x v="0"/>
    <n v="5"/>
    <s v="California"/>
    <s v="Tulare County"/>
    <n v="2"/>
    <x v="12"/>
    <x v="2"/>
  </r>
  <r>
    <s v="TX502239"/>
    <s v="Graphic Tees"/>
    <n v="2"/>
    <n v="27.2"/>
    <n v="54.4"/>
    <d v="2025-03-24T00:00:00"/>
    <d v="2025-03-26T00:00:00"/>
    <s v="M"/>
    <x v="0"/>
    <n v="5"/>
    <s v="California"/>
    <s v="Contra Costa County"/>
    <n v="2"/>
    <x v="12"/>
    <x v="1"/>
  </r>
  <r>
    <s v="TX502240"/>
    <s v="Sneakers"/>
    <n v="6"/>
    <n v="72.599999999999994"/>
    <n v="435.59999999999997"/>
    <d v="2025-03-24T00:00:00"/>
    <d v="2025-03-25T00:00:00"/>
    <s v="F"/>
    <x v="0"/>
    <n v="5"/>
    <s v="California"/>
    <s v="Fresno County"/>
    <n v="1"/>
    <x v="12"/>
    <x v="2"/>
  </r>
  <r>
    <s v="TX502241"/>
    <s v="Crop Tops"/>
    <n v="4"/>
    <n v="62.4"/>
    <n v="249.6"/>
    <d v="2025-03-24T00:00:00"/>
    <d v="2025-03-25T00:00:00"/>
    <s v="F"/>
    <x v="0"/>
    <n v="4"/>
    <s v="California"/>
    <s v="Los Angeles County"/>
    <n v="1"/>
    <x v="12"/>
    <x v="2"/>
  </r>
  <r>
    <s v="TX502242"/>
    <s v="T-Shirts"/>
    <n v="3"/>
    <n v="19.100000000000001"/>
    <n v="57.300000000000004"/>
    <d v="2025-03-24T00:00:00"/>
    <d v="2025-03-26T00:00:00"/>
    <s v="M"/>
    <x v="0"/>
    <n v="3"/>
    <s v="California"/>
    <s v="Los Angeles County"/>
    <n v="2"/>
    <x v="12"/>
    <x v="1"/>
  </r>
  <r>
    <s v="TX502243"/>
    <s v="Bikinis"/>
    <n v="1"/>
    <n v="29.6"/>
    <n v="29.6"/>
    <d v="2025-03-24T00:00:00"/>
    <d v="2025-03-28T00:00:00"/>
    <s v="M"/>
    <x v="0"/>
    <n v="2"/>
    <s v="California"/>
    <s v="Los Angeles County"/>
    <n v="4"/>
    <x v="12"/>
    <x v="1"/>
  </r>
  <r>
    <s v="TX502244"/>
    <s v="T-Shirts"/>
    <n v="2"/>
    <n v="18.899999999999999"/>
    <n v="37.799999999999997"/>
    <d v="2025-03-24T00:00:00"/>
    <d v="2025-03-26T00:00:00"/>
    <s v="F"/>
    <x v="4"/>
    <n v="5"/>
    <s v="California"/>
    <s v="Los Angeles County"/>
    <n v="2"/>
    <x v="12"/>
    <x v="2"/>
  </r>
  <r>
    <s v="TX502245"/>
    <s v="Bikinis"/>
    <n v="5"/>
    <n v="41.4"/>
    <n v="207"/>
    <d v="2025-03-24T00:00:00"/>
    <d v="2025-03-25T00:00:00"/>
    <s v="M"/>
    <x v="3"/>
    <n v="4"/>
    <s v="California"/>
    <s v="Los Angeles County"/>
    <n v="1"/>
    <x v="12"/>
    <x v="1"/>
  </r>
  <r>
    <s v="TX502246"/>
    <s v="Sneakers"/>
    <n v="1"/>
    <n v="118.4"/>
    <n v="118.4"/>
    <d v="2025-03-24T00:00:00"/>
    <d v="2025-03-25T00:00:00"/>
    <s v="F"/>
    <x v="0"/>
    <n v="5"/>
    <s v="California"/>
    <s v="Los Angeles County"/>
    <n v="1"/>
    <x v="12"/>
    <x v="2"/>
  </r>
  <r>
    <s v="TX502247"/>
    <s v="Sneakers"/>
    <n v="2"/>
    <n v="125.3"/>
    <n v="250.6"/>
    <d v="2025-03-24T00:00:00"/>
    <d v="2025-03-27T00:00:00"/>
    <s v="F"/>
    <x v="0"/>
    <n v="5"/>
    <s v="California"/>
    <s v="Los Angeles County"/>
    <n v="3"/>
    <x v="12"/>
    <x v="2"/>
  </r>
  <r>
    <s v="TX502248"/>
    <s v="Workout Tops"/>
    <n v="2"/>
    <n v="85.8"/>
    <n v="171.6"/>
    <d v="2025-03-24T00:00:00"/>
    <d v="2025-03-25T00:00:00"/>
    <s v="F"/>
    <x v="1"/>
    <n v="2"/>
    <s v="California"/>
    <s v="Los Angeles County"/>
    <n v="1"/>
    <x v="12"/>
    <x v="2"/>
  </r>
  <r>
    <s v="TX502249"/>
    <s v="Jeans"/>
    <n v="1"/>
    <n v="44.2"/>
    <n v="44.2"/>
    <d v="2025-03-24T00:00:00"/>
    <d v="2025-03-27T00:00:00"/>
    <s v="M"/>
    <x v="1"/>
    <n v="4"/>
    <s v="California"/>
    <s v="Los Angeles County"/>
    <n v="3"/>
    <x v="12"/>
    <x v="1"/>
  </r>
  <r>
    <s v="TX502250"/>
    <s v="Sandals"/>
    <n v="4"/>
    <n v="74.099999999999994"/>
    <n v="296.39999999999998"/>
    <d v="2025-03-24T00:00:00"/>
    <d v="2025-03-26T00:00:00"/>
    <s v="F"/>
    <x v="0"/>
    <n v="4"/>
    <s v="California"/>
    <s v="Los Angeles County"/>
    <n v="2"/>
    <x v="12"/>
    <x v="2"/>
  </r>
  <r>
    <s v="TX502251"/>
    <s v="T-Shirts"/>
    <n v="1"/>
    <n v="33.799999999999997"/>
    <n v="33.799999999999997"/>
    <d v="2025-03-24T00:00:00"/>
    <d v="2025-03-25T00:00:00"/>
    <s v="F"/>
    <x v="2"/>
    <n v="5"/>
    <s v="California"/>
    <s v="Merced County"/>
    <n v="1"/>
    <x v="12"/>
    <x v="2"/>
  </r>
  <r>
    <s v="TX502252"/>
    <s v="Tank Tops"/>
    <n v="2"/>
    <n v="39.1"/>
    <n v="78.2"/>
    <d v="2025-03-24T00:00:00"/>
    <d v="2025-03-25T00:00:00"/>
    <s v="M"/>
    <x v="0"/>
    <n v="3"/>
    <s v="California"/>
    <s v="Merced County"/>
    <n v="1"/>
    <x v="12"/>
    <x v="1"/>
  </r>
  <r>
    <s v="TX502253"/>
    <s v="Shorts"/>
    <n v="1"/>
    <n v="37.200000000000003"/>
    <n v="37.200000000000003"/>
    <d v="2025-03-24T00:00:00"/>
    <d v="2025-03-25T00:00:00"/>
    <s v="M"/>
    <x v="0"/>
    <n v="3"/>
    <s v="California"/>
    <s v="Napa County"/>
    <n v="1"/>
    <x v="12"/>
    <x v="1"/>
  </r>
  <r>
    <s v="TX502254"/>
    <s v="Crop Tops"/>
    <n v="3"/>
    <n v="33.9"/>
    <n v="101.69999999999999"/>
    <d v="2025-03-24T00:00:00"/>
    <d v="2025-03-26T00:00:00"/>
    <s v="M"/>
    <x v="2"/>
    <n v="4"/>
    <s v="California"/>
    <s v="Sacramento County"/>
    <n v="2"/>
    <x v="12"/>
    <x v="1"/>
  </r>
  <r>
    <s v="TX502255"/>
    <s v="Hoodies &amp; Sweatshirts"/>
    <n v="15"/>
    <n v="73.3"/>
    <n v="1099.5"/>
    <d v="2025-03-24T00:00:00"/>
    <d v="2025-03-27T00:00:00"/>
    <s v="F"/>
    <x v="2"/>
    <n v="3"/>
    <s v="California"/>
    <s v="San Diego County"/>
    <n v="3"/>
    <x v="12"/>
    <x v="2"/>
  </r>
  <r>
    <s v="TX502256"/>
    <s v="T-Shirts"/>
    <n v="4"/>
    <n v="35"/>
    <n v="140"/>
    <d v="2025-03-24T00:00:00"/>
    <d v="2025-03-26T00:00:00"/>
    <s v="F"/>
    <x v="1"/>
    <n v="4"/>
    <s v="California"/>
    <s v="San Diego County"/>
    <n v="2"/>
    <x v="12"/>
    <x v="2"/>
  </r>
  <r>
    <s v="TX502257"/>
    <s v="Shorts"/>
    <n v="3"/>
    <n v="22.2"/>
    <n v="66.599999999999994"/>
    <d v="2025-03-24T00:00:00"/>
    <d v="2025-03-25T00:00:00"/>
    <s v="M"/>
    <x v="1"/>
    <n v="4"/>
    <s v="California"/>
    <s v="San Francisco"/>
    <n v="1"/>
    <x v="12"/>
    <x v="1"/>
  </r>
  <r>
    <s v="TX502258"/>
    <s v="Bikinis"/>
    <n v="1"/>
    <n v="32.4"/>
    <n v="32.4"/>
    <d v="2025-03-24T00:00:00"/>
    <d v="2025-03-25T00:00:00"/>
    <s v="F"/>
    <x v="0"/>
    <n v="4"/>
    <s v="California"/>
    <s v="Santa Clara County"/>
    <n v="1"/>
    <x v="12"/>
    <x v="2"/>
  </r>
  <r>
    <s v="TX502259"/>
    <s v="Sandals"/>
    <n v="3"/>
    <n v="88.4"/>
    <n v="265.20000000000005"/>
    <d v="2025-03-25T00:00:00"/>
    <d v="2025-03-27T00:00:00"/>
    <s v="F"/>
    <x v="1"/>
    <n v="3"/>
    <s v="California"/>
    <s v="Santa Clara County"/>
    <n v="2"/>
    <x v="12"/>
    <x v="2"/>
  </r>
  <r>
    <s v="TX502260"/>
    <s v="Sandals"/>
    <n v="16"/>
    <n v="30.5"/>
    <n v="488"/>
    <d v="2025-03-25T00:00:00"/>
    <d v="2025-03-26T00:00:00"/>
    <s v="F"/>
    <x v="2"/>
    <n v="4"/>
    <s v="California"/>
    <s v="Santa Clara County"/>
    <n v="1"/>
    <x v="12"/>
    <x v="2"/>
  </r>
  <r>
    <s v="TX502261"/>
    <s v="Tank Tops"/>
    <n v="6"/>
    <n v="38.1"/>
    <n v="228.60000000000002"/>
    <d v="2025-03-25T00:00:00"/>
    <d v="2025-03-27T00:00:00"/>
    <s v="F"/>
    <x v="0"/>
    <n v="3"/>
    <s v="California"/>
    <s v="Santa Clara County"/>
    <n v="2"/>
    <x v="12"/>
    <x v="2"/>
  </r>
  <r>
    <s v="TX502262"/>
    <s v="Bikinis"/>
    <n v="5"/>
    <n v="37.6"/>
    <n v="188"/>
    <d v="2025-03-25T00:00:00"/>
    <d v="2025-03-29T00:00:00"/>
    <s v="M"/>
    <x v="0"/>
    <n v="4"/>
    <s v="California"/>
    <s v="Santa Clara County"/>
    <n v="4"/>
    <x v="12"/>
    <x v="1"/>
  </r>
  <r>
    <s v="TX502263"/>
    <s v="Crop Tops"/>
    <n v="2"/>
    <n v="31.4"/>
    <n v="62.8"/>
    <d v="2025-03-25T00:00:00"/>
    <d v="2025-03-26T00:00:00"/>
    <s v="M"/>
    <x v="0"/>
    <n v="5"/>
    <s v="California"/>
    <s v="Santa Clara County"/>
    <n v="1"/>
    <x v="12"/>
    <x v="1"/>
  </r>
  <r>
    <s v="TX502264"/>
    <s v="Jeans"/>
    <n v="2"/>
    <n v="61.5"/>
    <n v="123"/>
    <d v="2025-03-25T00:00:00"/>
    <d v="2025-03-26T00:00:00"/>
    <s v="M"/>
    <x v="3"/>
    <n v="4"/>
    <s v="California"/>
    <s v="Sutter County"/>
    <n v="1"/>
    <x v="12"/>
    <x v="1"/>
  </r>
  <r>
    <s v="TX502265"/>
    <s v="Jeans"/>
    <n v="1"/>
    <n v="72.599999999999994"/>
    <n v="72.599999999999994"/>
    <d v="2025-03-25T00:00:00"/>
    <d v="2025-03-26T00:00:00"/>
    <s v="M"/>
    <x v="0"/>
    <n v="3"/>
    <s v="California"/>
    <s v="Alameda County"/>
    <n v="1"/>
    <x v="12"/>
    <x v="1"/>
  </r>
  <r>
    <s v="TX502266"/>
    <s v="Sundresses"/>
    <n v="3"/>
    <n v="26.9"/>
    <n v="80.699999999999989"/>
    <d v="2025-03-25T00:00:00"/>
    <d v="2025-03-30T00:00:00"/>
    <s v="O"/>
    <x v="4"/>
    <n v="3"/>
    <s v="California"/>
    <s v="Amador County"/>
    <n v="5"/>
    <x v="12"/>
    <x v="3"/>
  </r>
  <r>
    <s v="TX502267"/>
    <s v="Pajama Sets"/>
    <n v="12"/>
    <n v="29.4"/>
    <n v="352.79999999999995"/>
    <d v="2025-03-25T00:00:00"/>
    <d v="2025-03-26T00:00:00"/>
    <s v="F"/>
    <x v="1"/>
    <n v="4"/>
    <s v="California"/>
    <s v="Butte County"/>
    <n v="1"/>
    <x v="12"/>
    <x v="2"/>
  </r>
  <r>
    <s v="TX502268"/>
    <s v="Pajama Sets"/>
    <n v="2"/>
    <n v="42.1"/>
    <n v="84.2"/>
    <d v="2025-03-25T00:00:00"/>
    <d v="2025-03-26T00:00:00"/>
    <s v="F"/>
    <x v="3"/>
    <n v="3"/>
    <s v="California"/>
    <s v="Contra Costa County"/>
    <n v="1"/>
    <x v="12"/>
    <x v="2"/>
  </r>
  <r>
    <s v="TX502269"/>
    <s v="Sandals"/>
    <n v="1"/>
    <n v="40.5"/>
    <n v="40.5"/>
    <d v="2025-03-25T00:00:00"/>
    <d v="2025-03-26T00:00:00"/>
    <s v="F"/>
    <x v="2"/>
    <n v="3"/>
    <s v="California"/>
    <s v="Contra Costa County"/>
    <n v="1"/>
    <x v="12"/>
    <x v="2"/>
  </r>
  <r>
    <s v="TX502270"/>
    <s v="Sneakers"/>
    <n v="4"/>
    <n v="182.3"/>
    <n v="729.2"/>
    <d v="2025-03-25T00:00:00"/>
    <d v="2025-03-26T00:00:00"/>
    <s v="F"/>
    <x v="1"/>
    <n v="4"/>
    <s v="California"/>
    <s v="Contra Costa County"/>
    <n v="1"/>
    <x v="12"/>
    <x v="2"/>
  </r>
  <r>
    <s v="TX502271"/>
    <s v="Sneakers"/>
    <n v="5"/>
    <n v="157"/>
    <n v="785"/>
    <d v="2025-03-25T00:00:00"/>
    <d v="2025-03-28T00:00:00"/>
    <s v="F"/>
    <x v="1"/>
    <n v="5"/>
    <s v="California"/>
    <s v="Fresno County"/>
    <n v="3"/>
    <x v="12"/>
    <x v="2"/>
  </r>
  <r>
    <s v="TX502272"/>
    <s v="Pajama Sets"/>
    <n v="5"/>
    <n v="45.2"/>
    <n v="226"/>
    <d v="2025-03-25T00:00:00"/>
    <d v="2025-03-28T00:00:00"/>
    <s v="F"/>
    <x v="1"/>
    <n v="4"/>
    <s v="California"/>
    <s v="Kern County"/>
    <n v="3"/>
    <x v="12"/>
    <x v="2"/>
  </r>
  <r>
    <s v="TX502273"/>
    <s v="Crop Tops"/>
    <n v="4"/>
    <n v="27.4"/>
    <n v="109.6"/>
    <d v="2025-03-25T00:00:00"/>
    <d v="2025-03-27T00:00:00"/>
    <s v="F"/>
    <x v="0"/>
    <n v="4"/>
    <s v="California"/>
    <s v="Los Angeles County"/>
    <n v="2"/>
    <x v="12"/>
    <x v="2"/>
  </r>
  <r>
    <s v="TX502274"/>
    <s v="Sandals"/>
    <n v="5"/>
    <n v="34.1"/>
    <n v="170.5"/>
    <d v="2025-03-25T00:00:00"/>
    <d v="2025-03-27T00:00:00"/>
    <s v="M"/>
    <x v="0"/>
    <n v="5"/>
    <s v="California"/>
    <s v="Los Angeles County"/>
    <n v="2"/>
    <x v="12"/>
    <x v="1"/>
  </r>
  <r>
    <s v="TX502275"/>
    <s v="Shorts"/>
    <n v="2"/>
    <n v="26"/>
    <n v="52"/>
    <d v="2025-03-25T00:00:00"/>
    <d v="2025-03-27T00:00:00"/>
    <s v="M"/>
    <x v="2"/>
    <n v="3"/>
    <s v="California"/>
    <s v="Los Angeles County"/>
    <n v="2"/>
    <x v="12"/>
    <x v="1"/>
  </r>
  <r>
    <s v="TX502276"/>
    <s v="T-Shirts"/>
    <n v="7"/>
    <n v="19.399999999999999"/>
    <n v="135.79999999999998"/>
    <d v="2025-03-25T00:00:00"/>
    <d v="2025-03-27T00:00:00"/>
    <s v=""/>
    <x v="1"/>
    <n v="3"/>
    <s v="California"/>
    <s v="Los Angeles County"/>
    <n v="2"/>
    <x v="12"/>
    <x v="0"/>
  </r>
  <r>
    <s v="TX502277"/>
    <s v="Sunglasses"/>
    <n v="3"/>
    <n v="30.3"/>
    <n v="90.9"/>
    <d v="2025-03-25T00:00:00"/>
    <d v="2025-03-28T00:00:00"/>
    <s v="F"/>
    <x v="1"/>
    <n v="5"/>
    <s v="California"/>
    <s v="Los Angeles County"/>
    <n v="3"/>
    <x v="12"/>
    <x v="2"/>
  </r>
  <r>
    <s v="TX502278"/>
    <s v="Sneakers"/>
    <n v="3"/>
    <n v="101.4"/>
    <n v="304.20000000000005"/>
    <d v="2025-03-25T00:00:00"/>
    <d v="2025-03-26T00:00:00"/>
    <s v="M"/>
    <x v="0"/>
    <n v="4"/>
    <s v="California"/>
    <s v="Los Angeles County"/>
    <n v="1"/>
    <x v="12"/>
    <x v="1"/>
  </r>
  <r>
    <s v="TX502279"/>
    <s v="Workout Tops"/>
    <n v="5"/>
    <n v="55.5"/>
    <n v="277.5"/>
    <d v="2025-03-25T00:00:00"/>
    <d v="2025-03-28T00:00:00"/>
    <s v="M"/>
    <x v="1"/>
    <n v="4"/>
    <s v="California"/>
    <s v="Merced County"/>
    <n v="3"/>
    <x v="12"/>
    <x v="1"/>
  </r>
  <r>
    <s v="TX502280"/>
    <s v="T-Shirts"/>
    <n v="1"/>
    <n v="23.1"/>
    <n v="23.1"/>
    <d v="2025-03-25T00:00:00"/>
    <d v="2025-03-26T00:00:00"/>
    <s v="M"/>
    <x v="0"/>
    <n v="4"/>
    <s v="California"/>
    <s v="Orange County"/>
    <n v="1"/>
    <x v="12"/>
    <x v="1"/>
  </r>
  <r>
    <s v="TX502281"/>
    <s v="Leggings"/>
    <n v="2"/>
    <n v="38.9"/>
    <n v="77.8"/>
    <d v="2025-03-25T00:00:00"/>
    <d v="2025-03-26T00:00:00"/>
    <s v="M"/>
    <x v="2"/>
    <n v="4"/>
    <s v="California"/>
    <s v="Orange County"/>
    <n v="1"/>
    <x v="12"/>
    <x v="1"/>
  </r>
  <r>
    <s v="TX502282"/>
    <s v="Jeans"/>
    <n v="9"/>
    <n v="116.3"/>
    <n v="1046.7"/>
    <d v="2025-03-25T00:00:00"/>
    <d v="2025-03-29T00:00:00"/>
    <s v="F"/>
    <x v="0"/>
    <n v="4"/>
    <s v="California"/>
    <s v="Placer County"/>
    <n v="4"/>
    <x v="12"/>
    <x v="2"/>
  </r>
  <r>
    <s v="TX502283"/>
    <s v="Sunglasses"/>
    <n v="9"/>
    <n v="64.099999999999994"/>
    <n v="576.9"/>
    <d v="2025-03-25T00:00:00"/>
    <d v="2025-03-25T00:00:00"/>
    <s v="F"/>
    <x v="0"/>
    <n v="5"/>
    <s v="California"/>
    <s v="Sacramento County"/>
    <n v="0"/>
    <x v="12"/>
    <x v="2"/>
  </r>
  <r>
    <s v="TX502284"/>
    <s v="Sneakers"/>
    <n v="6"/>
    <n v="109.2"/>
    <n v="655.20000000000005"/>
    <d v="2025-03-25T00:00:00"/>
    <d v="2025-03-27T00:00:00"/>
    <s v="M"/>
    <x v="0"/>
    <n v="3"/>
    <s v="California"/>
    <s v="San Diego County"/>
    <n v="2"/>
    <x v="12"/>
    <x v="1"/>
  </r>
  <r>
    <s v="TX502285"/>
    <s v="Bikinis"/>
    <n v="5"/>
    <n v="23.2"/>
    <n v="116"/>
    <d v="2025-03-26T00:00:00"/>
    <d v="2025-03-27T00:00:00"/>
    <s v="M"/>
    <x v="0"/>
    <n v="3"/>
    <s v="California"/>
    <s v="San Diego County"/>
    <n v="1"/>
    <x v="12"/>
    <x v="1"/>
  </r>
  <r>
    <s v="TX502286"/>
    <s v="Leggings"/>
    <n v="6"/>
    <n v="81.2"/>
    <n v="487.20000000000005"/>
    <d v="2025-03-26T00:00:00"/>
    <d v="2025-03-28T00:00:00"/>
    <s v="M"/>
    <x v="2"/>
    <n v="5"/>
    <s v="California"/>
    <s v="San Diego County"/>
    <n v="2"/>
    <x v="12"/>
    <x v="1"/>
  </r>
  <r>
    <s v="TX502287"/>
    <s v="Tank Tops"/>
    <n v="14"/>
    <n v="35.700000000000003"/>
    <n v="499.80000000000007"/>
    <d v="2025-03-26T00:00:00"/>
    <d v="2025-03-27T00:00:00"/>
    <s v="M"/>
    <x v="3"/>
    <n v="4"/>
    <s v="California"/>
    <s v="San Diego County"/>
    <n v="1"/>
    <x v="12"/>
    <x v="1"/>
  </r>
  <r>
    <s v="TX502288"/>
    <s v="Hoodies &amp; Sweatshirts"/>
    <n v="2"/>
    <n v="44.5"/>
    <n v="89"/>
    <d v="2025-03-26T00:00:00"/>
    <d v="2025-03-29T00:00:00"/>
    <s v="M"/>
    <x v="4"/>
    <n v="4"/>
    <s v="California"/>
    <s v="San Mateo County"/>
    <n v="3"/>
    <x v="12"/>
    <x v="1"/>
  </r>
  <r>
    <s v="TX502289"/>
    <s v="Tank Tops"/>
    <n v="5"/>
    <n v="32"/>
    <n v="160"/>
    <d v="2025-03-26T00:00:00"/>
    <d v="2025-03-28T00:00:00"/>
    <s v="O"/>
    <x v="1"/>
    <n v="3"/>
    <s v="California"/>
    <s v="San Mateo County"/>
    <n v="2"/>
    <x v="12"/>
    <x v="3"/>
  </r>
  <r>
    <s v="TX502290"/>
    <s v="T-Shirts"/>
    <n v="1"/>
    <n v="25.7"/>
    <n v="25.7"/>
    <d v="2025-03-26T00:00:00"/>
    <d v="2025-03-27T00:00:00"/>
    <s v="M"/>
    <x v="0"/>
    <n v="4"/>
    <s v="California"/>
    <s v="Santa Barbara County"/>
    <n v="1"/>
    <x v="12"/>
    <x v="1"/>
  </r>
  <r>
    <s v="TX502291"/>
    <s v="Sunglasses"/>
    <n v="3"/>
    <n v="65.599999999999994"/>
    <n v="196.79999999999998"/>
    <d v="2025-03-26T00:00:00"/>
    <d v="2025-04-01T00:00:00"/>
    <s v="M"/>
    <x v="0"/>
    <n v="4"/>
    <s v="California"/>
    <s v="Santa Clara County"/>
    <n v="6"/>
    <x v="12"/>
    <x v="1"/>
  </r>
  <r>
    <s v="TX502292"/>
    <s v="Tank Tops"/>
    <n v="4"/>
    <n v="52.1"/>
    <n v="208.4"/>
    <d v="2025-03-26T00:00:00"/>
    <d v="2025-03-27T00:00:00"/>
    <s v="F"/>
    <x v="0"/>
    <n v="5"/>
    <s v="California"/>
    <s v="Santa Clara County"/>
    <n v="1"/>
    <x v="12"/>
    <x v="2"/>
  </r>
  <r>
    <s v="TX502293"/>
    <s v="T-Shirts"/>
    <n v="1"/>
    <n v="31"/>
    <n v="31"/>
    <d v="2025-03-26T00:00:00"/>
    <d v="2025-03-27T00:00:00"/>
    <s v="M"/>
    <x v="0"/>
    <n v="3"/>
    <s v="California"/>
    <s v="Stanislaus County"/>
    <n v="1"/>
    <x v="12"/>
    <x v="1"/>
  </r>
  <r>
    <s v="TX502294"/>
    <s v="T-Shirts"/>
    <n v="1"/>
    <n v="32"/>
    <n v="32"/>
    <d v="2025-03-26T00:00:00"/>
    <d v="2025-03-28T00:00:00"/>
    <s v="O"/>
    <x v="3"/>
    <n v="3"/>
    <s v="California"/>
    <s v="Sutter County"/>
    <n v="2"/>
    <x v="12"/>
    <x v="3"/>
  </r>
  <r>
    <s v="TX502295"/>
    <s v="Sunglasses"/>
    <n v="4"/>
    <n v="58.3"/>
    <n v="233.2"/>
    <d v="2025-03-26T00:00:00"/>
    <d v="2025-03-30T00:00:00"/>
    <s v="M"/>
    <x v="1"/>
    <n v="2"/>
    <s v="California"/>
    <s v="Tulare County"/>
    <n v="4"/>
    <x v="12"/>
    <x v="1"/>
  </r>
  <r>
    <s v="TX502296"/>
    <s v="T-Shirts"/>
    <n v="3"/>
    <n v="31"/>
    <n v="93"/>
    <d v="2025-03-26T00:00:00"/>
    <d v="2025-03-28T00:00:00"/>
    <s v="F"/>
    <x v="2"/>
    <n v="2"/>
    <s v="California"/>
    <s v="Ventura County"/>
    <n v="2"/>
    <x v="12"/>
    <x v="2"/>
  </r>
  <r>
    <s v="TX502297"/>
    <s v="Workout Tops"/>
    <n v="1"/>
    <n v="40.299999999999997"/>
    <n v="40.299999999999997"/>
    <d v="2025-03-26T00:00:00"/>
    <d v="2025-03-27T00:00:00"/>
    <s v="M"/>
    <x v="1"/>
    <n v="5"/>
    <s v="California"/>
    <s v="Colusa County"/>
    <n v="1"/>
    <x v="12"/>
    <x v="1"/>
  </r>
  <r>
    <s v="TX502298"/>
    <s v="Jeans"/>
    <n v="3"/>
    <n v="47.3"/>
    <n v="141.89999999999998"/>
    <d v="2025-03-26T00:00:00"/>
    <d v="2025-03-28T00:00:00"/>
    <s v="M"/>
    <x v="4"/>
    <n v="5"/>
    <s v="California"/>
    <s v="Fresno County"/>
    <n v="2"/>
    <x v="12"/>
    <x v="1"/>
  </r>
  <r>
    <s v="TX502299"/>
    <s v="Sneakers"/>
    <n v="1"/>
    <n v="82.8"/>
    <n v="82.8"/>
    <d v="2025-03-26T00:00:00"/>
    <d v="2025-03-27T00:00:00"/>
    <s v="M"/>
    <x v="0"/>
    <n v="4"/>
    <s v="California"/>
    <s v="Fresno County"/>
    <n v="1"/>
    <x v="12"/>
    <x v="1"/>
  </r>
  <r>
    <s v="TX502300"/>
    <s v="T-Shirts"/>
    <n v="1"/>
    <n v="18.5"/>
    <n v="18.5"/>
    <d v="2025-03-26T00:00:00"/>
    <d v="2025-04-09T00:00:00"/>
    <s v="F"/>
    <x v="0"/>
    <n v="4"/>
    <s v="California"/>
    <s v="Humboldt County"/>
    <n v="14"/>
    <x v="12"/>
    <x v="2"/>
  </r>
  <r>
    <s v="TX502301"/>
    <s v="Workout Tops"/>
    <n v="2"/>
    <n v="60.4"/>
    <n v="120.8"/>
    <d v="2025-03-26T00:00:00"/>
    <d v="2025-03-27T00:00:00"/>
    <s v="M"/>
    <x v="2"/>
    <n v="4"/>
    <s v="California"/>
    <s v="Kern County"/>
    <n v="1"/>
    <x v="12"/>
    <x v="1"/>
  </r>
  <r>
    <s v="TX502302"/>
    <s v="Jeans"/>
    <n v="5"/>
    <n v="80.2"/>
    <n v="401"/>
    <d v="2025-03-26T00:00:00"/>
    <d v="2025-04-02T00:00:00"/>
    <s v="M"/>
    <x v="1"/>
    <n v="3"/>
    <s v="California"/>
    <s v="Lake County"/>
    <n v="7"/>
    <x v="12"/>
    <x v="1"/>
  </r>
  <r>
    <s v="TX502303"/>
    <s v="Graphic Tees"/>
    <n v="1"/>
    <n v="41.5"/>
    <n v="41.5"/>
    <d v="2025-03-26T00:00:00"/>
    <d v="2025-03-28T00:00:00"/>
    <s v="M"/>
    <x v="2"/>
    <n v="4"/>
    <s v="California"/>
    <s v="Los Angeles County"/>
    <n v="2"/>
    <x v="12"/>
    <x v="1"/>
  </r>
  <r>
    <s v="TX502304"/>
    <s v="Sneakers"/>
    <n v="2"/>
    <n v="83.9"/>
    <n v="167.8"/>
    <d v="2025-03-26T00:00:00"/>
    <d v="2025-03-29T00:00:00"/>
    <s v="F"/>
    <x v="0"/>
    <n v="4"/>
    <s v="California"/>
    <s v="Los Angeles County"/>
    <n v="3"/>
    <x v="12"/>
    <x v="2"/>
  </r>
  <r>
    <s v="TX502305"/>
    <s v="T-Shirts"/>
    <n v="2"/>
    <n v="16.7"/>
    <n v="33.4"/>
    <d v="2025-03-26T00:00:00"/>
    <d v="2025-03-30T00:00:00"/>
    <s v="F"/>
    <x v="0"/>
    <n v="3"/>
    <s v="California"/>
    <s v="Los Angeles County"/>
    <n v="4"/>
    <x v="12"/>
    <x v="2"/>
  </r>
  <r>
    <s v="TX502306"/>
    <s v="Sundresses"/>
    <n v="2"/>
    <n v="72.900000000000006"/>
    <n v="145.80000000000001"/>
    <d v="2025-03-26T00:00:00"/>
    <d v="2025-03-27T00:00:00"/>
    <s v="M"/>
    <x v="2"/>
    <n v="3"/>
    <s v="California"/>
    <s v="Los Angeles County"/>
    <n v="1"/>
    <x v="12"/>
    <x v="1"/>
  </r>
  <r>
    <s v="TX502307"/>
    <s v="Sandals"/>
    <n v="2"/>
    <n v="50.2"/>
    <n v="100.4"/>
    <d v="2025-03-26T00:00:00"/>
    <d v="2025-03-28T00:00:00"/>
    <s v="F"/>
    <x v="1"/>
    <n v="5"/>
    <s v="California"/>
    <s v="Los Angeles County"/>
    <n v="2"/>
    <x v="12"/>
    <x v="2"/>
  </r>
  <r>
    <s v="TX502308"/>
    <s v="Workout Tops"/>
    <n v="2"/>
    <n v="34.200000000000003"/>
    <n v="68.400000000000006"/>
    <d v="2025-03-26T00:00:00"/>
    <d v="2025-04-05T00:00:00"/>
    <s v=""/>
    <x v="1"/>
    <n v="4"/>
    <s v="California"/>
    <s v="Los Angeles County"/>
    <n v="10"/>
    <x v="12"/>
    <x v="0"/>
  </r>
  <r>
    <s v="TX502309"/>
    <s v="Sandals"/>
    <n v="2"/>
    <n v="107.9"/>
    <n v="215.8"/>
    <d v="2025-03-26T00:00:00"/>
    <d v="2025-03-26T00:00:00"/>
    <s v="M"/>
    <x v="1"/>
    <n v="2"/>
    <s v="California"/>
    <s v="Los Angeles County"/>
    <n v="0"/>
    <x v="12"/>
    <x v="1"/>
  </r>
  <r>
    <s v="TX502310"/>
    <s v="Shorts"/>
    <n v="3"/>
    <n v="17.5"/>
    <n v="52.5"/>
    <d v="2025-03-26T00:00:00"/>
    <d v="2025-03-28T00:00:00"/>
    <s v="M"/>
    <x v="4"/>
    <n v="4"/>
    <s v="California"/>
    <s v="Los Angeles County"/>
    <n v="2"/>
    <x v="12"/>
    <x v="1"/>
  </r>
  <r>
    <s v="TX502311"/>
    <s v="Tote Bags"/>
    <n v="15"/>
    <n v="44.7"/>
    <n v="670.5"/>
    <d v="2025-03-26T00:00:00"/>
    <d v="2025-03-27T00:00:00"/>
    <s v="M"/>
    <x v="0"/>
    <n v="3"/>
    <s v="California"/>
    <s v="Los Angeles County"/>
    <n v="1"/>
    <x v="12"/>
    <x v="1"/>
  </r>
  <r>
    <s v="TX502312"/>
    <s v="Casual Dresses"/>
    <n v="6"/>
    <n v="92.7"/>
    <n v="556.20000000000005"/>
    <d v="2025-03-26T00:00:00"/>
    <d v="2025-03-28T00:00:00"/>
    <s v="F"/>
    <x v="2"/>
    <n v="3"/>
    <s v="California"/>
    <s v="Los Angeles County"/>
    <n v="2"/>
    <x v="12"/>
    <x v="2"/>
  </r>
  <r>
    <s v="TX502313"/>
    <s v="Hoodies &amp; Sweatshirts"/>
    <n v="3"/>
    <n v="48.8"/>
    <n v="146.39999999999998"/>
    <d v="2025-03-26T00:00:00"/>
    <d v="2025-03-28T00:00:00"/>
    <s v="F"/>
    <x v="2"/>
    <n v="4"/>
    <s v="California"/>
    <s v="Los Angeles County"/>
    <n v="2"/>
    <x v="12"/>
    <x v="2"/>
  </r>
  <r>
    <s v="TX502314"/>
    <s v="Graphic Tees"/>
    <n v="16"/>
    <n v="21.3"/>
    <n v="340.8"/>
    <d v="2025-03-26T00:00:00"/>
    <d v="2025-03-30T00:00:00"/>
    <s v="F"/>
    <x v="3"/>
    <n v="1"/>
    <s v="California"/>
    <s v="Los Angeles County"/>
    <n v="4"/>
    <x v="12"/>
    <x v="2"/>
  </r>
  <r>
    <s v="TX502315"/>
    <s v="Sunglasses"/>
    <n v="1"/>
    <n v="52.5"/>
    <n v="52.5"/>
    <d v="2025-03-26T00:00:00"/>
    <d v="2025-03-27T00:00:00"/>
    <s v="F"/>
    <x v="0"/>
    <n v="4"/>
    <s v="California"/>
    <s v="Los Angeles County"/>
    <n v="1"/>
    <x v="12"/>
    <x v="2"/>
  </r>
  <r>
    <s v="TX502316"/>
    <s v="Tank Tops"/>
    <n v="2"/>
    <n v="92.4"/>
    <n v="184.8"/>
    <d v="2025-03-26T00:00:00"/>
    <d v="2025-04-01T00:00:00"/>
    <s v="F"/>
    <x v="0"/>
    <n v="5"/>
    <s v="California"/>
    <s v="Los Angeles County"/>
    <n v="6"/>
    <x v="12"/>
    <x v="2"/>
  </r>
  <r>
    <s v="TX502317"/>
    <s v="Graphic Tees"/>
    <n v="11"/>
    <n v="58.3"/>
    <n v="641.29999999999995"/>
    <d v="2025-03-26T00:00:00"/>
    <d v="2025-03-28T00:00:00"/>
    <s v="M"/>
    <x v="1"/>
    <n v="5"/>
    <s v="California"/>
    <s v="Los Angeles County"/>
    <n v="2"/>
    <x v="12"/>
    <x v="1"/>
  </r>
  <r>
    <s v="TX502318"/>
    <s v="Jeans"/>
    <n v="23"/>
    <n v="152.6"/>
    <n v="3509.7999999999997"/>
    <d v="2025-03-27T00:00:00"/>
    <d v="2025-03-29T00:00:00"/>
    <s v=""/>
    <x v="0"/>
    <n v="4"/>
    <s v="California"/>
    <s v="Los Angeles County"/>
    <n v="2"/>
    <x v="12"/>
    <x v="0"/>
  </r>
  <r>
    <s v="TX502319"/>
    <s v="T-Shirts"/>
    <n v="2"/>
    <n v="26"/>
    <n v="52"/>
    <d v="2025-03-27T00:00:00"/>
    <d v="2025-03-27T00:00:00"/>
    <s v=""/>
    <x v="0"/>
    <n v="3"/>
    <s v="California"/>
    <s v="Los Angeles County"/>
    <n v="0"/>
    <x v="12"/>
    <x v="0"/>
  </r>
  <r>
    <s v="TX502320"/>
    <s v="Tank Tops"/>
    <n v="4"/>
    <n v="33.1"/>
    <n v="132.4"/>
    <d v="2025-03-27T00:00:00"/>
    <d v="2025-03-27T00:00:00"/>
    <s v="M"/>
    <x v="2"/>
    <n v="2"/>
    <s v="California"/>
    <s v="Placer County"/>
    <n v="0"/>
    <x v="12"/>
    <x v="1"/>
  </r>
  <r>
    <s v="TX502321"/>
    <s v="Leggings"/>
    <n v="1"/>
    <n v="51.4"/>
    <n v="51.4"/>
    <d v="2025-03-27T00:00:00"/>
    <d v="2025-03-29T00:00:00"/>
    <s v="F"/>
    <x v="1"/>
    <n v="3"/>
    <s v="California"/>
    <s v="Placer County"/>
    <n v="2"/>
    <x v="12"/>
    <x v="2"/>
  </r>
  <r>
    <s v="TX502322"/>
    <s v="T-Shirts"/>
    <n v="2"/>
    <n v="30.2"/>
    <n v="60.4"/>
    <d v="2025-03-27T00:00:00"/>
    <d v="2025-03-28T00:00:00"/>
    <s v="F"/>
    <x v="2"/>
    <n v="5"/>
    <s v="California"/>
    <s v="Sacramento County"/>
    <n v="1"/>
    <x v="12"/>
    <x v="2"/>
  </r>
  <r>
    <s v="TX502323"/>
    <s v="Sneakers"/>
    <n v="6"/>
    <n v="97"/>
    <n v="582"/>
    <d v="2025-03-27T00:00:00"/>
    <d v="2025-03-31T00:00:00"/>
    <s v="F"/>
    <x v="0"/>
    <n v="5"/>
    <s v="California"/>
    <s v="San Bernardino County"/>
    <n v="4"/>
    <x v="12"/>
    <x v="2"/>
  </r>
  <r>
    <s v="TX502324"/>
    <s v="Sneakers"/>
    <n v="1"/>
    <n v="76.900000000000006"/>
    <n v="76.900000000000006"/>
    <d v="2025-03-27T00:00:00"/>
    <d v="2025-03-28T00:00:00"/>
    <s v="M"/>
    <x v="1"/>
    <n v="5"/>
    <s v="California"/>
    <s v="San Diego County"/>
    <n v="1"/>
    <x v="12"/>
    <x v="1"/>
  </r>
  <r>
    <s v="TX502325"/>
    <s v="Hoodies &amp; Sweatshirts"/>
    <n v="6"/>
    <n v="36.1"/>
    <n v="216.60000000000002"/>
    <d v="2025-03-27T00:00:00"/>
    <d v="2025-03-31T00:00:00"/>
    <s v="F"/>
    <x v="0"/>
    <n v="4"/>
    <s v="California"/>
    <s v="San Diego County"/>
    <n v="4"/>
    <x v="12"/>
    <x v="2"/>
  </r>
  <r>
    <s v="TX502326"/>
    <s v="Tank Tops"/>
    <n v="7"/>
    <n v="34.4"/>
    <n v="240.79999999999998"/>
    <d v="2025-03-27T00:00:00"/>
    <d v="2025-03-27T00:00:00"/>
    <s v="F"/>
    <x v="2"/>
    <n v="3"/>
    <s v="California"/>
    <s v="Santa Clara County"/>
    <n v="0"/>
    <x v="12"/>
    <x v="2"/>
  </r>
  <r>
    <s v="TX502327"/>
    <s v="Tank Tops"/>
    <n v="28"/>
    <n v="53.4"/>
    <n v="1495.2"/>
    <d v="2025-03-27T00:00:00"/>
    <d v="2025-03-29T00:00:00"/>
    <s v="F"/>
    <x v="1"/>
    <n v="4"/>
    <s v="California"/>
    <s v="Sonoma County"/>
    <n v="2"/>
    <x v="12"/>
    <x v="2"/>
  </r>
  <r>
    <s v="TX502328"/>
    <s v="Sneakers"/>
    <n v="1"/>
    <n v="77.599999999999994"/>
    <n v="77.599999999999994"/>
    <d v="2025-03-27T00:00:00"/>
    <d v="2025-03-28T00:00:00"/>
    <s v="F"/>
    <x v="0"/>
    <n v="3"/>
    <s v="California"/>
    <s v="Stanislaus County"/>
    <n v="1"/>
    <x v="12"/>
    <x v="2"/>
  </r>
  <r>
    <s v="TX502329"/>
    <s v="Tank Tops"/>
    <n v="3"/>
    <n v="71.7"/>
    <n v="215.10000000000002"/>
    <d v="2025-03-27T00:00:00"/>
    <d v="2025-03-30T00:00:00"/>
    <s v="F"/>
    <x v="1"/>
    <n v="4"/>
    <s v="California"/>
    <s v="Stanislaus County"/>
    <n v="3"/>
    <x v="12"/>
    <x v="2"/>
  </r>
  <r>
    <s v="TX502330"/>
    <s v="Workout Tops"/>
    <n v="3"/>
    <n v="80.599999999999994"/>
    <n v="241.79999999999998"/>
    <d v="2025-03-27T00:00:00"/>
    <d v="2025-03-28T00:00:00"/>
    <s v="M"/>
    <x v="4"/>
    <n v="3"/>
    <s v="California"/>
    <s v="Stanislaus County"/>
    <n v="1"/>
    <x v="12"/>
    <x v="1"/>
  </r>
  <r>
    <s v="TX502331"/>
    <s v="Tank Tops"/>
    <n v="15"/>
    <n v="70"/>
    <n v="1050"/>
    <d v="2025-03-27T00:00:00"/>
    <d v="2025-03-29T00:00:00"/>
    <s v="M"/>
    <x v="0"/>
    <n v="4"/>
    <s v="California"/>
    <s v="Tulare County"/>
    <n v="2"/>
    <x v="12"/>
    <x v="1"/>
  </r>
  <r>
    <s v="TX502332"/>
    <s v="Graphic Tees"/>
    <n v="6"/>
    <n v="27.3"/>
    <n v="163.80000000000001"/>
    <d v="2025-03-27T00:00:00"/>
    <d v="2025-03-29T00:00:00"/>
    <s v="F"/>
    <x v="1"/>
    <n v="3"/>
    <s v="California"/>
    <s v="Fresno County"/>
    <n v="2"/>
    <x v="12"/>
    <x v="2"/>
  </r>
  <r>
    <s v="TX502333"/>
    <s v="T-Shirts"/>
    <n v="14"/>
    <n v="37.6"/>
    <n v="526.4"/>
    <d v="2025-03-27T00:00:00"/>
    <d v="2025-03-29T00:00:00"/>
    <s v="M"/>
    <x v="1"/>
    <n v="4"/>
    <s v="California"/>
    <s v="Los Angeles County"/>
    <n v="2"/>
    <x v="12"/>
    <x v="1"/>
  </r>
  <r>
    <s v="TX502334"/>
    <s v="Sandals"/>
    <n v="3"/>
    <n v="36.6"/>
    <n v="109.80000000000001"/>
    <d v="2025-03-27T00:00:00"/>
    <d v="2025-03-29T00:00:00"/>
    <s v="F"/>
    <x v="4"/>
    <n v="4"/>
    <s v="California"/>
    <s v="Los Angeles County"/>
    <n v="2"/>
    <x v="12"/>
    <x v="2"/>
  </r>
  <r>
    <s v="TX502335"/>
    <s v="Tote Bags"/>
    <n v="1"/>
    <n v="55.2"/>
    <n v="55.2"/>
    <d v="2025-03-27T00:00:00"/>
    <d v="2025-03-29T00:00:00"/>
    <s v="M"/>
    <x v="3"/>
    <n v="4"/>
    <s v="California"/>
    <s v="Los Angeles County"/>
    <n v="2"/>
    <x v="12"/>
    <x v="1"/>
  </r>
  <r>
    <s v="TX502336"/>
    <s v="Jeans"/>
    <n v="5"/>
    <n v="59.9"/>
    <n v="299.5"/>
    <d v="2025-03-27T00:00:00"/>
    <d v="2025-03-29T00:00:00"/>
    <s v="M"/>
    <x v="0"/>
    <n v="4"/>
    <s v="California"/>
    <s v="Los Angeles County"/>
    <n v="2"/>
    <x v="12"/>
    <x v="1"/>
  </r>
  <r>
    <s v="TX502337"/>
    <s v="Jeans"/>
    <n v="1"/>
    <n v="44"/>
    <n v="44"/>
    <d v="2025-03-27T00:00:00"/>
    <d v="2025-03-28T00:00:00"/>
    <s v="F"/>
    <x v="2"/>
    <n v="5"/>
    <s v="California"/>
    <s v="Los Angeles County"/>
    <n v="1"/>
    <x v="12"/>
    <x v="2"/>
  </r>
  <r>
    <s v="TX502338"/>
    <s v="Sundresses"/>
    <n v="2"/>
    <n v="68.7"/>
    <n v="137.4"/>
    <d v="2025-03-27T00:00:00"/>
    <d v="2025-03-27T00:00:00"/>
    <s v="M"/>
    <x v="0"/>
    <n v="4"/>
    <s v="California"/>
    <s v="Los Angeles County"/>
    <n v="0"/>
    <x v="12"/>
    <x v="1"/>
  </r>
  <r>
    <s v="TX502339"/>
    <s v="Sandals"/>
    <n v="2"/>
    <n v="61.6"/>
    <n v="123.2"/>
    <d v="2025-03-27T00:00:00"/>
    <d v="2025-03-31T00:00:00"/>
    <s v="M"/>
    <x v="3"/>
    <n v="3"/>
    <s v="California"/>
    <s v="Los Angeles County"/>
    <n v="4"/>
    <x v="12"/>
    <x v="1"/>
  </r>
  <r>
    <s v="TX502340"/>
    <s v="Hoodies &amp; Sweatshirts"/>
    <n v="7"/>
    <n v="51.8"/>
    <n v="362.59999999999997"/>
    <d v="2025-03-27T00:00:00"/>
    <d v="2025-03-28T00:00:00"/>
    <s v="M"/>
    <x v="0"/>
    <n v="4"/>
    <s v="California"/>
    <s v="Los Angeles County"/>
    <n v="1"/>
    <x v="12"/>
    <x v="1"/>
  </r>
  <r>
    <s v="TX502341"/>
    <s v="T-Shirts"/>
    <n v="10"/>
    <n v="46.2"/>
    <n v="462"/>
    <d v="2025-03-27T00:00:00"/>
    <d v="2025-03-29T00:00:00"/>
    <s v="M"/>
    <x v="1"/>
    <n v="5"/>
    <s v="California"/>
    <s v="Los Angeles County"/>
    <n v="2"/>
    <x v="12"/>
    <x v="1"/>
  </r>
  <r>
    <s v="TX502342"/>
    <s v="Shorts"/>
    <n v="2"/>
    <n v="19.399999999999999"/>
    <n v="38.799999999999997"/>
    <d v="2025-03-27T00:00:00"/>
    <d v="2025-03-29T00:00:00"/>
    <s v="F"/>
    <x v="1"/>
    <n v="5"/>
    <s v="California"/>
    <s v="Sacramento County"/>
    <n v="2"/>
    <x v="12"/>
    <x v="2"/>
  </r>
  <r>
    <s v="TX502343"/>
    <s v="Maxi Dresses"/>
    <n v="3"/>
    <n v="52.1"/>
    <n v="156.30000000000001"/>
    <d v="2025-03-27T00:00:00"/>
    <d v="2025-03-30T00:00:00"/>
    <s v="M"/>
    <x v="3"/>
    <n v="1"/>
    <s v="California"/>
    <s v="Sacramento County"/>
    <n v="3"/>
    <x v="12"/>
    <x v="1"/>
  </r>
  <r>
    <s v="TX502344"/>
    <s v="Jeans"/>
    <n v="1"/>
    <n v="74.900000000000006"/>
    <n v="74.900000000000006"/>
    <d v="2025-03-27T00:00:00"/>
    <d v="2025-03-29T00:00:00"/>
    <s v="O"/>
    <x v="0"/>
    <n v="4"/>
    <s v="California"/>
    <s v="San Bernardino County"/>
    <n v="2"/>
    <x v="12"/>
    <x v="3"/>
  </r>
  <r>
    <s v="TX502345"/>
    <s v="Sundresses"/>
    <n v="7"/>
    <n v="49.6"/>
    <n v="347.2"/>
    <d v="2025-03-27T00:00:00"/>
    <d v="2025-03-30T00:00:00"/>
    <s v="F"/>
    <x v="4"/>
    <n v="4"/>
    <s v="California"/>
    <s v="San Diego County"/>
    <n v="3"/>
    <x v="12"/>
    <x v="2"/>
  </r>
  <r>
    <s v="TX502346"/>
    <s v="Sunglasses"/>
    <n v="4"/>
    <n v="82.8"/>
    <n v="331.2"/>
    <d v="2025-03-28T00:00:00"/>
    <d v="2025-03-31T00:00:00"/>
    <s v="F"/>
    <x v="4"/>
    <n v="4"/>
    <s v="California"/>
    <s v="San Diego County"/>
    <n v="3"/>
    <x v="12"/>
    <x v="2"/>
  </r>
  <r>
    <s v="TX502347"/>
    <s v="Sneakers"/>
    <n v="1"/>
    <n v="97.7"/>
    <n v="97.7"/>
    <d v="2025-03-28T00:00:00"/>
    <d v="2025-03-29T00:00:00"/>
    <s v="F"/>
    <x v="1"/>
    <n v="4"/>
    <s v="California"/>
    <s v="San Diego County"/>
    <n v="1"/>
    <x v="12"/>
    <x v="2"/>
  </r>
  <r>
    <s v="TX502348"/>
    <s v="Jeans"/>
    <n v="5"/>
    <n v="83.6"/>
    <n v="418"/>
    <d v="2025-03-28T00:00:00"/>
    <d v="2025-03-29T00:00:00"/>
    <s v="F"/>
    <x v="4"/>
    <n v="4"/>
    <s v="California"/>
    <s v="San Diego County"/>
    <n v="1"/>
    <x v="12"/>
    <x v="2"/>
  </r>
  <r>
    <s v="TX502349"/>
    <s v="T-Shirts"/>
    <n v="5"/>
    <n v="23.5"/>
    <n v="117.5"/>
    <d v="2025-03-28T00:00:00"/>
    <d v="2025-04-01T00:00:00"/>
    <s v="O"/>
    <x v="0"/>
    <n v="4"/>
    <s v="California"/>
    <s v="San Diego County"/>
    <n v="4"/>
    <x v="12"/>
    <x v="3"/>
  </r>
  <r>
    <s v="TX502350"/>
    <s v="Sundresses"/>
    <n v="3"/>
    <n v="44.6"/>
    <n v="133.80000000000001"/>
    <d v="2025-03-28T00:00:00"/>
    <d v="2025-03-31T00:00:00"/>
    <s v="F"/>
    <x v="4"/>
    <n v="3"/>
    <s v="California"/>
    <s v="San Joaquin County"/>
    <n v="3"/>
    <x v="12"/>
    <x v="2"/>
  </r>
  <r>
    <s v="TX502351"/>
    <s v="Shorts"/>
    <n v="3"/>
    <n v="20.100000000000001"/>
    <n v="60.300000000000004"/>
    <d v="2025-03-28T00:00:00"/>
    <d v="2025-03-30T00:00:00"/>
    <s v="F"/>
    <x v="3"/>
    <n v="2"/>
    <s v="California"/>
    <s v="Santa Clara County"/>
    <n v="2"/>
    <x v="12"/>
    <x v="2"/>
  </r>
  <r>
    <s v="TX502352"/>
    <s v="Sneakers"/>
    <n v="5"/>
    <n v="153.6"/>
    <n v="768"/>
    <d v="2025-03-28T00:00:00"/>
    <d v="2025-03-29T00:00:00"/>
    <s v="F"/>
    <x v="1"/>
    <n v="5"/>
    <s v="California"/>
    <s v="Shasta County"/>
    <n v="1"/>
    <x v="12"/>
    <x v="2"/>
  </r>
  <r>
    <s v="TX502353"/>
    <s v="Tank Tops"/>
    <n v="2"/>
    <n v="71.8"/>
    <n v="143.6"/>
    <d v="2025-03-28T00:00:00"/>
    <d v="2025-04-01T00:00:00"/>
    <s v="F"/>
    <x v="1"/>
    <n v="4"/>
    <s v="California"/>
    <s v="Contra Costa County"/>
    <n v="4"/>
    <x v="12"/>
    <x v="2"/>
  </r>
  <r>
    <s v="TX502354"/>
    <s v="Bikinis"/>
    <n v="1"/>
    <n v="64.7"/>
    <n v="64.7"/>
    <d v="2025-03-28T00:00:00"/>
    <d v="2025-03-30T00:00:00"/>
    <s v=""/>
    <x v="0"/>
    <n v="3"/>
    <s v="California"/>
    <s v="Contra Costa County"/>
    <n v="2"/>
    <x v="12"/>
    <x v="0"/>
  </r>
  <r>
    <s v="TX502355"/>
    <s v="Sundresses"/>
    <n v="8"/>
    <n v="60.4"/>
    <n v="483.2"/>
    <d v="2025-03-28T00:00:00"/>
    <d v="2025-03-30T00:00:00"/>
    <s v="F"/>
    <x v="3"/>
    <n v="5"/>
    <s v="California"/>
    <s v="Fresno County"/>
    <n v="2"/>
    <x v="12"/>
    <x v="2"/>
  </r>
  <r>
    <s v="TX502356"/>
    <s v="Jeans"/>
    <n v="4"/>
    <n v="86"/>
    <n v="344"/>
    <d v="2025-03-28T00:00:00"/>
    <d v="2025-03-31T00:00:00"/>
    <s v="F"/>
    <x v="2"/>
    <n v="5"/>
    <s v="California"/>
    <s v="Kern County"/>
    <n v="3"/>
    <x v="12"/>
    <x v="2"/>
  </r>
  <r>
    <s v="TX502357"/>
    <s v="Casual Dresses"/>
    <n v="2"/>
    <n v="42.1"/>
    <n v="84.2"/>
    <d v="2025-03-28T00:00:00"/>
    <d v="2025-03-29T00:00:00"/>
    <s v="F"/>
    <x v="4"/>
    <n v="3"/>
    <s v="California"/>
    <s v="Kings County"/>
    <n v="1"/>
    <x v="12"/>
    <x v="2"/>
  </r>
  <r>
    <s v="TX502358"/>
    <s v="Sunglasses"/>
    <n v="9"/>
    <n v="51.1"/>
    <n v="459.90000000000003"/>
    <d v="2025-03-28T00:00:00"/>
    <d v="2025-03-29T00:00:00"/>
    <s v="M"/>
    <x v="2"/>
    <n v="3"/>
    <s v="California"/>
    <s v="Los Angeles County"/>
    <n v="1"/>
    <x v="12"/>
    <x v="1"/>
  </r>
  <r>
    <s v="TX502359"/>
    <s v="Sundresses"/>
    <n v="4"/>
    <n v="73.8"/>
    <n v="295.2"/>
    <d v="2025-03-28T00:00:00"/>
    <d v="2025-03-29T00:00:00"/>
    <s v="M"/>
    <x v="4"/>
    <n v="4"/>
    <s v="California"/>
    <s v="Los Angeles County"/>
    <n v="1"/>
    <x v="12"/>
    <x v="1"/>
  </r>
  <r>
    <s v="TX502360"/>
    <s v="T-Shirts"/>
    <n v="5"/>
    <n v="27"/>
    <n v="135"/>
    <d v="2025-03-28T00:00:00"/>
    <d v="2025-03-31T00:00:00"/>
    <s v="F"/>
    <x v="2"/>
    <n v="5"/>
    <s v="California"/>
    <s v="Los Angeles County"/>
    <n v="3"/>
    <x v="12"/>
    <x v="2"/>
  </r>
  <r>
    <s v="TX502361"/>
    <s v="T-Shirts"/>
    <n v="6"/>
    <n v="60.1"/>
    <n v="360.6"/>
    <d v="2025-03-28T00:00:00"/>
    <d v="2025-03-29T00:00:00"/>
    <s v="M"/>
    <x v="3"/>
    <n v="4"/>
    <s v="California"/>
    <s v="Los Angeles County"/>
    <n v="1"/>
    <x v="12"/>
    <x v="1"/>
  </r>
  <r>
    <s v="TX502362"/>
    <s v="Sneakers"/>
    <n v="7"/>
    <n v="94.1"/>
    <n v="658.69999999999993"/>
    <d v="2025-03-28T00:00:00"/>
    <d v="2025-03-30T00:00:00"/>
    <s v="F"/>
    <x v="4"/>
    <n v="3"/>
    <s v="California"/>
    <s v="Los Angeles County"/>
    <n v="2"/>
    <x v="12"/>
    <x v="2"/>
  </r>
  <r>
    <s v="TX502363"/>
    <s v="Sneakers"/>
    <n v="2"/>
    <n v="124.1"/>
    <n v="248.2"/>
    <d v="2025-03-28T00:00:00"/>
    <d v="2025-03-28T00:00:00"/>
    <s v="F"/>
    <x v="2"/>
    <n v="1"/>
    <s v="California"/>
    <s v="Marin County"/>
    <n v="0"/>
    <x v="12"/>
    <x v="2"/>
  </r>
  <r>
    <s v="TX502364"/>
    <s v="T-Shirts"/>
    <n v="4"/>
    <n v="16.899999999999999"/>
    <n v="67.599999999999994"/>
    <d v="2025-03-28T00:00:00"/>
    <d v="2025-03-31T00:00:00"/>
    <s v="M"/>
    <x v="3"/>
    <n v="4"/>
    <s v="California"/>
    <s v="Sacramento County"/>
    <n v="3"/>
    <x v="12"/>
    <x v="1"/>
  </r>
  <r>
    <s v="TX502365"/>
    <s v="Tank Tops"/>
    <n v="1"/>
    <n v="36.9"/>
    <n v="36.9"/>
    <d v="2025-03-28T00:00:00"/>
    <d v="2025-03-29T00:00:00"/>
    <s v="M"/>
    <x v="0"/>
    <n v="4"/>
    <s v="California"/>
    <s v="Sacramento County"/>
    <n v="1"/>
    <x v="12"/>
    <x v="1"/>
  </r>
  <r>
    <s v="TX502366"/>
    <s v="Sundresses"/>
    <n v="2"/>
    <n v="22.6"/>
    <n v="45.2"/>
    <d v="2025-03-28T00:00:00"/>
    <d v="2025-04-10T00:00:00"/>
    <s v="F"/>
    <x v="2"/>
    <n v="3"/>
    <s v="California"/>
    <s v="San Diego County"/>
    <n v="13"/>
    <x v="12"/>
    <x v="2"/>
  </r>
  <r>
    <s v="TX502367"/>
    <s v="Hoodies &amp; Sweatshirts"/>
    <n v="4"/>
    <n v="35"/>
    <n v="140"/>
    <d v="2025-03-28T00:00:00"/>
    <d v="2025-04-02T00:00:00"/>
    <s v="M"/>
    <x v="3"/>
    <n v="3"/>
    <s v="California"/>
    <s v="San Diego County"/>
    <n v="5"/>
    <x v="12"/>
    <x v="1"/>
  </r>
  <r>
    <s v="TX502368"/>
    <s v="Sundresses"/>
    <n v="6"/>
    <n v="63.6"/>
    <n v="381.6"/>
    <d v="2025-03-28T00:00:00"/>
    <d v="2025-04-04T00:00:00"/>
    <s v=""/>
    <x v="1"/>
    <n v="5"/>
    <s v="California"/>
    <s v="San Diego County"/>
    <n v="7"/>
    <x v="12"/>
    <x v="0"/>
  </r>
  <r>
    <s v="TX502369"/>
    <s v="Crop Tops"/>
    <n v="4"/>
    <n v="78.599999999999994"/>
    <n v="314.39999999999998"/>
    <d v="2025-03-28T00:00:00"/>
    <d v="2025-03-29T00:00:00"/>
    <s v="M"/>
    <x v="4"/>
    <n v="3"/>
    <s v="California"/>
    <s v="San Diego County"/>
    <n v="1"/>
    <x v="12"/>
    <x v="1"/>
  </r>
  <r>
    <s v="TX502370"/>
    <s v="Workout Tops"/>
    <n v="2"/>
    <n v="38.5"/>
    <n v="77"/>
    <d v="2025-03-28T00:00:00"/>
    <d v="2025-03-29T00:00:00"/>
    <s v="M"/>
    <x v="0"/>
    <n v="5"/>
    <s v="California"/>
    <s v="San Diego County"/>
    <n v="1"/>
    <x v="12"/>
    <x v="1"/>
  </r>
  <r>
    <s v="TX502371"/>
    <s v="T-Shirts"/>
    <n v="11"/>
    <n v="71.5"/>
    <n v="786.5"/>
    <d v="2025-03-28T00:00:00"/>
    <d v="2025-03-29T00:00:00"/>
    <s v="F"/>
    <x v="1"/>
    <n v="2"/>
    <s v="California"/>
    <s v="San Diego County"/>
    <n v="1"/>
    <x v="12"/>
    <x v="2"/>
  </r>
  <r>
    <s v="TX502372"/>
    <s v="Jeans"/>
    <n v="4"/>
    <n v="121.4"/>
    <n v="485.6"/>
    <d v="2025-03-28T00:00:00"/>
    <d v="2025-04-01T00:00:00"/>
    <s v="M"/>
    <x v="1"/>
    <n v="5"/>
    <s v="California"/>
    <s v="San Francisco"/>
    <n v="4"/>
    <x v="12"/>
    <x v="1"/>
  </r>
  <r>
    <s v="TX502373"/>
    <s v="Maxi Dresses"/>
    <n v="1"/>
    <n v="40.200000000000003"/>
    <n v="40.200000000000003"/>
    <d v="2025-03-28T00:00:00"/>
    <d v="2025-03-31T00:00:00"/>
    <s v="F"/>
    <x v="0"/>
    <n v="5"/>
    <s v="California"/>
    <s v="Santa Clara County"/>
    <n v="3"/>
    <x v="12"/>
    <x v="2"/>
  </r>
  <r>
    <s v="TX502374"/>
    <s v="Sandals"/>
    <n v="5"/>
    <n v="31.9"/>
    <n v="159.5"/>
    <d v="2025-03-28T00:00:00"/>
    <d v="2025-03-30T00:00:00"/>
    <s v="F"/>
    <x v="2"/>
    <n v="5"/>
    <s v="California"/>
    <s v="Yolo County"/>
    <n v="2"/>
    <x v="12"/>
    <x v="2"/>
  </r>
  <r>
    <s v="TX502375"/>
    <s v="Baseball Caps"/>
    <n v="5"/>
    <n v="15.8"/>
    <n v="79"/>
    <d v="2025-03-29T00:00:00"/>
    <d v="2025-03-30T00:00:00"/>
    <s v="M"/>
    <x v="3"/>
    <n v="5"/>
    <s v="California"/>
    <s v="Alameda County"/>
    <n v="1"/>
    <x v="12"/>
    <x v="1"/>
  </r>
  <r>
    <s v="TX502376"/>
    <s v="Bikinis"/>
    <n v="2"/>
    <n v="25.1"/>
    <n v="50.2"/>
    <d v="2025-03-29T00:00:00"/>
    <d v="2025-03-31T00:00:00"/>
    <s v=""/>
    <x v="1"/>
    <n v="4"/>
    <s v="California"/>
    <s v="Alameda County"/>
    <n v="2"/>
    <x v="12"/>
    <x v="0"/>
  </r>
  <r>
    <s v="TX502377"/>
    <s v="Tank Tops"/>
    <n v="23"/>
    <n v="38.1"/>
    <n v="876.30000000000007"/>
    <d v="2025-03-29T00:00:00"/>
    <d v="2025-03-30T00:00:00"/>
    <s v="F"/>
    <x v="4"/>
    <n v="4"/>
    <s v="California"/>
    <s v="Contra Costa County"/>
    <n v="1"/>
    <x v="12"/>
    <x v="2"/>
  </r>
  <r>
    <s v="TX502378"/>
    <s v="Workout Tops"/>
    <n v="2"/>
    <n v="42.2"/>
    <n v="84.4"/>
    <d v="2025-03-29T00:00:00"/>
    <d v="2025-03-31T00:00:00"/>
    <s v="F"/>
    <x v="0"/>
    <n v="5"/>
    <s v="California"/>
    <s v="Contra Costa County"/>
    <n v="2"/>
    <x v="12"/>
    <x v="2"/>
  </r>
  <r>
    <s v="TX502379"/>
    <s v="Shorts"/>
    <n v="10"/>
    <n v="12.3"/>
    <n v="123"/>
    <d v="2025-03-29T00:00:00"/>
    <d v="2025-03-30T00:00:00"/>
    <s v="F"/>
    <x v="4"/>
    <n v="4"/>
    <s v="California"/>
    <s v="Fresno County"/>
    <n v="1"/>
    <x v="12"/>
    <x v="2"/>
  </r>
  <r>
    <s v="TX502380"/>
    <s v="Hoodies &amp; Sweatshirts"/>
    <n v="1"/>
    <n v="30.2"/>
    <n v="30.2"/>
    <d v="2025-03-29T00:00:00"/>
    <d v="2025-03-31T00:00:00"/>
    <s v="F"/>
    <x v="1"/>
    <n v="5"/>
    <s v="California"/>
    <s v="Kings County"/>
    <n v="2"/>
    <x v="12"/>
    <x v="2"/>
  </r>
  <r>
    <s v="TX502381"/>
    <s v="Sandals"/>
    <n v="3"/>
    <n v="25.3"/>
    <n v="75.900000000000006"/>
    <d v="2025-03-29T00:00:00"/>
    <d v="2025-04-01T00:00:00"/>
    <s v="F"/>
    <x v="2"/>
    <n v="4"/>
    <s v="California"/>
    <s v="Los Angeles County"/>
    <n v="3"/>
    <x v="12"/>
    <x v="2"/>
  </r>
  <r>
    <s v="TX502382"/>
    <s v="T-Shirts"/>
    <n v="5"/>
    <n v="29.7"/>
    <n v="148.5"/>
    <d v="2025-03-29T00:00:00"/>
    <d v="2025-03-31T00:00:00"/>
    <s v="M"/>
    <x v="3"/>
    <n v="4"/>
    <s v="California"/>
    <s v="Los Angeles County"/>
    <n v="2"/>
    <x v="12"/>
    <x v="1"/>
  </r>
  <r>
    <s v="TX502383"/>
    <s v="Sundresses"/>
    <n v="8"/>
    <n v="32.9"/>
    <n v="263.2"/>
    <d v="2025-03-29T00:00:00"/>
    <d v="2025-03-30T00:00:00"/>
    <s v=""/>
    <x v="3"/>
    <n v="5"/>
    <s v="California"/>
    <s v="Los Angeles County"/>
    <n v="1"/>
    <x v="12"/>
    <x v="0"/>
  </r>
  <r>
    <s v="TX502384"/>
    <s v="Bikinis"/>
    <n v="2"/>
    <n v="43.6"/>
    <n v="87.2"/>
    <d v="2025-03-29T00:00:00"/>
    <d v="2025-03-30T00:00:00"/>
    <s v="M"/>
    <x v="1"/>
    <n v="5"/>
    <s v="California"/>
    <s v="Los Angeles County"/>
    <n v="1"/>
    <x v="12"/>
    <x v="1"/>
  </r>
  <r>
    <s v="TX502385"/>
    <s v="Crop Tops"/>
    <n v="4"/>
    <n v="78.400000000000006"/>
    <n v="313.60000000000002"/>
    <d v="2025-03-29T00:00:00"/>
    <d v="2025-03-30T00:00:00"/>
    <s v="M"/>
    <x v="2"/>
    <n v="4"/>
    <s v="California"/>
    <s v="Los Angeles County"/>
    <n v="1"/>
    <x v="12"/>
    <x v="1"/>
  </r>
  <r>
    <s v="TX502386"/>
    <s v="Jeans"/>
    <n v="2"/>
    <n v="56.5"/>
    <n v="113"/>
    <d v="2025-03-29T00:00:00"/>
    <d v="2025-04-02T00:00:00"/>
    <s v="M"/>
    <x v="1"/>
    <n v="3"/>
    <s v="California"/>
    <s v="Los Angeles County"/>
    <n v="4"/>
    <x v="12"/>
    <x v="1"/>
  </r>
  <r>
    <s v="TX502387"/>
    <s v="Sunglasses"/>
    <n v="1"/>
    <n v="36.700000000000003"/>
    <n v="36.700000000000003"/>
    <d v="2025-03-29T00:00:00"/>
    <d v="2025-03-30T00:00:00"/>
    <s v="F"/>
    <x v="0"/>
    <n v="5"/>
    <s v="California"/>
    <s v="Los Angeles County"/>
    <n v="1"/>
    <x v="12"/>
    <x v="2"/>
  </r>
  <r>
    <s v="TX502388"/>
    <s v="Sneakers"/>
    <n v="4"/>
    <n v="103.6"/>
    <n v="414.4"/>
    <d v="2025-03-29T00:00:00"/>
    <d v="2025-04-09T00:00:00"/>
    <s v="M"/>
    <x v="4"/>
    <n v="5"/>
    <s v="California"/>
    <s v="Los Angeles County"/>
    <n v="11"/>
    <x v="12"/>
    <x v="1"/>
  </r>
  <r>
    <s v="TX502389"/>
    <s v="T-Shirts"/>
    <n v="6"/>
    <n v="16.2"/>
    <n v="97.199999999999989"/>
    <d v="2025-03-29T00:00:00"/>
    <d v="2025-04-02T00:00:00"/>
    <s v="M"/>
    <x v="1"/>
    <n v="5"/>
    <s v="California"/>
    <s v="Sacramento County"/>
    <n v="4"/>
    <x v="12"/>
    <x v="1"/>
  </r>
  <r>
    <s v="TX502390"/>
    <s v="T-Shirts"/>
    <n v="2"/>
    <n v="20.2"/>
    <n v="40.4"/>
    <d v="2025-03-29T00:00:00"/>
    <d v="2025-03-30T00:00:00"/>
    <s v="F"/>
    <x v="0"/>
    <n v="4"/>
    <s v="California"/>
    <s v="Sacramento County"/>
    <n v="1"/>
    <x v="12"/>
    <x v="2"/>
  </r>
  <r>
    <s v="TX502391"/>
    <s v="Maxi Dresses"/>
    <n v="2"/>
    <n v="26.9"/>
    <n v="53.8"/>
    <d v="2025-03-29T00:00:00"/>
    <d v="2025-03-31T00:00:00"/>
    <s v="F"/>
    <x v="2"/>
    <n v="4"/>
    <s v="California"/>
    <s v="Sacramento County"/>
    <n v="2"/>
    <x v="12"/>
    <x v="2"/>
  </r>
  <r>
    <s v="TX502392"/>
    <s v="Tank Tops"/>
    <n v="2"/>
    <n v="82.4"/>
    <n v="164.8"/>
    <d v="2025-03-29T00:00:00"/>
    <d v="2025-04-01T00:00:00"/>
    <s v=""/>
    <x v="0"/>
    <n v="4"/>
    <s v="California"/>
    <s v="San Bernardino County"/>
    <n v="3"/>
    <x v="12"/>
    <x v="0"/>
  </r>
  <r>
    <s v="TX502393"/>
    <s v="Sneakers"/>
    <n v="2"/>
    <n v="117.8"/>
    <n v="235.6"/>
    <d v="2025-03-29T00:00:00"/>
    <d v="2025-03-31T00:00:00"/>
    <s v="M"/>
    <x v="1"/>
    <n v="5"/>
    <s v="California"/>
    <s v="San Diego County"/>
    <n v="2"/>
    <x v="12"/>
    <x v="1"/>
  </r>
  <r>
    <s v="TX502394"/>
    <s v="Maxi Dresses"/>
    <n v="4"/>
    <n v="36.700000000000003"/>
    <n v="146.80000000000001"/>
    <d v="2025-03-29T00:00:00"/>
    <d v="2025-03-30T00:00:00"/>
    <s v="M"/>
    <x v="1"/>
    <n v="4"/>
    <s v="California"/>
    <s v="San Diego County"/>
    <n v="1"/>
    <x v="12"/>
    <x v="1"/>
  </r>
  <r>
    <s v="TX502395"/>
    <s v="Pajama Sets"/>
    <n v="3"/>
    <n v="46.8"/>
    <n v="140.39999999999998"/>
    <d v="2025-03-29T00:00:00"/>
    <d v="2025-03-30T00:00:00"/>
    <s v="M"/>
    <x v="4"/>
    <n v="5"/>
    <s v="California"/>
    <s v="Santa Barbara County"/>
    <n v="1"/>
    <x v="12"/>
    <x v="1"/>
  </r>
  <r>
    <s v="TX502396"/>
    <s v="Workout Tops"/>
    <n v="1"/>
    <n v="61.4"/>
    <n v="61.4"/>
    <d v="2025-03-29T00:00:00"/>
    <d v="2025-03-30T00:00:00"/>
    <s v="M"/>
    <x v="1"/>
    <n v="4"/>
    <s v="California"/>
    <s v="Santa Barbara County"/>
    <n v="1"/>
    <x v="12"/>
    <x v="1"/>
  </r>
  <r>
    <s v="TX502397"/>
    <s v="Crop Tops"/>
    <n v="2"/>
    <n v="22.9"/>
    <n v="45.8"/>
    <d v="2025-03-29T00:00:00"/>
    <d v="2025-03-30T00:00:00"/>
    <s v="M"/>
    <x v="0"/>
    <n v="4"/>
    <s v="California"/>
    <s v="Santa Clara County"/>
    <n v="1"/>
    <x v="12"/>
    <x v="1"/>
  </r>
  <r>
    <s v="TX502398"/>
    <s v="Bikinis"/>
    <n v="2"/>
    <n v="22.1"/>
    <n v="44.2"/>
    <d v="2025-03-29T00:00:00"/>
    <d v="2025-03-30T00:00:00"/>
    <s v="F"/>
    <x v="4"/>
    <n v="4"/>
    <s v="California"/>
    <s v="Santa Clara County"/>
    <n v="1"/>
    <x v="12"/>
    <x v="2"/>
  </r>
  <r>
    <s v="TX502399"/>
    <s v="Casual Dresses"/>
    <n v="2"/>
    <n v="31"/>
    <n v="62"/>
    <d v="2025-03-29T00:00:00"/>
    <d v="2025-03-31T00:00:00"/>
    <s v="F"/>
    <x v="2"/>
    <n v="4"/>
    <s v="California"/>
    <s v="Sonoma County"/>
    <n v="2"/>
    <x v="12"/>
    <x v="2"/>
  </r>
  <r>
    <s v="TX502400"/>
    <s v="Leggings"/>
    <n v="2"/>
    <n v="84.2"/>
    <n v="168.4"/>
    <d v="2025-03-29T00:00:00"/>
    <d v="2025-03-31T00:00:00"/>
    <s v="M"/>
    <x v="2"/>
    <n v="5"/>
    <s v="California"/>
    <s v="Ventura County"/>
    <n v="2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0A316-4F66-4BCF-B8F5-1AA11B8D2D8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8:C22" firstHeaderRow="0" firstDataRow="1" firstDataCol="1"/>
  <pivotFields count="15">
    <pivotField showAll="0"/>
    <pivotField showAll="0"/>
    <pivotField dataField="1" showAll="0"/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6E116-1C55-448C-8436-F254F9AED01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15">
    <pivotField dataField="1" showAll="0"/>
    <pivotField showAll="0"/>
    <pivotField dataField="1" showAll="0"/>
    <pivotField showAll="0"/>
    <pivotField dataField="1" showAll="0"/>
    <pivotField numFmtId="15" showAll="0"/>
    <pivotField numFmtId="15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To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D8474-1BC2-4748-B761-D99EACCA0585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8" baseItem="0" numFmtId="165"/>
  </dataFields>
  <formats count="4">
    <format dxfId="15">
      <pivotArea type="all" dataOnly="0" outline="0" fieldPosition="0"/>
    </format>
    <format dxfId="14">
      <pivotArea collapsedLevelsAreSubtotals="1" fieldPosition="0">
        <references count="2">
          <reference field="8" count="1">
            <x v="0"/>
          </reference>
          <reference field="14" count="1" selected="0">
            <x v="0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O2401" totalsRowShown="0">
  <autoFilter ref="A1:O2401" xr:uid="{00000000-0009-0000-0100-000001000000}"/>
  <tableColumns count="15">
    <tableColumn id="1" xr3:uid="{00000000-0010-0000-0000-000001000000}" name="TX ID"/>
    <tableColumn id="2" xr3:uid="{00000000-0010-0000-0000-000002000000}" name="Product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Order Date" dataDxfId="20"/>
    <tableColumn id="7" xr3:uid="{00000000-0010-0000-0000-000007000000}" name="Ship Date" dataDxfId="19"/>
    <tableColumn id="8" xr3:uid="{00000000-0010-0000-0000-000008000000}" name="Customer Gender"/>
    <tableColumn id="9" xr3:uid="{00000000-0010-0000-0000-000009000000}" name="Order Mode"/>
    <tableColumn id="10" xr3:uid="{00000000-0010-0000-0000-00000A000000}" name="Rating C"/>
    <tableColumn id="15" xr3:uid="{00000000-0010-0000-0000-00000F000000}" name="State"/>
    <tableColumn id="14" xr3:uid="{00000000-0010-0000-0000-00000E000000}" name="County"/>
    <tableColumn id="11" xr3:uid="{2437B7FC-7EEE-43BC-BCEA-ABF304CE2D18}" name="DaysToDeliver" dataDxfId="18">
      <calculatedColumnFormula>orders[[#This Row],[Ship Date]]-orders[[#This Row],[Order Date]]</calculatedColumnFormula>
    </tableColumn>
    <tableColumn id="12" xr3:uid="{2FF638D7-D17A-4F7A-BB63-D8839CA24AD5}" name="Weeknum" dataDxfId="17">
      <calculatedColumnFormula>WEEKNUM(orders[[#This Row],[Order Date]],2)</calculatedColumnFormula>
    </tableColumn>
    <tableColumn id="13" xr3:uid="{4896ED36-31D0-4C68-BB41-F8376103858A}" name="Gender" dataDxfId="16">
      <calculatedColumnFormula array="1">_xlfn.IFS(orders[[#This Row],[Customer Gender]]="M","Male",orders[[#This Row],[Customer Gender]]="F","Female",orders[[#This Row],[Customer Gender]]="O","Other",OR(orders[[#This Row],[Customer Gender]]=" ",orders[[#This Row],[Customer Gender]]=""),"Unknown")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A41E-81A8-41DA-BD2C-1A253078D30B}">
  <dimension ref="A3:L22"/>
  <sheetViews>
    <sheetView workbookViewId="0">
      <selection activeCell="G11" sqref="G11"/>
    </sheetView>
  </sheetViews>
  <sheetFormatPr defaultRowHeight="14.4" x14ac:dyDescent="0.3"/>
  <cols>
    <col min="1" max="1" width="12.44140625" bestFit="1" customWidth="1"/>
    <col min="2" max="2" width="14.21875" bestFit="1" customWidth="1"/>
    <col min="3" max="3" width="13.5546875" bestFit="1" customWidth="1"/>
    <col min="4" max="5" width="21.88671875" bestFit="1" customWidth="1"/>
    <col min="11" max="11" width="12.44140625" bestFit="1" customWidth="1"/>
    <col min="12" max="12" width="19" bestFit="1" customWidth="1"/>
  </cols>
  <sheetData>
    <row r="3" spans="1:12" x14ac:dyDescent="0.3">
      <c r="A3" t="s">
        <v>2503</v>
      </c>
      <c r="B3" t="s">
        <v>2504</v>
      </c>
      <c r="C3" t="s">
        <v>2505</v>
      </c>
      <c r="D3" t="s">
        <v>2507</v>
      </c>
      <c r="E3" t="s">
        <v>2508</v>
      </c>
      <c r="H3" t="s">
        <v>2509</v>
      </c>
      <c r="I3" t="s">
        <v>2</v>
      </c>
      <c r="J3" t="s">
        <v>4</v>
      </c>
      <c r="K3" t="s">
        <v>2510</v>
      </c>
      <c r="L3" t="s">
        <v>2511</v>
      </c>
    </row>
    <row r="4" spans="1:12" x14ac:dyDescent="0.3">
      <c r="A4">
        <v>2400</v>
      </c>
      <c r="B4">
        <v>11997</v>
      </c>
      <c r="C4">
        <v>649019.80000000144</v>
      </c>
      <c r="D4">
        <v>3.9620833333333332</v>
      </c>
      <c r="E4">
        <v>2.3424999999999998</v>
      </c>
      <c r="H4" t="str">
        <f>TEXT(A4,"0,00")</f>
        <v>2,400</v>
      </c>
      <c r="I4" t="str">
        <f t="shared" ref="I4:J4" si="0">TEXT(B4,"0,00")</f>
        <v>11,997</v>
      </c>
      <c r="J4" t="str">
        <f t="shared" si="0"/>
        <v>6,49,020</v>
      </c>
      <c r="K4" t="str">
        <f>TEXT(D4,"0.0")</f>
        <v>4.0</v>
      </c>
      <c r="L4" t="str">
        <f>TEXT(E4,"0.0")</f>
        <v>2.3</v>
      </c>
    </row>
    <row r="5" spans="1:12" x14ac:dyDescent="0.3">
      <c r="L5" t="s">
        <v>2506</v>
      </c>
    </row>
    <row r="8" spans="1:12" x14ac:dyDescent="0.3">
      <c r="A8" s="3" t="s">
        <v>2513</v>
      </c>
      <c r="B8" t="s">
        <v>2504</v>
      </c>
      <c r="C8" t="s">
        <v>2505</v>
      </c>
    </row>
    <row r="9" spans="1:12" x14ac:dyDescent="0.3">
      <c r="A9" s="4">
        <v>1</v>
      </c>
      <c r="B9" s="2">
        <v>675</v>
      </c>
      <c r="C9" s="2">
        <v>40141.900000000009</v>
      </c>
    </row>
    <row r="10" spans="1:12" x14ac:dyDescent="0.3">
      <c r="A10" s="4">
        <v>2</v>
      </c>
      <c r="B10" s="2">
        <v>858</v>
      </c>
      <c r="C10" s="2">
        <v>45628.999999999993</v>
      </c>
    </row>
    <row r="11" spans="1:12" x14ac:dyDescent="0.3">
      <c r="A11" s="4">
        <v>3</v>
      </c>
      <c r="B11" s="2">
        <v>918</v>
      </c>
      <c r="C11" s="2">
        <v>48148.2</v>
      </c>
    </row>
    <row r="12" spans="1:12" x14ac:dyDescent="0.3">
      <c r="A12" s="4">
        <v>4</v>
      </c>
      <c r="B12" s="2">
        <v>915</v>
      </c>
      <c r="C12" s="2">
        <v>46442.700000000004</v>
      </c>
    </row>
    <row r="13" spans="1:12" x14ac:dyDescent="0.3">
      <c r="A13" s="4">
        <v>5</v>
      </c>
      <c r="B13" s="2">
        <v>793</v>
      </c>
      <c r="C13" s="2">
        <v>42319.60000000002</v>
      </c>
    </row>
    <row r="14" spans="1:12" x14ac:dyDescent="0.3">
      <c r="A14" s="4">
        <v>6</v>
      </c>
      <c r="B14" s="2">
        <v>1259</v>
      </c>
      <c r="C14" s="2">
        <v>67739.999999999985</v>
      </c>
    </row>
    <row r="15" spans="1:12" x14ac:dyDescent="0.3">
      <c r="A15" s="4">
        <v>7</v>
      </c>
      <c r="B15" s="2">
        <v>830</v>
      </c>
      <c r="C15" s="2">
        <v>40749.099999999991</v>
      </c>
    </row>
    <row r="16" spans="1:12" x14ac:dyDescent="0.3">
      <c r="A16" s="4">
        <v>8</v>
      </c>
      <c r="B16" s="2">
        <v>1241</v>
      </c>
      <c r="C16" s="2">
        <v>63393.799999999967</v>
      </c>
    </row>
    <row r="17" spans="1:3" x14ac:dyDescent="0.3">
      <c r="A17" s="4">
        <v>9</v>
      </c>
      <c r="B17" s="2">
        <v>953</v>
      </c>
      <c r="C17" s="2">
        <v>51075.400000000031</v>
      </c>
    </row>
    <row r="18" spans="1:3" x14ac:dyDescent="0.3">
      <c r="A18" s="4">
        <v>10</v>
      </c>
      <c r="B18" s="2">
        <v>1077</v>
      </c>
      <c r="C18" s="2">
        <v>63600.399999999994</v>
      </c>
    </row>
    <row r="19" spans="1:3" x14ac:dyDescent="0.3">
      <c r="A19" s="4">
        <v>11</v>
      </c>
      <c r="B19" s="2">
        <v>867</v>
      </c>
      <c r="C19" s="2">
        <v>46644.7</v>
      </c>
    </row>
    <row r="20" spans="1:3" x14ac:dyDescent="0.3">
      <c r="A20" s="4">
        <v>12</v>
      </c>
      <c r="B20" s="2">
        <v>899</v>
      </c>
      <c r="C20" s="2">
        <v>52980.200000000048</v>
      </c>
    </row>
    <row r="21" spans="1:3" x14ac:dyDescent="0.3">
      <c r="A21" s="4">
        <v>13</v>
      </c>
      <c r="B21" s="2">
        <v>712</v>
      </c>
      <c r="C21" s="2">
        <v>40154.799999999988</v>
      </c>
    </row>
    <row r="22" spans="1:3" x14ac:dyDescent="0.3">
      <c r="A22" s="4" t="s">
        <v>2514</v>
      </c>
      <c r="B22" s="2">
        <v>11997</v>
      </c>
      <c r="C22" s="2">
        <v>649019.80000000005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238A-963F-4C65-9020-45DD4005A5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CEC1-555E-4EB4-A4ED-E5157B077128}">
  <dimension ref="C1"/>
  <sheetViews>
    <sheetView tabSelected="1" workbookViewId="0">
      <selection activeCell="AC7" sqref="AC7"/>
    </sheetView>
  </sheetViews>
  <sheetFormatPr defaultRowHeight="14.4" x14ac:dyDescent="0.3"/>
  <cols>
    <col min="1" max="1" width="2.88671875" customWidth="1"/>
    <col min="2" max="2" width="20.33203125" customWidth="1"/>
    <col min="3" max="3" width="2.88671875" customWidth="1"/>
  </cols>
  <sheetData>
    <row r="1" spans="3:3" x14ac:dyDescent="0.3">
      <c r="C1" t="s">
        <v>2512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B5EF-AB80-4E9E-81F6-0D60EF5304F1}">
  <dimension ref="A3:M10"/>
  <sheetViews>
    <sheetView topLeftCell="A6" zoomScale="111" workbookViewId="0">
      <selection activeCell="I4" sqref="I4:M9"/>
    </sheetView>
  </sheetViews>
  <sheetFormatPr defaultRowHeight="14.4" x14ac:dyDescent="0.3"/>
  <cols>
    <col min="1" max="1" width="13.77734375" bestFit="1" customWidth="1"/>
    <col min="2" max="2" width="15.5546875" bestFit="1" customWidth="1"/>
    <col min="3" max="3" width="7.109375" bestFit="1" customWidth="1"/>
    <col min="4" max="4" width="6.109375" bestFit="1" customWidth="1"/>
    <col min="5" max="5" width="8.77734375" bestFit="1" customWidth="1"/>
    <col min="6" max="6" width="10.5546875" bestFit="1" customWidth="1"/>
    <col min="8" max="8" width="6.6640625" customWidth="1"/>
    <col min="9" max="9" width="17" customWidth="1"/>
    <col min="10" max="10" width="18.44140625" bestFit="1" customWidth="1"/>
    <col min="11" max="11" width="16.5546875" bestFit="1" customWidth="1"/>
    <col min="12" max="12" width="14.77734375" bestFit="1" customWidth="1"/>
    <col min="13" max="13" width="16.5546875" bestFit="1" customWidth="1"/>
  </cols>
  <sheetData>
    <row r="3" spans="1:13" ht="15" thickBot="1" x14ac:dyDescent="0.35">
      <c r="A3" s="5" t="s">
        <v>2505</v>
      </c>
      <c r="B3" s="5" t="s">
        <v>2515</v>
      </c>
      <c r="C3" s="6"/>
      <c r="D3" s="6"/>
      <c r="E3" s="6"/>
      <c r="F3" s="6"/>
    </row>
    <row r="4" spans="1:13" ht="25.8" customHeight="1" thickTop="1" thickBot="1" x14ac:dyDescent="0.5">
      <c r="A4" s="5" t="s">
        <v>2513</v>
      </c>
      <c r="B4" s="6" t="s">
        <v>2516</v>
      </c>
      <c r="C4" s="6" t="s">
        <v>2517</v>
      </c>
      <c r="D4" s="6" t="s">
        <v>2518</v>
      </c>
      <c r="E4" s="6" t="s">
        <v>2519</v>
      </c>
      <c r="F4" s="6" t="s">
        <v>2514</v>
      </c>
      <c r="I4" s="9"/>
      <c r="J4" s="9" t="str">
        <f>B4</f>
        <v>Female</v>
      </c>
      <c r="K4" s="9" t="str">
        <f t="shared" ref="K4:M4" si="0">C4</f>
        <v>Male</v>
      </c>
      <c r="L4" s="9" t="str">
        <f t="shared" si="0"/>
        <v>Other</v>
      </c>
      <c r="M4" s="9" t="str">
        <f t="shared" si="0"/>
        <v>Unknown</v>
      </c>
    </row>
    <row r="5" spans="1:13" ht="63.6" customHeight="1" thickTop="1" thickBot="1" x14ac:dyDescent="0.55000000000000004">
      <c r="A5" s="4" t="s">
        <v>15</v>
      </c>
      <c r="B5" s="7">
        <v>0.18961825201634841</v>
      </c>
      <c r="C5" s="7">
        <v>0.12262322351336576</v>
      </c>
      <c r="D5" s="7">
        <v>1.060537752469185E-2</v>
      </c>
      <c r="E5" s="7">
        <v>3.0599220547662797E-2</v>
      </c>
      <c r="F5" s="7">
        <v>0.35344607360206881</v>
      </c>
      <c r="I5" s="9" t="str">
        <f>A5</f>
        <v>App</v>
      </c>
      <c r="J5" s="8">
        <f t="shared" ref="J5:M5" si="1">B5</f>
        <v>0.18961825201634841</v>
      </c>
      <c r="K5" s="8">
        <f t="shared" si="1"/>
        <v>0.12262322351336576</v>
      </c>
      <c r="L5" s="8">
        <f t="shared" si="1"/>
        <v>1.060537752469185E-2</v>
      </c>
      <c r="M5" s="8">
        <f t="shared" si="1"/>
        <v>3.0599220547662797E-2</v>
      </c>
    </row>
    <row r="6" spans="1:13" ht="63.6" customHeight="1" thickTop="1" thickBot="1" x14ac:dyDescent="0.55000000000000004">
      <c r="A6" s="4" t="s">
        <v>48</v>
      </c>
      <c r="B6" s="7">
        <v>5.0283982091147303E-2</v>
      </c>
      <c r="C6" s="7">
        <v>4.3060781812819873E-2</v>
      </c>
      <c r="D6" s="7">
        <v>1.5320025675641944E-3</v>
      </c>
      <c r="E6" s="7">
        <v>1.7794988689097006E-2</v>
      </c>
      <c r="F6" s="7">
        <v>0.11267175516062837</v>
      </c>
      <c r="I6" s="9" t="str">
        <f t="shared" ref="I6:I9" si="2">A6</f>
        <v>Instagram</v>
      </c>
      <c r="J6" s="8">
        <f t="shared" ref="J6:J9" si="3">B6</f>
        <v>5.0283982091147303E-2</v>
      </c>
      <c r="K6" s="8">
        <f t="shared" ref="K6:K9" si="4">C6</f>
        <v>4.3060781812819873E-2</v>
      </c>
      <c r="L6" s="8">
        <f t="shared" ref="L6:L9" si="5">D6</f>
        <v>1.5320025675641944E-3</v>
      </c>
      <c r="M6" s="8">
        <f t="shared" ref="M6:M9" si="6">E6</f>
        <v>1.7794988689097006E-2</v>
      </c>
    </row>
    <row r="7" spans="1:13" ht="63.6" customHeight="1" thickTop="1" thickBot="1" x14ac:dyDescent="0.55000000000000004">
      <c r="A7" s="4" t="s">
        <v>67</v>
      </c>
      <c r="B7" s="7">
        <v>6.3496059750411282E-2</v>
      </c>
      <c r="C7" s="7">
        <v>4.6071629863988765E-2</v>
      </c>
      <c r="D7" s="7">
        <v>2.306247051322625E-3</v>
      </c>
      <c r="E7" s="7">
        <v>3.8927934093844286E-3</v>
      </c>
      <c r="F7" s="7">
        <v>0.11576673007510711</v>
      </c>
      <c r="I7" s="9" t="str">
        <f t="shared" si="2"/>
        <v>Partner App</v>
      </c>
      <c r="J7" s="8">
        <f t="shared" si="3"/>
        <v>6.3496059750411282E-2</v>
      </c>
      <c r="K7" s="8">
        <f t="shared" si="4"/>
        <v>4.6071629863988765E-2</v>
      </c>
      <c r="L7" s="8">
        <f t="shared" si="5"/>
        <v>2.306247051322625E-3</v>
      </c>
      <c r="M7" s="8">
        <f t="shared" si="6"/>
        <v>3.8927934093844286E-3</v>
      </c>
    </row>
    <row r="8" spans="1:13" ht="63.6" customHeight="1" thickTop="1" thickBot="1" x14ac:dyDescent="0.55000000000000004">
      <c r="A8" s="4" t="s">
        <v>37</v>
      </c>
      <c r="B8" s="7">
        <v>9.6337892927149532E-2</v>
      </c>
      <c r="C8" s="7">
        <v>6.7920115842382611E-2</v>
      </c>
      <c r="D8" s="7">
        <v>5.4979832664581261E-3</v>
      </c>
      <c r="E8" s="7">
        <v>1.2933041488102518E-2</v>
      </c>
      <c r="F8" s="7">
        <v>0.1826890335240928</v>
      </c>
      <c r="I8" s="9" t="str">
        <f t="shared" si="2"/>
        <v>Target.com</v>
      </c>
      <c r="J8" s="8">
        <f t="shared" si="3"/>
        <v>9.6337892927149532E-2</v>
      </c>
      <c r="K8" s="8">
        <f t="shared" si="4"/>
        <v>6.7920115842382611E-2</v>
      </c>
      <c r="L8" s="8">
        <f t="shared" si="5"/>
        <v>5.4979832664581261E-3</v>
      </c>
      <c r="M8" s="8">
        <f t="shared" si="6"/>
        <v>1.2933041488102518E-2</v>
      </c>
    </row>
    <row r="9" spans="1:13" ht="63.6" customHeight="1" thickTop="1" thickBot="1" x14ac:dyDescent="0.55000000000000004">
      <c r="A9" s="4" t="s">
        <v>32</v>
      </c>
      <c r="B9" s="7">
        <v>0.12522098709469262</v>
      </c>
      <c r="C9" s="7">
        <v>9.1492740283116228E-2</v>
      </c>
      <c r="D9" s="7">
        <v>6.3042760790965081E-3</v>
      </c>
      <c r="E9" s="7">
        <v>1.2408404181197551E-2</v>
      </c>
      <c r="F9" s="7">
        <v>0.23542640763810288</v>
      </c>
      <c r="I9" s="9" t="str">
        <f t="shared" si="2"/>
        <v>Website</v>
      </c>
      <c r="J9" s="8">
        <f t="shared" si="3"/>
        <v>0.12522098709469262</v>
      </c>
      <c r="K9" s="8">
        <f t="shared" si="4"/>
        <v>9.1492740283116228E-2</v>
      </c>
      <c r="L9" s="8">
        <f t="shared" si="5"/>
        <v>6.3042760790965081E-3</v>
      </c>
      <c r="M9" s="8">
        <f t="shared" si="6"/>
        <v>1.2408404181197551E-2</v>
      </c>
    </row>
    <row r="10" spans="1:13" ht="15" thickTop="1" x14ac:dyDescent="0.3">
      <c r="A10" s="4" t="s">
        <v>2514</v>
      </c>
      <c r="B10" s="7">
        <v>0.52495717387974916</v>
      </c>
      <c r="C10" s="7">
        <v>0.3711684913156732</v>
      </c>
      <c r="D10" s="7">
        <v>2.6245886489133303E-2</v>
      </c>
      <c r="E10" s="7">
        <v>7.7628448315444312E-2</v>
      </c>
      <c r="F10" s="7">
        <v>1</v>
      </c>
    </row>
  </sheetData>
  <conditionalFormatting sqref="J5:M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conditionalFormatting sqref="M7">
    <cfRule type="colorScale" priority="4">
      <colorScale>
        <cfvo type="min"/>
        <cfvo type="max"/>
        <color rgb="FFFFEF9C"/>
        <color rgb="FF63BE7B"/>
      </colorScale>
    </cfRule>
  </conditionalFormatting>
  <conditionalFormatting sqref="O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1"/>
  <sheetViews>
    <sheetView topLeftCell="A7" workbookViewId="0">
      <selection activeCell="L3" sqref="A2:O2401"/>
    </sheetView>
  </sheetViews>
  <sheetFormatPr defaultRowHeight="14.4" x14ac:dyDescent="0.3"/>
  <cols>
    <col min="1" max="1" width="12.77734375" customWidth="1"/>
    <col min="2" max="2" width="19.109375" bestFit="1" customWidth="1"/>
    <col min="3" max="3" width="12.33203125" customWidth="1"/>
    <col min="4" max="4" width="17.44140625" customWidth="1"/>
    <col min="5" max="5" width="16.6640625" customWidth="1"/>
    <col min="6" max="6" width="17.88671875" customWidth="1"/>
    <col min="7" max="7" width="15.33203125" customWidth="1"/>
    <col min="8" max="8" width="17.5546875" customWidth="1"/>
    <col min="9" max="9" width="14.44140625" customWidth="1"/>
    <col min="10" max="10" width="11.5546875" customWidth="1"/>
    <col min="11" max="11" width="8.77734375" bestFit="1" customWidth="1"/>
    <col min="12" max="12" width="19.6640625" bestFit="1" customWidth="1"/>
    <col min="13" max="13" width="16.21875" customWidth="1"/>
    <col min="14" max="14" width="13.6640625" customWidth="1"/>
    <col min="15" max="15" width="13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2500</v>
      </c>
      <c r="N1" t="s">
        <v>2501</v>
      </c>
      <c r="O1" t="s">
        <v>2502</v>
      </c>
    </row>
    <row r="2" spans="1:15" x14ac:dyDescent="0.3">
      <c r="A2" t="s">
        <v>12</v>
      </c>
      <c r="B2" t="s">
        <v>13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14</v>
      </c>
      <c r="I2" t="s">
        <v>15</v>
      </c>
      <c r="J2">
        <v>4</v>
      </c>
      <c r="K2" t="s">
        <v>16</v>
      </c>
      <c r="L2" t="s">
        <v>17</v>
      </c>
      <c r="M2">
        <f>orders[[#This Row],[Ship Date]]-orders[[#This Row],[Order Date]]</f>
        <v>5</v>
      </c>
      <c r="N2">
        <f>WEEKNUM(orders[[#This Row],[Order Date]],2)</f>
        <v>1</v>
      </c>
      <c r="O2" t="str" cm="1">
        <f t="array" ref="O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" spans="1:15" x14ac:dyDescent="0.3">
      <c r="A3" t="s">
        <v>18</v>
      </c>
      <c r="B3" t="s">
        <v>19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20</v>
      </c>
      <c r="I3" t="s">
        <v>15</v>
      </c>
      <c r="J3">
        <v>4</v>
      </c>
      <c r="K3" t="s">
        <v>16</v>
      </c>
      <c r="L3" t="s">
        <v>21</v>
      </c>
      <c r="M3">
        <f>orders[[#This Row],[Ship Date]]-orders[[#This Row],[Order Date]]</f>
        <v>2</v>
      </c>
      <c r="N3">
        <f>WEEKNUM(orders[[#This Row],[Order Date]],2)</f>
        <v>1</v>
      </c>
      <c r="O3" t="str" cm="1">
        <f t="array" ref="O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" spans="1:15" x14ac:dyDescent="0.3">
      <c r="A4" t="s">
        <v>22</v>
      </c>
      <c r="B4" t="s">
        <v>23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24</v>
      </c>
      <c r="I4" t="s">
        <v>15</v>
      </c>
      <c r="J4">
        <v>3</v>
      </c>
      <c r="K4" t="s">
        <v>16</v>
      </c>
      <c r="L4" t="s">
        <v>25</v>
      </c>
      <c r="M4">
        <f>orders[[#This Row],[Ship Date]]-orders[[#This Row],[Order Date]]</f>
        <v>3</v>
      </c>
      <c r="N4">
        <f>WEEKNUM(orders[[#This Row],[Order Date]],2)</f>
        <v>1</v>
      </c>
      <c r="O4" t="str" cm="1">
        <f t="array" ref="O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" spans="1:15" x14ac:dyDescent="0.3">
      <c r="A5" t="s">
        <v>26</v>
      </c>
      <c r="B5" t="s">
        <v>27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24</v>
      </c>
      <c r="I5" t="s">
        <v>15</v>
      </c>
      <c r="J5">
        <v>4</v>
      </c>
      <c r="K5" t="s">
        <v>16</v>
      </c>
      <c r="L5" t="s">
        <v>25</v>
      </c>
      <c r="M5">
        <f>orders[[#This Row],[Ship Date]]-orders[[#This Row],[Order Date]]</f>
        <v>1</v>
      </c>
      <c r="N5">
        <f>WEEKNUM(orders[[#This Row],[Order Date]],2)</f>
        <v>1</v>
      </c>
      <c r="O5" t="str" cm="1">
        <f t="array" ref="O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" spans="1:15" x14ac:dyDescent="0.3">
      <c r="A6" t="s">
        <v>28</v>
      </c>
      <c r="B6" t="s">
        <v>29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24</v>
      </c>
      <c r="I6" t="s">
        <v>15</v>
      </c>
      <c r="J6">
        <v>5</v>
      </c>
      <c r="K6" t="s">
        <v>16</v>
      </c>
      <c r="L6" t="s">
        <v>30</v>
      </c>
      <c r="M6">
        <f>orders[[#This Row],[Ship Date]]-orders[[#This Row],[Order Date]]</f>
        <v>3</v>
      </c>
      <c r="N6">
        <f>WEEKNUM(orders[[#This Row],[Order Date]],2)</f>
        <v>1</v>
      </c>
      <c r="O6" t="str" cm="1">
        <f t="array" ref="O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" spans="1:15" x14ac:dyDescent="0.3">
      <c r="A7" t="s">
        <v>31</v>
      </c>
      <c r="B7" t="s">
        <v>19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20</v>
      </c>
      <c r="I7" t="s">
        <v>32</v>
      </c>
      <c r="J7">
        <v>4</v>
      </c>
      <c r="K7" t="s">
        <v>16</v>
      </c>
      <c r="L7" t="s">
        <v>30</v>
      </c>
      <c r="M7">
        <f>orders[[#This Row],[Ship Date]]-orders[[#This Row],[Order Date]]</f>
        <v>3</v>
      </c>
      <c r="N7">
        <f>WEEKNUM(orders[[#This Row],[Order Date]],2)</f>
        <v>1</v>
      </c>
      <c r="O7" t="str" cm="1">
        <f t="array" ref="O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" spans="1:15" x14ac:dyDescent="0.3">
      <c r="A8" t="s">
        <v>33</v>
      </c>
      <c r="B8" t="s">
        <v>34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24</v>
      </c>
      <c r="I8" t="s">
        <v>15</v>
      </c>
      <c r="J8">
        <v>4</v>
      </c>
      <c r="K8" t="s">
        <v>16</v>
      </c>
      <c r="L8" t="s">
        <v>30</v>
      </c>
      <c r="M8">
        <f>orders[[#This Row],[Ship Date]]-orders[[#This Row],[Order Date]]</f>
        <v>1</v>
      </c>
      <c r="N8">
        <f>WEEKNUM(orders[[#This Row],[Order Date]],2)</f>
        <v>1</v>
      </c>
      <c r="O8" t="str" cm="1">
        <f t="array" ref="O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" spans="1:15" x14ac:dyDescent="0.3">
      <c r="A9" t="s">
        <v>35</v>
      </c>
      <c r="B9" t="s">
        <v>36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20</v>
      </c>
      <c r="I9" t="s">
        <v>37</v>
      </c>
      <c r="J9">
        <v>5</v>
      </c>
      <c r="K9" t="s">
        <v>16</v>
      </c>
      <c r="L9" t="s">
        <v>30</v>
      </c>
      <c r="M9">
        <f>orders[[#This Row],[Ship Date]]-orders[[#This Row],[Order Date]]</f>
        <v>1</v>
      </c>
      <c r="N9">
        <f>WEEKNUM(orders[[#This Row],[Order Date]],2)</f>
        <v>1</v>
      </c>
      <c r="O9" t="str" cm="1">
        <f t="array" ref="O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" spans="1:15" x14ac:dyDescent="0.3">
      <c r="A10" t="s">
        <v>38</v>
      </c>
      <c r="B10" t="s">
        <v>39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24</v>
      </c>
      <c r="I10" t="s">
        <v>15</v>
      </c>
      <c r="J10">
        <v>4</v>
      </c>
      <c r="K10" t="s">
        <v>16</v>
      </c>
      <c r="L10" t="s">
        <v>30</v>
      </c>
      <c r="M10">
        <f>orders[[#This Row],[Ship Date]]-orders[[#This Row],[Order Date]]</f>
        <v>1</v>
      </c>
      <c r="N10">
        <f>WEEKNUM(orders[[#This Row],[Order Date]],2)</f>
        <v>1</v>
      </c>
      <c r="O10" t="str" cm="1">
        <f t="array" ref="O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" spans="1:15" x14ac:dyDescent="0.3">
      <c r="A11" t="s">
        <v>40</v>
      </c>
      <c r="B11" t="s">
        <v>41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20</v>
      </c>
      <c r="I11" t="s">
        <v>15</v>
      </c>
      <c r="J11">
        <v>3</v>
      </c>
      <c r="K11" t="s">
        <v>16</v>
      </c>
      <c r="L11" t="s">
        <v>30</v>
      </c>
      <c r="M11">
        <f>orders[[#This Row],[Ship Date]]-orders[[#This Row],[Order Date]]</f>
        <v>3</v>
      </c>
      <c r="N11">
        <f>WEEKNUM(orders[[#This Row],[Order Date]],2)</f>
        <v>1</v>
      </c>
      <c r="O11" t="str" cm="1">
        <f t="array" ref="O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" spans="1:15" x14ac:dyDescent="0.3">
      <c r="A12" t="s">
        <v>42</v>
      </c>
      <c r="B12" t="s">
        <v>43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24</v>
      </c>
      <c r="I12" t="s">
        <v>15</v>
      </c>
      <c r="J12">
        <v>4</v>
      </c>
      <c r="K12" t="s">
        <v>16</v>
      </c>
      <c r="L12" t="s">
        <v>30</v>
      </c>
      <c r="M12">
        <f>orders[[#This Row],[Ship Date]]-orders[[#This Row],[Order Date]]</f>
        <v>6</v>
      </c>
      <c r="N12">
        <f>WEEKNUM(orders[[#This Row],[Order Date]],2)</f>
        <v>1</v>
      </c>
      <c r="O12" t="str" cm="1">
        <f t="array" ref="O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" spans="1:15" x14ac:dyDescent="0.3">
      <c r="A13" t="s">
        <v>44</v>
      </c>
      <c r="B13" t="s">
        <v>43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24</v>
      </c>
      <c r="I13" t="s">
        <v>37</v>
      </c>
      <c r="J13">
        <v>3</v>
      </c>
      <c r="K13" t="s">
        <v>16</v>
      </c>
      <c r="L13" t="s">
        <v>30</v>
      </c>
      <c r="M13">
        <f>orders[[#This Row],[Ship Date]]-orders[[#This Row],[Order Date]]</f>
        <v>2</v>
      </c>
      <c r="N13">
        <f>WEEKNUM(orders[[#This Row],[Order Date]],2)</f>
        <v>1</v>
      </c>
      <c r="O13" t="str" cm="1">
        <f t="array" ref="O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" spans="1:15" x14ac:dyDescent="0.3">
      <c r="A14" t="s">
        <v>45</v>
      </c>
      <c r="B14" t="s">
        <v>34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24</v>
      </c>
      <c r="I14" t="s">
        <v>32</v>
      </c>
      <c r="J14">
        <v>4</v>
      </c>
      <c r="K14" t="s">
        <v>16</v>
      </c>
      <c r="L14" t="s">
        <v>46</v>
      </c>
      <c r="M14">
        <f>orders[[#This Row],[Ship Date]]-orders[[#This Row],[Order Date]]</f>
        <v>4</v>
      </c>
      <c r="N14">
        <f>WEEKNUM(orders[[#This Row],[Order Date]],2)</f>
        <v>1</v>
      </c>
      <c r="O14" t="str" cm="1">
        <f t="array" ref="O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" spans="1:15" x14ac:dyDescent="0.3">
      <c r="A15" t="s">
        <v>47</v>
      </c>
      <c r="B15" t="s">
        <v>36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20</v>
      </c>
      <c r="I15" t="s">
        <v>48</v>
      </c>
      <c r="J15">
        <v>4</v>
      </c>
      <c r="K15" t="s">
        <v>16</v>
      </c>
      <c r="L15" t="s">
        <v>49</v>
      </c>
      <c r="M15">
        <f>orders[[#This Row],[Ship Date]]-orders[[#This Row],[Order Date]]</f>
        <v>7</v>
      </c>
      <c r="N15">
        <f>WEEKNUM(orders[[#This Row],[Order Date]],2)</f>
        <v>1</v>
      </c>
      <c r="O15" t="str" cm="1">
        <f t="array" ref="O1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" spans="1:15" x14ac:dyDescent="0.3">
      <c r="A16" t="s">
        <v>50</v>
      </c>
      <c r="B16" t="s">
        <v>51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20</v>
      </c>
      <c r="I16" t="s">
        <v>15</v>
      </c>
      <c r="J16">
        <v>4</v>
      </c>
      <c r="K16" t="s">
        <v>16</v>
      </c>
      <c r="L16" t="s">
        <v>52</v>
      </c>
      <c r="M16">
        <f>orders[[#This Row],[Ship Date]]-orders[[#This Row],[Order Date]]</f>
        <v>3</v>
      </c>
      <c r="N16">
        <f>WEEKNUM(orders[[#This Row],[Order Date]],2)</f>
        <v>1</v>
      </c>
      <c r="O16" t="str" cm="1">
        <f t="array" ref="O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" spans="1:15" x14ac:dyDescent="0.3">
      <c r="A17" t="s">
        <v>53</v>
      </c>
      <c r="B17" t="s">
        <v>43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20</v>
      </c>
      <c r="I17" t="s">
        <v>32</v>
      </c>
      <c r="J17">
        <v>5</v>
      </c>
      <c r="K17" t="s">
        <v>16</v>
      </c>
      <c r="L17" t="s">
        <v>52</v>
      </c>
      <c r="M17">
        <f>orders[[#This Row],[Ship Date]]-orders[[#This Row],[Order Date]]</f>
        <v>1</v>
      </c>
      <c r="N17">
        <f>WEEKNUM(orders[[#This Row],[Order Date]],2)</f>
        <v>1</v>
      </c>
      <c r="O17" t="str" cm="1">
        <f t="array" ref="O1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" spans="1:15" x14ac:dyDescent="0.3">
      <c r="A18" t="s">
        <v>54</v>
      </c>
      <c r="B18" t="s">
        <v>29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24</v>
      </c>
      <c r="I18" t="s">
        <v>15</v>
      </c>
      <c r="J18">
        <v>3</v>
      </c>
      <c r="K18" t="s">
        <v>16</v>
      </c>
      <c r="L18" t="s">
        <v>52</v>
      </c>
      <c r="M18">
        <f>orders[[#This Row],[Ship Date]]-orders[[#This Row],[Order Date]]</f>
        <v>1</v>
      </c>
      <c r="N18">
        <f>WEEKNUM(orders[[#This Row],[Order Date]],2)</f>
        <v>1</v>
      </c>
      <c r="O18" t="str" cm="1">
        <f t="array" ref="O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" spans="1:15" x14ac:dyDescent="0.3">
      <c r="A19" t="s">
        <v>55</v>
      </c>
      <c r="B19" t="s">
        <v>39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24</v>
      </c>
      <c r="I19" t="s">
        <v>15</v>
      </c>
      <c r="J19">
        <v>4</v>
      </c>
      <c r="K19" t="s">
        <v>16</v>
      </c>
      <c r="L19" t="s">
        <v>56</v>
      </c>
      <c r="M19">
        <f>orders[[#This Row],[Ship Date]]-orders[[#This Row],[Order Date]]</f>
        <v>3</v>
      </c>
      <c r="N19">
        <f>WEEKNUM(orders[[#This Row],[Order Date]],2)</f>
        <v>1</v>
      </c>
      <c r="O19" t="str" cm="1">
        <f t="array" ref="O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" spans="1:15" x14ac:dyDescent="0.3">
      <c r="A20" t="s">
        <v>57</v>
      </c>
      <c r="B20" t="s">
        <v>36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24</v>
      </c>
      <c r="I20" t="s">
        <v>37</v>
      </c>
      <c r="J20">
        <v>1</v>
      </c>
      <c r="K20" t="s">
        <v>16</v>
      </c>
      <c r="L20" t="s">
        <v>56</v>
      </c>
      <c r="M20">
        <f>orders[[#This Row],[Ship Date]]-orders[[#This Row],[Order Date]]</f>
        <v>3</v>
      </c>
      <c r="N20">
        <f>WEEKNUM(orders[[#This Row],[Order Date]],2)</f>
        <v>1</v>
      </c>
      <c r="O20" t="str" cm="1">
        <f t="array" ref="O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" spans="1:15" x14ac:dyDescent="0.3">
      <c r="A21" t="s">
        <v>58</v>
      </c>
      <c r="B21" t="s">
        <v>43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24</v>
      </c>
      <c r="I21" t="s">
        <v>32</v>
      </c>
      <c r="J21">
        <v>5</v>
      </c>
      <c r="K21" t="s">
        <v>16</v>
      </c>
      <c r="L21" t="s">
        <v>59</v>
      </c>
      <c r="M21">
        <f>orders[[#This Row],[Ship Date]]-orders[[#This Row],[Order Date]]</f>
        <v>1</v>
      </c>
      <c r="N21">
        <f>WEEKNUM(orders[[#This Row],[Order Date]],2)</f>
        <v>1</v>
      </c>
      <c r="O21" t="str" cm="1">
        <f t="array" ref="O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" spans="1:15" x14ac:dyDescent="0.3">
      <c r="A22" t="s">
        <v>60</v>
      </c>
      <c r="B22" t="s">
        <v>43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24</v>
      </c>
      <c r="I22" t="s">
        <v>37</v>
      </c>
      <c r="J22">
        <v>4</v>
      </c>
      <c r="K22" t="s">
        <v>16</v>
      </c>
      <c r="L22" t="s">
        <v>59</v>
      </c>
      <c r="M22">
        <f>orders[[#This Row],[Ship Date]]-orders[[#This Row],[Order Date]]</f>
        <v>3</v>
      </c>
      <c r="N22">
        <f>WEEKNUM(orders[[#This Row],[Order Date]],2)</f>
        <v>1</v>
      </c>
      <c r="O22" t="str" cm="1">
        <f t="array" ref="O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" spans="1:15" x14ac:dyDescent="0.3">
      <c r="A23" t="s">
        <v>61</v>
      </c>
      <c r="B23" t="s">
        <v>41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24</v>
      </c>
      <c r="I23" t="s">
        <v>32</v>
      </c>
      <c r="J23">
        <v>3</v>
      </c>
      <c r="K23" t="s">
        <v>16</v>
      </c>
      <c r="L23" t="s">
        <v>59</v>
      </c>
      <c r="M23">
        <f>orders[[#This Row],[Ship Date]]-orders[[#This Row],[Order Date]]</f>
        <v>1</v>
      </c>
      <c r="N23">
        <f>WEEKNUM(orders[[#This Row],[Order Date]],2)</f>
        <v>1</v>
      </c>
      <c r="O23" t="str" cm="1">
        <f t="array" ref="O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4" spans="1:15" x14ac:dyDescent="0.3">
      <c r="A24" t="s">
        <v>62</v>
      </c>
      <c r="B24" t="s">
        <v>27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20</v>
      </c>
      <c r="I24" t="s">
        <v>15</v>
      </c>
      <c r="J24">
        <v>5</v>
      </c>
      <c r="K24" t="s">
        <v>16</v>
      </c>
      <c r="L24" t="s">
        <v>59</v>
      </c>
      <c r="M24">
        <f>orders[[#This Row],[Ship Date]]-orders[[#This Row],[Order Date]]</f>
        <v>1</v>
      </c>
      <c r="N24">
        <f>WEEKNUM(orders[[#This Row],[Order Date]],2)</f>
        <v>1</v>
      </c>
      <c r="O24" t="str" cm="1">
        <f t="array" ref="O2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5" spans="1:15" x14ac:dyDescent="0.3">
      <c r="A25" t="s">
        <v>63</v>
      </c>
      <c r="B25" t="s">
        <v>64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24</v>
      </c>
      <c r="I25" t="s">
        <v>48</v>
      </c>
      <c r="J25">
        <v>4</v>
      </c>
      <c r="K25" t="s">
        <v>16</v>
      </c>
      <c r="L25" t="s">
        <v>59</v>
      </c>
      <c r="M25">
        <f>orders[[#This Row],[Ship Date]]-orders[[#This Row],[Order Date]]</f>
        <v>1</v>
      </c>
      <c r="N25">
        <f>WEEKNUM(orders[[#This Row],[Order Date]],2)</f>
        <v>1</v>
      </c>
      <c r="O25" t="str" cm="1">
        <f t="array" ref="O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6" spans="1:15" x14ac:dyDescent="0.3">
      <c r="A26" t="s">
        <v>65</v>
      </c>
      <c r="B26" t="s">
        <v>66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24</v>
      </c>
      <c r="I26" t="s">
        <v>67</v>
      </c>
      <c r="J26">
        <v>4</v>
      </c>
      <c r="K26" t="s">
        <v>16</v>
      </c>
      <c r="L26" t="s">
        <v>59</v>
      </c>
      <c r="M26">
        <f>orders[[#This Row],[Ship Date]]-orders[[#This Row],[Order Date]]</f>
        <v>1</v>
      </c>
      <c r="N26">
        <f>WEEKNUM(orders[[#This Row],[Order Date]],2)</f>
        <v>1</v>
      </c>
      <c r="O26" t="str" cm="1">
        <f t="array" ref="O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" spans="1:15" x14ac:dyDescent="0.3">
      <c r="A27" t="s">
        <v>68</v>
      </c>
      <c r="B27" t="s">
        <v>13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24</v>
      </c>
      <c r="I27" t="s">
        <v>37</v>
      </c>
      <c r="J27">
        <v>4</v>
      </c>
      <c r="K27" t="s">
        <v>16</v>
      </c>
      <c r="L27" t="s">
        <v>69</v>
      </c>
      <c r="M27">
        <f>orders[[#This Row],[Ship Date]]-orders[[#This Row],[Order Date]]</f>
        <v>1</v>
      </c>
      <c r="N27">
        <f>WEEKNUM(orders[[#This Row],[Order Date]],2)</f>
        <v>1</v>
      </c>
      <c r="O27" t="str" cm="1">
        <f t="array" ref="O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8" spans="1:15" x14ac:dyDescent="0.3">
      <c r="A28" t="s">
        <v>70</v>
      </c>
      <c r="B28" t="s">
        <v>19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20</v>
      </c>
      <c r="I28" t="s">
        <v>32</v>
      </c>
      <c r="J28">
        <v>4</v>
      </c>
      <c r="K28" t="s">
        <v>16</v>
      </c>
      <c r="L28" t="s">
        <v>71</v>
      </c>
      <c r="M28">
        <f>orders[[#This Row],[Ship Date]]-orders[[#This Row],[Order Date]]</f>
        <v>3</v>
      </c>
      <c r="N28">
        <f>WEEKNUM(orders[[#This Row],[Order Date]],2)</f>
        <v>1</v>
      </c>
      <c r="O28" t="str" cm="1">
        <f t="array" ref="O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" spans="1:15" x14ac:dyDescent="0.3">
      <c r="A29" t="s">
        <v>72</v>
      </c>
      <c r="B29" t="s">
        <v>73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14</v>
      </c>
      <c r="I29" t="s">
        <v>32</v>
      </c>
      <c r="J29">
        <v>5</v>
      </c>
      <c r="K29" t="s">
        <v>16</v>
      </c>
      <c r="L29" t="s">
        <v>74</v>
      </c>
      <c r="M29">
        <f>orders[[#This Row],[Ship Date]]-orders[[#This Row],[Order Date]]</f>
        <v>2</v>
      </c>
      <c r="N29">
        <f>WEEKNUM(orders[[#This Row],[Order Date]],2)</f>
        <v>1</v>
      </c>
      <c r="O29" t="str" cm="1">
        <f t="array" ref="O2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0" spans="1:15" x14ac:dyDescent="0.3">
      <c r="A30" t="s">
        <v>75</v>
      </c>
      <c r="B30" t="s">
        <v>36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14</v>
      </c>
      <c r="I30" t="s">
        <v>32</v>
      </c>
      <c r="J30">
        <v>5</v>
      </c>
      <c r="K30" t="s">
        <v>16</v>
      </c>
      <c r="L30" t="s">
        <v>76</v>
      </c>
      <c r="M30">
        <f>orders[[#This Row],[Ship Date]]-orders[[#This Row],[Order Date]]</f>
        <v>6</v>
      </c>
      <c r="N30">
        <f>WEEKNUM(orders[[#This Row],[Order Date]],2)</f>
        <v>1</v>
      </c>
      <c r="O30" t="str" cm="1">
        <f t="array" ref="O3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1" spans="1:15" x14ac:dyDescent="0.3">
      <c r="A31" t="s">
        <v>77</v>
      </c>
      <c r="B31" t="s">
        <v>78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24</v>
      </c>
      <c r="I31" t="s">
        <v>32</v>
      </c>
      <c r="J31">
        <v>4</v>
      </c>
      <c r="K31" t="s">
        <v>16</v>
      </c>
      <c r="L31" t="s">
        <v>79</v>
      </c>
      <c r="M31">
        <f>orders[[#This Row],[Ship Date]]-orders[[#This Row],[Order Date]]</f>
        <v>4</v>
      </c>
      <c r="N31">
        <f>WEEKNUM(orders[[#This Row],[Order Date]],2)</f>
        <v>1</v>
      </c>
      <c r="O31" t="str" cm="1">
        <f t="array" ref="O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2" spans="1:15" x14ac:dyDescent="0.3">
      <c r="A32" t="s">
        <v>80</v>
      </c>
      <c r="B32" t="s">
        <v>41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20</v>
      </c>
      <c r="I32" t="s">
        <v>15</v>
      </c>
      <c r="J32">
        <v>5</v>
      </c>
      <c r="K32" t="s">
        <v>16</v>
      </c>
      <c r="L32" t="s">
        <v>81</v>
      </c>
      <c r="M32">
        <f>orders[[#This Row],[Ship Date]]-orders[[#This Row],[Order Date]]</f>
        <v>4</v>
      </c>
      <c r="N32">
        <f>WEEKNUM(orders[[#This Row],[Order Date]],2)</f>
        <v>1</v>
      </c>
      <c r="O32" t="str" cm="1">
        <f t="array" ref="O3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3" spans="1:15" x14ac:dyDescent="0.3">
      <c r="A33" t="s">
        <v>82</v>
      </c>
      <c r="B33" t="s">
        <v>23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20</v>
      </c>
      <c r="I33" t="s">
        <v>15</v>
      </c>
      <c r="J33">
        <v>4</v>
      </c>
      <c r="K33" t="s">
        <v>16</v>
      </c>
      <c r="L33" t="s">
        <v>83</v>
      </c>
      <c r="M33">
        <f>orders[[#This Row],[Ship Date]]-orders[[#This Row],[Order Date]]</f>
        <v>3</v>
      </c>
      <c r="N33">
        <f>WEEKNUM(orders[[#This Row],[Order Date]],2)</f>
        <v>1</v>
      </c>
      <c r="O33" t="str" cm="1">
        <f t="array" ref="O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4" spans="1:15" x14ac:dyDescent="0.3">
      <c r="A34" t="s">
        <v>84</v>
      </c>
      <c r="B34" t="s">
        <v>29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20</v>
      </c>
      <c r="I34" t="s">
        <v>48</v>
      </c>
      <c r="J34">
        <v>4</v>
      </c>
      <c r="K34" t="s">
        <v>16</v>
      </c>
      <c r="L34" t="s">
        <v>30</v>
      </c>
      <c r="M34">
        <f>orders[[#This Row],[Ship Date]]-orders[[#This Row],[Order Date]]</f>
        <v>1</v>
      </c>
      <c r="N34">
        <f>WEEKNUM(orders[[#This Row],[Order Date]],2)</f>
        <v>1</v>
      </c>
      <c r="O34" t="str" cm="1">
        <f t="array" ref="O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5" spans="1:15" x14ac:dyDescent="0.3">
      <c r="A35" t="s">
        <v>85</v>
      </c>
      <c r="B35" t="s">
        <v>51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86</v>
      </c>
      <c r="I35" t="s">
        <v>37</v>
      </c>
      <c r="J35">
        <v>5</v>
      </c>
      <c r="K35" t="s">
        <v>16</v>
      </c>
      <c r="L35" t="s">
        <v>30</v>
      </c>
      <c r="M35">
        <f>orders[[#This Row],[Ship Date]]-orders[[#This Row],[Order Date]]</f>
        <v>2</v>
      </c>
      <c r="N35">
        <f>WEEKNUM(orders[[#This Row],[Order Date]],2)</f>
        <v>1</v>
      </c>
      <c r="O35" t="str" cm="1">
        <f t="array" ref="O3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36" spans="1:15" x14ac:dyDescent="0.3">
      <c r="A36" t="s">
        <v>87</v>
      </c>
      <c r="B36" t="s">
        <v>64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20</v>
      </c>
      <c r="I36" t="s">
        <v>15</v>
      </c>
      <c r="J36">
        <v>5</v>
      </c>
      <c r="K36" t="s">
        <v>16</v>
      </c>
      <c r="L36" t="s">
        <v>30</v>
      </c>
      <c r="M36">
        <f>orders[[#This Row],[Ship Date]]-orders[[#This Row],[Order Date]]</f>
        <v>3</v>
      </c>
      <c r="N36">
        <f>WEEKNUM(orders[[#This Row],[Order Date]],2)</f>
        <v>1</v>
      </c>
      <c r="O36" t="str" cm="1">
        <f t="array" ref="O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7" spans="1:15" x14ac:dyDescent="0.3">
      <c r="A37" t="s">
        <v>88</v>
      </c>
      <c r="B37" t="s">
        <v>41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20</v>
      </c>
      <c r="I37" t="s">
        <v>67</v>
      </c>
      <c r="J37">
        <v>5</v>
      </c>
      <c r="K37" t="s">
        <v>16</v>
      </c>
      <c r="L37" t="s">
        <v>30</v>
      </c>
      <c r="M37">
        <f>orders[[#This Row],[Ship Date]]-orders[[#This Row],[Order Date]]</f>
        <v>1</v>
      </c>
      <c r="N37">
        <f>WEEKNUM(orders[[#This Row],[Order Date]],2)</f>
        <v>1</v>
      </c>
      <c r="O37" t="str" cm="1">
        <f t="array" ref="O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8" spans="1:15" x14ac:dyDescent="0.3">
      <c r="A38" t="s">
        <v>89</v>
      </c>
      <c r="B38" t="s">
        <v>23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20</v>
      </c>
      <c r="I38" t="s">
        <v>48</v>
      </c>
      <c r="J38">
        <v>3</v>
      </c>
      <c r="K38" t="s">
        <v>16</v>
      </c>
      <c r="L38" t="s">
        <v>30</v>
      </c>
      <c r="M38">
        <f>orders[[#This Row],[Ship Date]]-orders[[#This Row],[Order Date]]</f>
        <v>4</v>
      </c>
      <c r="N38">
        <f>WEEKNUM(orders[[#This Row],[Order Date]],2)</f>
        <v>1</v>
      </c>
      <c r="O38" t="str" cm="1">
        <f t="array" ref="O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9" spans="1:15" x14ac:dyDescent="0.3">
      <c r="A39" t="s">
        <v>90</v>
      </c>
      <c r="B39" t="s">
        <v>39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20</v>
      </c>
      <c r="I39" t="s">
        <v>15</v>
      </c>
      <c r="J39">
        <v>5</v>
      </c>
      <c r="K39" t="s">
        <v>16</v>
      </c>
      <c r="L39" t="s">
        <v>30</v>
      </c>
      <c r="M39">
        <f>orders[[#This Row],[Ship Date]]-orders[[#This Row],[Order Date]]</f>
        <v>6</v>
      </c>
      <c r="N39">
        <f>WEEKNUM(orders[[#This Row],[Order Date]],2)</f>
        <v>1</v>
      </c>
      <c r="O39" t="str" cm="1">
        <f t="array" ref="O3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0" spans="1:15" x14ac:dyDescent="0.3">
      <c r="A40" t="s">
        <v>91</v>
      </c>
      <c r="B40" t="s">
        <v>51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20</v>
      </c>
      <c r="I40" t="s">
        <v>37</v>
      </c>
      <c r="J40">
        <v>4</v>
      </c>
      <c r="K40" t="s">
        <v>16</v>
      </c>
      <c r="L40" t="s">
        <v>30</v>
      </c>
      <c r="M40">
        <f>orders[[#This Row],[Ship Date]]-orders[[#This Row],[Order Date]]</f>
        <v>1</v>
      </c>
      <c r="N40">
        <f>WEEKNUM(orders[[#This Row],[Order Date]],2)</f>
        <v>1</v>
      </c>
      <c r="O40" t="str" cm="1">
        <f t="array" ref="O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1" spans="1:15" x14ac:dyDescent="0.3">
      <c r="A41" t="s">
        <v>92</v>
      </c>
      <c r="B41" t="s">
        <v>34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24</v>
      </c>
      <c r="I41" t="s">
        <v>37</v>
      </c>
      <c r="J41">
        <v>3</v>
      </c>
      <c r="K41" t="s">
        <v>16</v>
      </c>
      <c r="L41" t="s">
        <v>30</v>
      </c>
      <c r="M41">
        <f>orders[[#This Row],[Ship Date]]-orders[[#This Row],[Order Date]]</f>
        <v>1</v>
      </c>
      <c r="N41">
        <f>WEEKNUM(orders[[#This Row],[Order Date]],2)</f>
        <v>1</v>
      </c>
      <c r="O41" t="str" cm="1">
        <f t="array" ref="O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2" spans="1:15" x14ac:dyDescent="0.3">
      <c r="A42" t="s">
        <v>93</v>
      </c>
      <c r="B42" t="s">
        <v>19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24</v>
      </c>
      <c r="I42" t="s">
        <v>67</v>
      </c>
      <c r="J42">
        <v>5</v>
      </c>
      <c r="K42" t="s">
        <v>16</v>
      </c>
      <c r="L42" t="s">
        <v>30</v>
      </c>
      <c r="M42">
        <f>orders[[#This Row],[Ship Date]]-orders[[#This Row],[Order Date]]</f>
        <v>1</v>
      </c>
      <c r="N42">
        <f>WEEKNUM(orders[[#This Row],[Order Date]],2)</f>
        <v>1</v>
      </c>
      <c r="O42" t="str" cm="1">
        <f t="array" ref="O4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" spans="1:15" x14ac:dyDescent="0.3">
      <c r="A43" t="s">
        <v>94</v>
      </c>
      <c r="B43" t="s">
        <v>66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20</v>
      </c>
      <c r="I43" t="s">
        <v>15</v>
      </c>
      <c r="J43">
        <v>5</v>
      </c>
      <c r="K43" t="s">
        <v>16</v>
      </c>
      <c r="L43" t="s">
        <v>95</v>
      </c>
      <c r="M43">
        <f>orders[[#This Row],[Ship Date]]-orders[[#This Row],[Order Date]]</f>
        <v>1</v>
      </c>
      <c r="N43">
        <f>WEEKNUM(orders[[#This Row],[Order Date]],2)</f>
        <v>1</v>
      </c>
      <c r="O43" t="str" cm="1">
        <f t="array" ref="O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4" spans="1:15" x14ac:dyDescent="0.3">
      <c r="A44" t="s">
        <v>96</v>
      </c>
      <c r="B44" t="s">
        <v>29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20</v>
      </c>
      <c r="I44" t="s">
        <v>32</v>
      </c>
      <c r="J44">
        <v>3</v>
      </c>
      <c r="K44" t="s">
        <v>16</v>
      </c>
      <c r="L44" t="s">
        <v>52</v>
      </c>
      <c r="M44">
        <f>orders[[#This Row],[Ship Date]]-orders[[#This Row],[Order Date]]</f>
        <v>2</v>
      </c>
      <c r="N44">
        <f>WEEKNUM(orders[[#This Row],[Order Date]],2)</f>
        <v>1</v>
      </c>
      <c r="O44" t="str" cm="1">
        <f t="array" ref="O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5" spans="1:15" x14ac:dyDescent="0.3">
      <c r="A45" t="s">
        <v>97</v>
      </c>
      <c r="B45" t="s">
        <v>36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24</v>
      </c>
      <c r="I45" t="s">
        <v>15</v>
      </c>
      <c r="J45">
        <v>3</v>
      </c>
      <c r="K45" t="s">
        <v>16</v>
      </c>
      <c r="L45" t="s">
        <v>59</v>
      </c>
      <c r="M45">
        <f>orders[[#This Row],[Ship Date]]-orders[[#This Row],[Order Date]]</f>
        <v>0</v>
      </c>
      <c r="N45">
        <f>WEEKNUM(orders[[#This Row],[Order Date]],2)</f>
        <v>1</v>
      </c>
      <c r="O45" t="str" cm="1">
        <f t="array" ref="O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6" spans="1:15" x14ac:dyDescent="0.3">
      <c r="A46" t="s">
        <v>98</v>
      </c>
      <c r="B46" t="s">
        <v>23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24</v>
      </c>
      <c r="I46" t="s">
        <v>37</v>
      </c>
      <c r="J46">
        <v>5</v>
      </c>
      <c r="K46" t="s">
        <v>16</v>
      </c>
      <c r="L46" t="s">
        <v>59</v>
      </c>
      <c r="M46">
        <f>orders[[#This Row],[Ship Date]]-orders[[#This Row],[Order Date]]</f>
        <v>1</v>
      </c>
      <c r="N46">
        <f>WEEKNUM(orders[[#This Row],[Order Date]],2)</f>
        <v>1</v>
      </c>
      <c r="O46" t="str" cm="1">
        <f t="array" ref="O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7" spans="1:15" x14ac:dyDescent="0.3">
      <c r="A47" t="s">
        <v>99</v>
      </c>
      <c r="B47" t="s">
        <v>23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24</v>
      </c>
      <c r="I47" t="s">
        <v>15</v>
      </c>
      <c r="J47">
        <v>4</v>
      </c>
      <c r="K47" t="s">
        <v>16</v>
      </c>
      <c r="L47" t="s">
        <v>100</v>
      </c>
      <c r="M47">
        <f>orders[[#This Row],[Ship Date]]-orders[[#This Row],[Order Date]]</f>
        <v>1</v>
      </c>
      <c r="N47">
        <f>WEEKNUM(orders[[#This Row],[Order Date]],2)</f>
        <v>1</v>
      </c>
      <c r="O47" t="str" cm="1">
        <f t="array" ref="O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8" spans="1:15" x14ac:dyDescent="0.3">
      <c r="A48" t="s">
        <v>101</v>
      </c>
      <c r="B48" t="s">
        <v>19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20</v>
      </c>
      <c r="I48" t="s">
        <v>32</v>
      </c>
      <c r="J48">
        <v>3</v>
      </c>
      <c r="K48" t="s">
        <v>16</v>
      </c>
      <c r="L48" t="s">
        <v>69</v>
      </c>
      <c r="M48">
        <f>orders[[#This Row],[Ship Date]]-orders[[#This Row],[Order Date]]</f>
        <v>1</v>
      </c>
      <c r="N48">
        <f>WEEKNUM(orders[[#This Row],[Order Date]],2)</f>
        <v>1</v>
      </c>
      <c r="O48" t="str" cm="1">
        <f t="array" ref="O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9" spans="1:15" x14ac:dyDescent="0.3">
      <c r="A49" t="s">
        <v>102</v>
      </c>
      <c r="B49" t="s">
        <v>73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24</v>
      </c>
      <c r="I49" t="s">
        <v>32</v>
      </c>
      <c r="J49">
        <v>4</v>
      </c>
      <c r="K49" t="s">
        <v>16</v>
      </c>
      <c r="L49" t="s">
        <v>74</v>
      </c>
      <c r="M49">
        <f>orders[[#This Row],[Ship Date]]-orders[[#This Row],[Order Date]]</f>
        <v>2</v>
      </c>
      <c r="N49">
        <f>WEEKNUM(orders[[#This Row],[Order Date]],2)</f>
        <v>1</v>
      </c>
      <c r="O49" t="str" cm="1">
        <f t="array" ref="O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0" spans="1:15" x14ac:dyDescent="0.3">
      <c r="A50" t="s">
        <v>103</v>
      </c>
      <c r="B50" t="s">
        <v>29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24</v>
      </c>
      <c r="I50" t="s">
        <v>32</v>
      </c>
      <c r="J50">
        <v>5</v>
      </c>
      <c r="K50" t="s">
        <v>16</v>
      </c>
      <c r="L50" t="s">
        <v>74</v>
      </c>
      <c r="M50">
        <f>orders[[#This Row],[Ship Date]]-orders[[#This Row],[Order Date]]</f>
        <v>9</v>
      </c>
      <c r="N50">
        <f>WEEKNUM(orders[[#This Row],[Order Date]],2)</f>
        <v>1</v>
      </c>
      <c r="O50" t="str" cm="1">
        <f t="array" ref="O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1" spans="1:15" x14ac:dyDescent="0.3">
      <c r="A51" t="s">
        <v>104</v>
      </c>
      <c r="B51" t="s">
        <v>78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24</v>
      </c>
      <c r="I51" t="s">
        <v>15</v>
      </c>
      <c r="J51">
        <v>4</v>
      </c>
      <c r="K51" t="s">
        <v>16</v>
      </c>
      <c r="L51" t="s">
        <v>105</v>
      </c>
      <c r="M51">
        <f>orders[[#This Row],[Ship Date]]-orders[[#This Row],[Order Date]]</f>
        <v>2</v>
      </c>
      <c r="N51">
        <f>WEEKNUM(orders[[#This Row],[Order Date]],2)</f>
        <v>1</v>
      </c>
      <c r="O51" t="str" cm="1">
        <f t="array" ref="O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2" spans="1:15" x14ac:dyDescent="0.3">
      <c r="A52" t="s">
        <v>106</v>
      </c>
      <c r="B52" t="s">
        <v>41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20</v>
      </c>
      <c r="I52" t="s">
        <v>32</v>
      </c>
      <c r="J52">
        <v>5</v>
      </c>
      <c r="K52" t="s">
        <v>16</v>
      </c>
      <c r="L52" t="s">
        <v>107</v>
      </c>
      <c r="M52">
        <f>orders[[#This Row],[Ship Date]]-orders[[#This Row],[Order Date]]</f>
        <v>1</v>
      </c>
      <c r="N52">
        <f>WEEKNUM(orders[[#This Row],[Order Date]],2)</f>
        <v>1</v>
      </c>
      <c r="O52" t="str" cm="1">
        <f t="array" ref="O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3" spans="1:15" x14ac:dyDescent="0.3">
      <c r="A53" t="s">
        <v>108</v>
      </c>
      <c r="B53" t="s">
        <v>41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24</v>
      </c>
      <c r="I53" t="s">
        <v>32</v>
      </c>
      <c r="J53">
        <v>4</v>
      </c>
      <c r="K53" t="s">
        <v>16</v>
      </c>
      <c r="L53" t="s">
        <v>107</v>
      </c>
      <c r="M53">
        <f>orders[[#This Row],[Ship Date]]-orders[[#This Row],[Order Date]]</f>
        <v>3</v>
      </c>
      <c r="N53">
        <f>WEEKNUM(orders[[#This Row],[Order Date]],2)</f>
        <v>1</v>
      </c>
      <c r="O53" t="str" cm="1">
        <f t="array" ref="O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4" spans="1:15" x14ac:dyDescent="0.3">
      <c r="A54" t="s">
        <v>109</v>
      </c>
      <c r="B54" t="s">
        <v>41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20</v>
      </c>
      <c r="I54" t="s">
        <v>15</v>
      </c>
      <c r="J54">
        <v>5</v>
      </c>
      <c r="K54" t="s">
        <v>16</v>
      </c>
      <c r="L54" t="s">
        <v>110</v>
      </c>
      <c r="M54">
        <f>orders[[#This Row],[Ship Date]]-orders[[#This Row],[Order Date]]</f>
        <v>2</v>
      </c>
      <c r="N54">
        <f>WEEKNUM(orders[[#This Row],[Order Date]],2)</f>
        <v>1</v>
      </c>
      <c r="O54" t="str" cm="1">
        <f t="array" ref="O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5" spans="1:15" x14ac:dyDescent="0.3">
      <c r="A55" t="s">
        <v>111</v>
      </c>
      <c r="B55" t="s">
        <v>13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24</v>
      </c>
      <c r="I55" t="s">
        <v>15</v>
      </c>
      <c r="J55">
        <v>5</v>
      </c>
      <c r="K55" t="s">
        <v>16</v>
      </c>
      <c r="L55" t="s">
        <v>112</v>
      </c>
      <c r="M55">
        <f>orders[[#This Row],[Ship Date]]-orders[[#This Row],[Order Date]]</f>
        <v>1</v>
      </c>
      <c r="N55">
        <f>WEEKNUM(orders[[#This Row],[Order Date]],2)</f>
        <v>1</v>
      </c>
      <c r="O55" t="str" cm="1">
        <f t="array" ref="O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6" spans="1:15" x14ac:dyDescent="0.3">
      <c r="A56" t="s">
        <v>113</v>
      </c>
      <c r="B56" t="s">
        <v>39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20</v>
      </c>
      <c r="I56" t="s">
        <v>37</v>
      </c>
      <c r="J56">
        <v>5</v>
      </c>
      <c r="K56" t="s">
        <v>16</v>
      </c>
      <c r="L56" t="s">
        <v>30</v>
      </c>
      <c r="M56">
        <f>orders[[#This Row],[Ship Date]]-orders[[#This Row],[Order Date]]</f>
        <v>3</v>
      </c>
      <c r="N56">
        <f>WEEKNUM(orders[[#This Row],[Order Date]],2)</f>
        <v>1</v>
      </c>
      <c r="O56" t="str" cm="1">
        <f t="array" ref="O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7" spans="1:15" x14ac:dyDescent="0.3">
      <c r="A57" t="s">
        <v>114</v>
      </c>
      <c r="B57" t="s">
        <v>41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20</v>
      </c>
      <c r="I57" t="s">
        <v>15</v>
      </c>
      <c r="J57">
        <v>4</v>
      </c>
      <c r="K57" t="s">
        <v>16</v>
      </c>
      <c r="L57" t="s">
        <v>30</v>
      </c>
      <c r="M57">
        <f>orders[[#This Row],[Ship Date]]-orders[[#This Row],[Order Date]]</f>
        <v>1</v>
      </c>
      <c r="N57">
        <f>WEEKNUM(orders[[#This Row],[Order Date]],2)</f>
        <v>1</v>
      </c>
      <c r="O57" t="str" cm="1">
        <f t="array" ref="O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8" spans="1:15" x14ac:dyDescent="0.3">
      <c r="A58" t="s">
        <v>115</v>
      </c>
      <c r="B58" t="s">
        <v>66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24</v>
      </c>
      <c r="I58" t="s">
        <v>15</v>
      </c>
      <c r="J58">
        <v>4</v>
      </c>
      <c r="K58" t="s">
        <v>16</v>
      </c>
      <c r="L58" t="s">
        <v>30</v>
      </c>
      <c r="M58">
        <f>orders[[#This Row],[Ship Date]]-orders[[#This Row],[Order Date]]</f>
        <v>1</v>
      </c>
      <c r="N58">
        <f>WEEKNUM(orders[[#This Row],[Order Date]],2)</f>
        <v>1</v>
      </c>
      <c r="O58" t="str" cm="1">
        <f t="array" ref="O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9" spans="1:15" x14ac:dyDescent="0.3">
      <c r="A59" t="s">
        <v>116</v>
      </c>
      <c r="B59" t="s">
        <v>51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24</v>
      </c>
      <c r="I59" t="s">
        <v>15</v>
      </c>
      <c r="J59">
        <v>5</v>
      </c>
      <c r="K59" t="s">
        <v>16</v>
      </c>
      <c r="L59" t="s">
        <v>30</v>
      </c>
      <c r="M59">
        <f>orders[[#This Row],[Ship Date]]-orders[[#This Row],[Order Date]]</f>
        <v>8</v>
      </c>
      <c r="N59">
        <f>WEEKNUM(orders[[#This Row],[Order Date]],2)</f>
        <v>1</v>
      </c>
      <c r="O59" t="str" cm="1">
        <f t="array" ref="O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0" spans="1:15" x14ac:dyDescent="0.3">
      <c r="A60" t="s">
        <v>117</v>
      </c>
      <c r="B60" t="s">
        <v>39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20</v>
      </c>
      <c r="I60" t="s">
        <v>15</v>
      </c>
      <c r="J60">
        <v>5</v>
      </c>
      <c r="K60" t="s">
        <v>16</v>
      </c>
      <c r="L60" t="s">
        <v>30</v>
      </c>
      <c r="M60">
        <f>orders[[#This Row],[Ship Date]]-orders[[#This Row],[Order Date]]</f>
        <v>1</v>
      </c>
      <c r="N60">
        <f>WEEKNUM(orders[[#This Row],[Order Date]],2)</f>
        <v>1</v>
      </c>
      <c r="O60" t="str" cm="1">
        <f t="array" ref="O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1" spans="1:15" x14ac:dyDescent="0.3">
      <c r="A61" t="s">
        <v>118</v>
      </c>
      <c r="B61" t="s">
        <v>43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24</v>
      </c>
      <c r="I61" t="s">
        <v>32</v>
      </c>
      <c r="J61">
        <v>5</v>
      </c>
      <c r="K61" t="s">
        <v>16</v>
      </c>
      <c r="L61" t="s">
        <v>30</v>
      </c>
      <c r="M61">
        <f>orders[[#This Row],[Ship Date]]-orders[[#This Row],[Order Date]]</f>
        <v>3</v>
      </c>
      <c r="N61">
        <f>WEEKNUM(orders[[#This Row],[Order Date]],2)</f>
        <v>1</v>
      </c>
      <c r="O61" t="str" cm="1">
        <f t="array" ref="O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2" spans="1:15" x14ac:dyDescent="0.3">
      <c r="A62" t="s">
        <v>119</v>
      </c>
      <c r="B62" t="s">
        <v>120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24</v>
      </c>
      <c r="I62" t="s">
        <v>48</v>
      </c>
      <c r="J62">
        <v>3</v>
      </c>
      <c r="K62" t="s">
        <v>16</v>
      </c>
      <c r="L62" t="s">
        <v>30</v>
      </c>
      <c r="M62">
        <f>orders[[#This Row],[Ship Date]]-orders[[#This Row],[Order Date]]</f>
        <v>2</v>
      </c>
      <c r="N62">
        <f>WEEKNUM(orders[[#This Row],[Order Date]],2)</f>
        <v>1</v>
      </c>
      <c r="O62" t="str" cm="1">
        <f t="array" ref="O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3" spans="1:15" x14ac:dyDescent="0.3">
      <c r="A63" t="s">
        <v>121</v>
      </c>
      <c r="B63" t="s">
        <v>13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24</v>
      </c>
      <c r="I63" t="s">
        <v>15</v>
      </c>
      <c r="J63">
        <v>4</v>
      </c>
      <c r="K63" t="s">
        <v>16</v>
      </c>
      <c r="L63" t="s">
        <v>30</v>
      </c>
      <c r="M63">
        <f>orders[[#This Row],[Ship Date]]-orders[[#This Row],[Order Date]]</f>
        <v>1</v>
      </c>
      <c r="N63">
        <f>WEEKNUM(orders[[#This Row],[Order Date]],2)</f>
        <v>1</v>
      </c>
      <c r="O63" t="str" cm="1">
        <f t="array" ref="O6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" spans="1:15" x14ac:dyDescent="0.3">
      <c r="A64" t="s">
        <v>122</v>
      </c>
      <c r="B64" t="s">
        <v>120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24</v>
      </c>
      <c r="I64" t="s">
        <v>15</v>
      </c>
      <c r="J64">
        <v>4</v>
      </c>
      <c r="K64" t="s">
        <v>16</v>
      </c>
      <c r="L64" t="s">
        <v>30</v>
      </c>
      <c r="M64">
        <f>orders[[#This Row],[Ship Date]]-orders[[#This Row],[Order Date]]</f>
        <v>5</v>
      </c>
      <c r="N64">
        <f>WEEKNUM(orders[[#This Row],[Order Date]],2)</f>
        <v>1</v>
      </c>
      <c r="O64" t="str" cm="1">
        <f t="array" ref="O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5" spans="1:15" x14ac:dyDescent="0.3">
      <c r="A65" t="s">
        <v>123</v>
      </c>
      <c r="B65" t="s">
        <v>13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20</v>
      </c>
      <c r="I65" t="s">
        <v>37</v>
      </c>
      <c r="J65">
        <v>2</v>
      </c>
      <c r="K65" t="s">
        <v>16</v>
      </c>
      <c r="L65" t="s">
        <v>30</v>
      </c>
      <c r="M65">
        <f>orders[[#This Row],[Ship Date]]-orders[[#This Row],[Order Date]]</f>
        <v>1</v>
      </c>
      <c r="N65">
        <f>WEEKNUM(orders[[#This Row],[Order Date]],2)</f>
        <v>1</v>
      </c>
      <c r="O65" t="str" cm="1">
        <f t="array" ref="O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6" spans="1:15" x14ac:dyDescent="0.3">
      <c r="A66" t="s">
        <v>124</v>
      </c>
      <c r="B66" t="s">
        <v>125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24</v>
      </c>
      <c r="I66" t="s">
        <v>15</v>
      </c>
      <c r="J66">
        <v>4</v>
      </c>
      <c r="K66" t="s">
        <v>16</v>
      </c>
      <c r="L66" t="s">
        <v>30</v>
      </c>
      <c r="M66">
        <f>orders[[#This Row],[Ship Date]]-orders[[#This Row],[Order Date]]</f>
        <v>3</v>
      </c>
      <c r="N66">
        <f>WEEKNUM(orders[[#This Row],[Order Date]],2)</f>
        <v>1</v>
      </c>
      <c r="O66" t="str" cm="1">
        <f t="array" ref="O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" spans="1:15" x14ac:dyDescent="0.3">
      <c r="A67" t="s">
        <v>126</v>
      </c>
      <c r="B67" t="s">
        <v>66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24</v>
      </c>
      <c r="I67" t="s">
        <v>67</v>
      </c>
      <c r="J67">
        <v>4</v>
      </c>
      <c r="K67" t="s">
        <v>16</v>
      </c>
      <c r="L67" t="s">
        <v>30</v>
      </c>
      <c r="M67">
        <f>orders[[#This Row],[Ship Date]]-orders[[#This Row],[Order Date]]</f>
        <v>1</v>
      </c>
      <c r="N67">
        <f>WEEKNUM(orders[[#This Row],[Order Date]],2)</f>
        <v>1</v>
      </c>
      <c r="O67" t="str" cm="1">
        <f t="array" ref="O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" spans="1:15" x14ac:dyDescent="0.3">
      <c r="A68" t="s">
        <v>127</v>
      </c>
      <c r="B68" t="s">
        <v>51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20</v>
      </c>
      <c r="I68" t="s">
        <v>15</v>
      </c>
      <c r="J68">
        <v>4</v>
      </c>
      <c r="K68" t="s">
        <v>16</v>
      </c>
      <c r="L68" t="s">
        <v>52</v>
      </c>
      <c r="M68">
        <f>orders[[#This Row],[Ship Date]]-orders[[#This Row],[Order Date]]</f>
        <v>1</v>
      </c>
      <c r="N68">
        <f>WEEKNUM(orders[[#This Row],[Order Date]],2)</f>
        <v>1</v>
      </c>
      <c r="O68" t="str" cm="1">
        <f t="array" ref="O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9" spans="1:15" x14ac:dyDescent="0.3">
      <c r="A69" t="s">
        <v>128</v>
      </c>
      <c r="B69" t="s">
        <v>19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24</v>
      </c>
      <c r="I69" t="s">
        <v>37</v>
      </c>
      <c r="J69">
        <v>5</v>
      </c>
      <c r="K69" t="s">
        <v>16</v>
      </c>
      <c r="L69" t="s">
        <v>52</v>
      </c>
      <c r="M69">
        <f>orders[[#This Row],[Ship Date]]-orders[[#This Row],[Order Date]]</f>
        <v>1</v>
      </c>
      <c r="N69">
        <f>WEEKNUM(orders[[#This Row],[Order Date]],2)</f>
        <v>1</v>
      </c>
      <c r="O69" t="str" cm="1">
        <f t="array" ref="O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0" spans="1:15" x14ac:dyDescent="0.3">
      <c r="A70" t="s">
        <v>129</v>
      </c>
      <c r="B70" t="s">
        <v>19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24</v>
      </c>
      <c r="I70" t="s">
        <v>15</v>
      </c>
      <c r="J70">
        <v>3</v>
      </c>
      <c r="K70" t="s">
        <v>16</v>
      </c>
      <c r="L70" t="s">
        <v>52</v>
      </c>
      <c r="M70">
        <f>orders[[#This Row],[Ship Date]]-orders[[#This Row],[Order Date]]</f>
        <v>2</v>
      </c>
      <c r="N70">
        <f>WEEKNUM(orders[[#This Row],[Order Date]],2)</f>
        <v>1</v>
      </c>
      <c r="O70" t="str" cm="1">
        <f t="array" ref="O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1" spans="1:15" x14ac:dyDescent="0.3">
      <c r="A71" t="s">
        <v>130</v>
      </c>
      <c r="B71" t="s">
        <v>120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20</v>
      </c>
      <c r="I71" t="s">
        <v>48</v>
      </c>
      <c r="J71">
        <v>4</v>
      </c>
      <c r="K71" t="s">
        <v>16</v>
      </c>
      <c r="L71" t="s">
        <v>52</v>
      </c>
      <c r="M71">
        <f>orders[[#This Row],[Ship Date]]-orders[[#This Row],[Order Date]]</f>
        <v>2</v>
      </c>
      <c r="N71">
        <f>WEEKNUM(orders[[#This Row],[Order Date]],2)</f>
        <v>1</v>
      </c>
      <c r="O71" t="str" cm="1">
        <f t="array" ref="O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2" spans="1:15" x14ac:dyDescent="0.3">
      <c r="A72" t="s">
        <v>131</v>
      </c>
      <c r="B72" t="s">
        <v>132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20</v>
      </c>
      <c r="I72" t="s">
        <v>48</v>
      </c>
      <c r="J72">
        <v>5</v>
      </c>
      <c r="K72" t="s">
        <v>16</v>
      </c>
      <c r="L72" t="s">
        <v>59</v>
      </c>
      <c r="M72">
        <f>orders[[#This Row],[Ship Date]]-orders[[#This Row],[Order Date]]</f>
        <v>3</v>
      </c>
      <c r="N72">
        <f>WEEKNUM(orders[[#This Row],[Order Date]],2)</f>
        <v>1</v>
      </c>
      <c r="O72" t="str" cm="1">
        <f t="array" ref="O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3" spans="1:15" x14ac:dyDescent="0.3">
      <c r="A73" t="s">
        <v>133</v>
      </c>
      <c r="B73" t="s">
        <v>39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24</v>
      </c>
      <c r="I73" t="s">
        <v>15</v>
      </c>
      <c r="J73">
        <v>5</v>
      </c>
      <c r="K73" t="s">
        <v>16</v>
      </c>
      <c r="L73" t="s">
        <v>59</v>
      </c>
      <c r="M73">
        <f>orders[[#This Row],[Ship Date]]-orders[[#This Row],[Order Date]]</f>
        <v>3</v>
      </c>
      <c r="N73">
        <f>WEEKNUM(orders[[#This Row],[Order Date]],2)</f>
        <v>1</v>
      </c>
      <c r="O73" t="str" cm="1">
        <f t="array" ref="O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4" spans="1:15" x14ac:dyDescent="0.3">
      <c r="A74" t="s">
        <v>134</v>
      </c>
      <c r="B74" t="s">
        <v>51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24</v>
      </c>
      <c r="I74" t="s">
        <v>48</v>
      </c>
      <c r="J74">
        <v>5</v>
      </c>
      <c r="K74" t="s">
        <v>16</v>
      </c>
      <c r="L74" t="s">
        <v>100</v>
      </c>
      <c r="M74">
        <f>orders[[#This Row],[Ship Date]]-orders[[#This Row],[Order Date]]</f>
        <v>3</v>
      </c>
      <c r="N74">
        <f>WEEKNUM(orders[[#This Row],[Order Date]],2)</f>
        <v>1</v>
      </c>
      <c r="O74" t="str" cm="1">
        <f t="array" ref="O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5" spans="1:15" x14ac:dyDescent="0.3">
      <c r="A75" t="s">
        <v>135</v>
      </c>
      <c r="B75" t="s">
        <v>13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24</v>
      </c>
      <c r="I75" t="s">
        <v>15</v>
      </c>
      <c r="J75">
        <v>5</v>
      </c>
      <c r="K75" t="s">
        <v>16</v>
      </c>
      <c r="L75" t="s">
        <v>69</v>
      </c>
      <c r="M75">
        <f>orders[[#This Row],[Ship Date]]-orders[[#This Row],[Order Date]]</f>
        <v>1</v>
      </c>
      <c r="N75">
        <f>WEEKNUM(orders[[#This Row],[Order Date]],2)</f>
        <v>1</v>
      </c>
      <c r="O75" t="str" cm="1">
        <f t="array" ref="O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6" spans="1:15" x14ac:dyDescent="0.3">
      <c r="A76" t="s">
        <v>136</v>
      </c>
      <c r="B76" t="s">
        <v>43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20</v>
      </c>
      <c r="I76" t="s">
        <v>32</v>
      </c>
      <c r="J76">
        <v>4</v>
      </c>
      <c r="K76" t="s">
        <v>16</v>
      </c>
      <c r="L76" t="s">
        <v>69</v>
      </c>
      <c r="M76">
        <f>orders[[#This Row],[Ship Date]]-orders[[#This Row],[Order Date]]</f>
        <v>3</v>
      </c>
      <c r="N76">
        <f>WEEKNUM(orders[[#This Row],[Order Date]],2)</f>
        <v>1</v>
      </c>
      <c r="O76" t="str" cm="1">
        <f t="array" ref="O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7" spans="1:15" x14ac:dyDescent="0.3">
      <c r="A77" t="s">
        <v>137</v>
      </c>
      <c r="B77" t="s">
        <v>66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86</v>
      </c>
      <c r="I77" t="s">
        <v>32</v>
      </c>
      <c r="J77">
        <v>3</v>
      </c>
      <c r="K77" t="s">
        <v>16</v>
      </c>
      <c r="L77" t="s">
        <v>74</v>
      </c>
      <c r="M77">
        <f>orders[[#This Row],[Ship Date]]-orders[[#This Row],[Order Date]]</f>
        <v>1</v>
      </c>
      <c r="N77">
        <f>WEEKNUM(orders[[#This Row],[Order Date]],2)</f>
        <v>1</v>
      </c>
      <c r="O77" t="str" cm="1">
        <f t="array" ref="O7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78" spans="1:15" x14ac:dyDescent="0.3">
      <c r="A78" t="s">
        <v>138</v>
      </c>
      <c r="B78" t="s">
        <v>23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24</v>
      </c>
      <c r="I78" t="s">
        <v>15</v>
      </c>
      <c r="J78">
        <v>3</v>
      </c>
      <c r="K78" t="s">
        <v>16</v>
      </c>
      <c r="L78" t="s">
        <v>107</v>
      </c>
      <c r="M78">
        <f>orders[[#This Row],[Ship Date]]-orders[[#This Row],[Order Date]]</f>
        <v>1</v>
      </c>
      <c r="N78">
        <f>WEEKNUM(orders[[#This Row],[Order Date]],2)</f>
        <v>1</v>
      </c>
      <c r="O78" t="str" cm="1">
        <f t="array" ref="O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9" spans="1:15" x14ac:dyDescent="0.3">
      <c r="A79" t="s">
        <v>139</v>
      </c>
      <c r="B79" t="s">
        <v>34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20</v>
      </c>
      <c r="I79" t="s">
        <v>48</v>
      </c>
      <c r="J79">
        <v>4</v>
      </c>
      <c r="K79" t="s">
        <v>16</v>
      </c>
      <c r="L79" t="s">
        <v>107</v>
      </c>
      <c r="M79">
        <f>orders[[#This Row],[Ship Date]]-orders[[#This Row],[Order Date]]</f>
        <v>2</v>
      </c>
      <c r="N79">
        <f>WEEKNUM(orders[[#This Row],[Order Date]],2)</f>
        <v>1</v>
      </c>
      <c r="O79" t="str" cm="1">
        <f t="array" ref="O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0" spans="1:15" x14ac:dyDescent="0.3">
      <c r="A80" t="s">
        <v>140</v>
      </c>
      <c r="B80" t="s">
        <v>43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24</v>
      </c>
      <c r="I80" t="s">
        <v>37</v>
      </c>
      <c r="J80">
        <v>3</v>
      </c>
      <c r="K80" t="s">
        <v>16</v>
      </c>
      <c r="L80" t="s">
        <v>79</v>
      </c>
      <c r="M80">
        <f>orders[[#This Row],[Ship Date]]-orders[[#This Row],[Order Date]]</f>
        <v>4</v>
      </c>
      <c r="N80">
        <f>WEEKNUM(orders[[#This Row],[Order Date]],2)</f>
        <v>1</v>
      </c>
      <c r="O80" t="str" cm="1">
        <f t="array" ref="O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" spans="1:15" x14ac:dyDescent="0.3">
      <c r="A81" t="s">
        <v>141</v>
      </c>
      <c r="B81" t="s">
        <v>66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24</v>
      </c>
      <c r="I81" t="s">
        <v>67</v>
      </c>
      <c r="J81">
        <v>3</v>
      </c>
      <c r="K81" t="s">
        <v>16</v>
      </c>
      <c r="L81" t="s">
        <v>112</v>
      </c>
      <c r="M81">
        <f>orders[[#This Row],[Ship Date]]-orders[[#This Row],[Order Date]]</f>
        <v>6</v>
      </c>
      <c r="N81">
        <f>WEEKNUM(orders[[#This Row],[Order Date]],2)</f>
        <v>1</v>
      </c>
      <c r="O81" t="str" cm="1">
        <f t="array" ref="O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2" spans="1:15" x14ac:dyDescent="0.3">
      <c r="A82" t="s">
        <v>142</v>
      </c>
      <c r="B82" t="s">
        <v>143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20</v>
      </c>
      <c r="I82" t="s">
        <v>67</v>
      </c>
      <c r="J82">
        <v>3</v>
      </c>
      <c r="K82" t="s">
        <v>16</v>
      </c>
      <c r="L82" t="s">
        <v>144</v>
      </c>
      <c r="M82">
        <f>orders[[#This Row],[Ship Date]]-orders[[#This Row],[Order Date]]</f>
        <v>3</v>
      </c>
      <c r="N82">
        <f>WEEKNUM(orders[[#This Row],[Order Date]],2)</f>
        <v>1</v>
      </c>
      <c r="O82" t="str" cm="1">
        <f t="array" ref="O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3" spans="1:15" x14ac:dyDescent="0.3">
      <c r="A83" t="s">
        <v>145</v>
      </c>
      <c r="B83" t="s">
        <v>36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24</v>
      </c>
      <c r="I83" t="s">
        <v>48</v>
      </c>
      <c r="J83">
        <v>4</v>
      </c>
      <c r="K83" t="s">
        <v>16</v>
      </c>
      <c r="L83" t="s">
        <v>30</v>
      </c>
      <c r="M83">
        <f>orders[[#This Row],[Ship Date]]-orders[[#This Row],[Order Date]]</f>
        <v>2</v>
      </c>
      <c r="N83">
        <f>WEEKNUM(orders[[#This Row],[Order Date]],2)</f>
        <v>1</v>
      </c>
      <c r="O83" t="str" cm="1">
        <f t="array" ref="O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" spans="1:15" x14ac:dyDescent="0.3">
      <c r="A84" t="s">
        <v>146</v>
      </c>
      <c r="B84" t="s">
        <v>120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20</v>
      </c>
      <c r="I84" t="s">
        <v>37</v>
      </c>
      <c r="J84">
        <v>3</v>
      </c>
      <c r="K84" t="s">
        <v>16</v>
      </c>
      <c r="L84" t="s">
        <v>30</v>
      </c>
      <c r="M84">
        <f>orders[[#This Row],[Ship Date]]-orders[[#This Row],[Order Date]]</f>
        <v>0</v>
      </c>
      <c r="N84">
        <f>WEEKNUM(orders[[#This Row],[Order Date]],2)</f>
        <v>1</v>
      </c>
      <c r="O84" t="str" cm="1">
        <f t="array" ref="O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5" spans="1:15" x14ac:dyDescent="0.3">
      <c r="A85" t="s">
        <v>147</v>
      </c>
      <c r="B85" t="s">
        <v>41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24</v>
      </c>
      <c r="I85" t="s">
        <v>48</v>
      </c>
      <c r="J85">
        <v>4</v>
      </c>
      <c r="K85" t="s">
        <v>16</v>
      </c>
      <c r="L85" t="s">
        <v>30</v>
      </c>
      <c r="M85">
        <f>orders[[#This Row],[Ship Date]]-orders[[#This Row],[Order Date]]</f>
        <v>6</v>
      </c>
      <c r="N85">
        <f>WEEKNUM(orders[[#This Row],[Order Date]],2)</f>
        <v>1</v>
      </c>
      <c r="O85" t="str" cm="1">
        <f t="array" ref="O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6" spans="1:15" x14ac:dyDescent="0.3">
      <c r="A86" t="s">
        <v>148</v>
      </c>
      <c r="B86" t="s">
        <v>143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20</v>
      </c>
      <c r="I86" t="s">
        <v>67</v>
      </c>
      <c r="J86">
        <v>2</v>
      </c>
      <c r="K86" t="s">
        <v>16</v>
      </c>
      <c r="L86" t="s">
        <v>30</v>
      </c>
      <c r="M86">
        <f>orders[[#This Row],[Ship Date]]-orders[[#This Row],[Order Date]]</f>
        <v>1</v>
      </c>
      <c r="N86">
        <f>WEEKNUM(orders[[#This Row],[Order Date]],2)</f>
        <v>1</v>
      </c>
      <c r="O86" t="str" cm="1">
        <f t="array" ref="O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7" spans="1:15" x14ac:dyDescent="0.3">
      <c r="A87" t="s">
        <v>149</v>
      </c>
      <c r="B87" t="s">
        <v>41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20</v>
      </c>
      <c r="I87" t="s">
        <v>32</v>
      </c>
      <c r="J87">
        <v>5</v>
      </c>
      <c r="K87" t="s">
        <v>16</v>
      </c>
      <c r="L87" t="s">
        <v>30</v>
      </c>
      <c r="M87">
        <f>orders[[#This Row],[Ship Date]]-orders[[#This Row],[Order Date]]</f>
        <v>6</v>
      </c>
      <c r="N87">
        <f>WEEKNUM(orders[[#This Row],[Order Date]],2)</f>
        <v>1</v>
      </c>
      <c r="O87" t="str" cm="1">
        <f t="array" ref="O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8" spans="1:15" x14ac:dyDescent="0.3">
      <c r="A88" t="s">
        <v>150</v>
      </c>
      <c r="B88" t="s">
        <v>73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24</v>
      </c>
      <c r="I88" t="s">
        <v>32</v>
      </c>
      <c r="J88">
        <v>5</v>
      </c>
      <c r="K88" t="s">
        <v>16</v>
      </c>
      <c r="L88" t="s">
        <v>30</v>
      </c>
      <c r="M88">
        <f>orders[[#This Row],[Ship Date]]-orders[[#This Row],[Order Date]]</f>
        <v>1</v>
      </c>
      <c r="N88">
        <f>WEEKNUM(orders[[#This Row],[Order Date]],2)</f>
        <v>1</v>
      </c>
      <c r="O88" t="str" cm="1">
        <f t="array" ref="O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" spans="1:15" x14ac:dyDescent="0.3">
      <c r="A89" t="s">
        <v>151</v>
      </c>
      <c r="B89" t="s">
        <v>66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20</v>
      </c>
      <c r="I89" t="s">
        <v>15</v>
      </c>
      <c r="J89">
        <v>5</v>
      </c>
      <c r="K89" t="s">
        <v>16</v>
      </c>
      <c r="L89" t="s">
        <v>30</v>
      </c>
      <c r="M89">
        <f>orders[[#This Row],[Ship Date]]-orders[[#This Row],[Order Date]]</f>
        <v>4</v>
      </c>
      <c r="N89">
        <f>WEEKNUM(orders[[#This Row],[Order Date]],2)</f>
        <v>1</v>
      </c>
      <c r="O89" t="str" cm="1">
        <f t="array" ref="O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0" spans="1:15" x14ac:dyDescent="0.3">
      <c r="A90" t="s">
        <v>152</v>
      </c>
      <c r="B90" t="s">
        <v>43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20</v>
      </c>
      <c r="I90" t="s">
        <v>15</v>
      </c>
      <c r="J90">
        <v>5</v>
      </c>
      <c r="K90" t="s">
        <v>16</v>
      </c>
      <c r="L90" t="s">
        <v>30</v>
      </c>
      <c r="M90">
        <f>orders[[#This Row],[Ship Date]]-orders[[#This Row],[Order Date]]</f>
        <v>4</v>
      </c>
      <c r="N90">
        <f>WEEKNUM(orders[[#This Row],[Order Date]],2)</f>
        <v>1</v>
      </c>
      <c r="O90" t="str" cm="1">
        <f t="array" ref="O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1" spans="1:15" x14ac:dyDescent="0.3">
      <c r="A91" t="s">
        <v>153</v>
      </c>
      <c r="B91" t="s">
        <v>23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24</v>
      </c>
      <c r="I91" t="s">
        <v>32</v>
      </c>
      <c r="J91">
        <v>4</v>
      </c>
      <c r="K91" t="s">
        <v>16</v>
      </c>
      <c r="L91" t="s">
        <v>30</v>
      </c>
      <c r="M91">
        <f>orders[[#This Row],[Ship Date]]-orders[[#This Row],[Order Date]]</f>
        <v>3</v>
      </c>
      <c r="N91">
        <f>WEEKNUM(orders[[#This Row],[Order Date]],2)</f>
        <v>1</v>
      </c>
      <c r="O91" t="str" cm="1">
        <f t="array" ref="O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2" spans="1:15" x14ac:dyDescent="0.3">
      <c r="A92" t="s">
        <v>154</v>
      </c>
      <c r="B92" t="s">
        <v>43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14</v>
      </c>
      <c r="I92" t="s">
        <v>15</v>
      </c>
      <c r="J92">
        <v>5</v>
      </c>
      <c r="K92" t="s">
        <v>16</v>
      </c>
      <c r="L92" t="s">
        <v>155</v>
      </c>
      <c r="M92">
        <f>orders[[#This Row],[Ship Date]]-orders[[#This Row],[Order Date]]</f>
        <v>3</v>
      </c>
      <c r="N92">
        <f>WEEKNUM(orders[[#This Row],[Order Date]],2)</f>
        <v>1</v>
      </c>
      <c r="O92" t="str" cm="1">
        <f t="array" ref="O9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3" spans="1:15" x14ac:dyDescent="0.3">
      <c r="A93" t="s">
        <v>156</v>
      </c>
      <c r="B93" t="s">
        <v>23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24</v>
      </c>
      <c r="I93" t="s">
        <v>15</v>
      </c>
      <c r="J93">
        <v>3</v>
      </c>
      <c r="K93" t="s">
        <v>16</v>
      </c>
      <c r="L93" t="s">
        <v>155</v>
      </c>
      <c r="M93">
        <f>orders[[#This Row],[Ship Date]]-orders[[#This Row],[Order Date]]</f>
        <v>2</v>
      </c>
      <c r="N93">
        <f>WEEKNUM(orders[[#This Row],[Order Date]],2)</f>
        <v>1</v>
      </c>
      <c r="O93" t="str" cm="1">
        <f t="array" ref="O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4" spans="1:15" x14ac:dyDescent="0.3">
      <c r="A94" t="s">
        <v>157</v>
      </c>
      <c r="B94" t="s">
        <v>64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20</v>
      </c>
      <c r="I94" t="s">
        <v>37</v>
      </c>
      <c r="J94">
        <v>5</v>
      </c>
      <c r="K94" t="s">
        <v>16</v>
      </c>
      <c r="L94" t="s">
        <v>52</v>
      </c>
      <c r="M94">
        <f>orders[[#This Row],[Ship Date]]-orders[[#This Row],[Order Date]]</f>
        <v>2</v>
      </c>
      <c r="N94">
        <f>WEEKNUM(orders[[#This Row],[Order Date]],2)</f>
        <v>1</v>
      </c>
      <c r="O94" t="str" cm="1">
        <f t="array" ref="O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5" spans="1:15" x14ac:dyDescent="0.3">
      <c r="A95" t="s">
        <v>158</v>
      </c>
      <c r="B95" t="s">
        <v>36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14</v>
      </c>
      <c r="I95" t="s">
        <v>48</v>
      </c>
      <c r="J95">
        <v>3</v>
      </c>
      <c r="K95" t="s">
        <v>16</v>
      </c>
      <c r="L95" t="s">
        <v>74</v>
      </c>
      <c r="M95">
        <f>orders[[#This Row],[Ship Date]]-orders[[#This Row],[Order Date]]</f>
        <v>1</v>
      </c>
      <c r="N95">
        <f>WEEKNUM(orders[[#This Row],[Order Date]],2)</f>
        <v>1</v>
      </c>
      <c r="O95" t="str" cm="1">
        <f t="array" ref="O9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6" spans="1:15" x14ac:dyDescent="0.3">
      <c r="A96" t="s">
        <v>159</v>
      </c>
      <c r="B96" t="s">
        <v>43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24</v>
      </c>
      <c r="I96" t="s">
        <v>15</v>
      </c>
      <c r="J96">
        <v>5</v>
      </c>
      <c r="K96" t="s">
        <v>16</v>
      </c>
      <c r="L96" t="s">
        <v>112</v>
      </c>
      <c r="M96">
        <f>orders[[#This Row],[Ship Date]]-orders[[#This Row],[Order Date]]</f>
        <v>1</v>
      </c>
      <c r="N96">
        <f>WEEKNUM(orders[[#This Row],[Order Date]],2)</f>
        <v>1</v>
      </c>
      <c r="O96" t="str" cm="1">
        <f t="array" ref="O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" spans="1:15" x14ac:dyDescent="0.3">
      <c r="A97" t="s">
        <v>160</v>
      </c>
      <c r="B97" t="s">
        <v>23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24</v>
      </c>
      <c r="I97" t="s">
        <v>32</v>
      </c>
      <c r="J97">
        <v>4</v>
      </c>
      <c r="K97" t="s">
        <v>16</v>
      </c>
      <c r="L97" t="s">
        <v>21</v>
      </c>
      <c r="M97">
        <f>orders[[#This Row],[Ship Date]]-orders[[#This Row],[Order Date]]</f>
        <v>1</v>
      </c>
      <c r="N97">
        <f>WEEKNUM(orders[[#This Row],[Order Date]],2)</f>
        <v>1</v>
      </c>
      <c r="O97" t="str" cm="1">
        <f t="array" ref="O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8" spans="1:15" x14ac:dyDescent="0.3">
      <c r="A98" t="s">
        <v>161</v>
      </c>
      <c r="B98" t="s">
        <v>125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20</v>
      </c>
      <c r="I98" t="s">
        <v>15</v>
      </c>
      <c r="J98">
        <v>4</v>
      </c>
      <c r="K98" t="s">
        <v>16</v>
      </c>
      <c r="L98" t="s">
        <v>25</v>
      </c>
      <c r="M98">
        <f>orders[[#This Row],[Ship Date]]-orders[[#This Row],[Order Date]]</f>
        <v>7</v>
      </c>
      <c r="N98">
        <f>WEEKNUM(orders[[#This Row],[Order Date]],2)</f>
        <v>1</v>
      </c>
      <c r="O98" t="str" cm="1">
        <f t="array" ref="O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9" spans="1:15" x14ac:dyDescent="0.3">
      <c r="A99" t="s">
        <v>162</v>
      </c>
      <c r="B99" t="s">
        <v>43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20</v>
      </c>
      <c r="I99" t="s">
        <v>32</v>
      </c>
      <c r="J99">
        <v>4</v>
      </c>
      <c r="K99" t="s">
        <v>16</v>
      </c>
      <c r="L99" t="s">
        <v>144</v>
      </c>
      <c r="M99">
        <f>orders[[#This Row],[Ship Date]]-orders[[#This Row],[Order Date]]</f>
        <v>2</v>
      </c>
      <c r="N99">
        <f>WEEKNUM(orders[[#This Row],[Order Date]],2)</f>
        <v>1</v>
      </c>
      <c r="O99" t="str" cm="1">
        <f t="array" ref="O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0" spans="1:15" x14ac:dyDescent="0.3">
      <c r="A100" t="s">
        <v>163</v>
      </c>
      <c r="B100" t="s">
        <v>64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20</v>
      </c>
      <c r="I100" t="s">
        <v>48</v>
      </c>
      <c r="J100">
        <v>5</v>
      </c>
      <c r="K100" t="s">
        <v>16</v>
      </c>
      <c r="L100" t="s">
        <v>30</v>
      </c>
      <c r="M100">
        <f>orders[[#This Row],[Ship Date]]-orders[[#This Row],[Order Date]]</f>
        <v>3</v>
      </c>
      <c r="N100">
        <f>WEEKNUM(orders[[#This Row],[Order Date]],2)</f>
        <v>1</v>
      </c>
      <c r="O100" t="str" cm="1">
        <f t="array" ref="O1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1" spans="1:15" x14ac:dyDescent="0.3">
      <c r="A101" t="s">
        <v>164</v>
      </c>
      <c r="B101" t="s">
        <v>23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24</v>
      </c>
      <c r="I101" t="s">
        <v>15</v>
      </c>
      <c r="J101">
        <v>5</v>
      </c>
      <c r="K101" t="s">
        <v>16</v>
      </c>
      <c r="L101" t="s">
        <v>30</v>
      </c>
      <c r="M101">
        <f>orders[[#This Row],[Ship Date]]-orders[[#This Row],[Order Date]]</f>
        <v>13</v>
      </c>
      <c r="N101">
        <f>WEEKNUM(orders[[#This Row],[Order Date]],2)</f>
        <v>1</v>
      </c>
      <c r="O101" t="str" cm="1">
        <f t="array" ref="O1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2" spans="1:15" x14ac:dyDescent="0.3">
      <c r="A102" t="s">
        <v>165</v>
      </c>
      <c r="B102" t="s">
        <v>34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20</v>
      </c>
      <c r="I102" t="s">
        <v>37</v>
      </c>
      <c r="J102">
        <v>5</v>
      </c>
      <c r="K102" t="s">
        <v>16</v>
      </c>
      <c r="L102" t="s">
        <v>30</v>
      </c>
      <c r="M102">
        <f>orders[[#This Row],[Ship Date]]-orders[[#This Row],[Order Date]]</f>
        <v>4</v>
      </c>
      <c r="N102">
        <f>WEEKNUM(orders[[#This Row],[Order Date]],2)</f>
        <v>1</v>
      </c>
      <c r="O102" t="str" cm="1">
        <f t="array" ref="O1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3" spans="1:15" x14ac:dyDescent="0.3">
      <c r="A103" t="s">
        <v>166</v>
      </c>
      <c r="B103" t="s">
        <v>23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20</v>
      </c>
      <c r="I103" t="s">
        <v>37</v>
      </c>
      <c r="J103">
        <v>5</v>
      </c>
      <c r="K103" t="s">
        <v>16</v>
      </c>
      <c r="L103" t="s">
        <v>49</v>
      </c>
      <c r="M103">
        <f>orders[[#This Row],[Ship Date]]-orders[[#This Row],[Order Date]]</f>
        <v>1</v>
      </c>
      <c r="N103">
        <f>WEEKNUM(orders[[#This Row],[Order Date]],2)</f>
        <v>1</v>
      </c>
      <c r="O103" t="str" cm="1">
        <f t="array" ref="O1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4" spans="1:15" x14ac:dyDescent="0.3">
      <c r="A104" t="s">
        <v>167</v>
      </c>
      <c r="B104" t="s">
        <v>168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24</v>
      </c>
      <c r="I104" t="s">
        <v>67</v>
      </c>
      <c r="J104">
        <v>4</v>
      </c>
      <c r="K104" t="s">
        <v>16</v>
      </c>
      <c r="L104" t="s">
        <v>59</v>
      </c>
      <c r="M104">
        <f>orders[[#This Row],[Ship Date]]-orders[[#This Row],[Order Date]]</f>
        <v>3</v>
      </c>
      <c r="N104">
        <f>WEEKNUM(orders[[#This Row],[Order Date]],2)</f>
        <v>1</v>
      </c>
      <c r="O104" t="str" cm="1">
        <f t="array" ref="O1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5" spans="1:15" x14ac:dyDescent="0.3">
      <c r="A105" t="s">
        <v>169</v>
      </c>
      <c r="B105" t="s">
        <v>51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20</v>
      </c>
      <c r="I105" t="s">
        <v>37</v>
      </c>
      <c r="J105">
        <v>2</v>
      </c>
      <c r="K105" t="s">
        <v>16</v>
      </c>
      <c r="L105" t="s">
        <v>100</v>
      </c>
      <c r="M105">
        <f>orders[[#This Row],[Ship Date]]-orders[[#This Row],[Order Date]]</f>
        <v>0</v>
      </c>
      <c r="N105">
        <f>WEEKNUM(orders[[#This Row],[Order Date]],2)</f>
        <v>1</v>
      </c>
      <c r="O105" t="str" cm="1">
        <f t="array" ref="O1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6" spans="1:15" x14ac:dyDescent="0.3">
      <c r="A106" t="s">
        <v>170</v>
      </c>
      <c r="B106" t="s">
        <v>41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24</v>
      </c>
      <c r="I106" t="s">
        <v>32</v>
      </c>
      <c r="J106">
        <v>5</v>
      </c>
      <c r="K106" t="s">
        <v>16</v>
      </c>
      <c r="L106" t="s">
        <v>74</v>
      </c>
      <c r="M106">
        <f>orders[[#This Row],[Ship Date]]-orders[[#This Row],[Order Date]]</f>
        <v>5</v>
      </c>
      <c r="N106">
        <f>WEEKNUM(orders[[#This Row],[Order Date]],2)</f>
        <v>1</v>
      </c>
      <c r="O106" t="str" cm="1">
        <f t="array" ref="O1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7" spans="1:15" x14ac:dyDescent="0.3">
      <c r="A107" t="s">
        <v>171</v>
      </c>
      <c r="B107" t="s">
        <v>125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24</v>
      </c>
      <c r="I107" t="s">
        <v>67</v>
      </c>
      <c r="J107">
        <v>3</v>
      </c>
      <c r="K107" t="s">
        <v>16</v>
      </c>
      <c r="L107" t="s">
        <v>79</v>
      </c>
      <c r="M107">
        <f>orders[[#This Row],[Ship Date]]-orders[[#This Row],[Order Date]]</f>
        <v>2</v>
      </c>
      <c r="N107">
        <f>WEEKNUM(orders[[#This Row],[Order Date]],2)</f>
        <v>1</v>
      </c>
      <c r="O107" t="str" cm="1">
        <f t="array" ref="O1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" spans="1:15" x14ac:dyDescent="0.3">
      <c r="A108" t="s">
        <v>172</v>
      </c>
      <c r="B108" t="s">
        <v>120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24</v>
      </c>
      <c r="I108" t="s">
        <v>37</v>
      </c>
      <c r="J108">
        <v>5</v>
      </c>
      <c r="K108" t="s">
        <v>16</v>
      </c>
      <c r="L108" t="s">
        <v>30</v>
      </c>
      <c r="M108">
        <f>orders[[#This Row],[Ship Date]]-orders[[#This Row],[Order Date]]</f>
        <v>0</v>
      </c>
      <c r="N108">
        <f>WEEKNUM(orders[[#This Row],[Order Date]],2)</f>
        <v>1</v>
      </c>
      <c r="O108" t="str" cm="1">
        <f t="array" ref="O1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9" spans="1:15" x14ac:dyDescent="0.3">
      <c r="A109" t="s">
        <v>173</v>
      </c>
      <c r="B109" t="s">
        <v>41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20</v>
      </c>
      <c r="I109" t="s">
        <v>32</v>
      </c>
      <c r="J109">
        <v>3</v>
      </c>
      <c r="K109" t="s">
        <v>16</v>
      </c>
      <c r="L109" t="s">
        <v>30</v>
      </c>
      <c r="M109">
        <f>orders[[#This Row],[Ship Date]]-orders[[#This Row],[Order Date]]</f>
        <v>1</v>
      </c>
      <c r="N109">
        <f>WEEKNUM(orders[[#This Row],[Order Date]],2)</f>
        <v>1</v>
      </c>
      <c r="O109" t="str" cm="1">
        <f t="array" ref="O1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0" spans="1:15" x14ac:dyDescent="0.3">
      <c r="A110" t="s">
        <v>174</v>
      </c>
      <c r="B110" t="s">
        <v>51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20</v>
      </c>
      <c r="I110" t="s">
        <v>32</v>
      </c>
      <c r="J110">
        <v>4</v>
      </c>
      <c r="K110" t="s">
        <v>16</v>
      </c>
      <c r="L110" t="s">
        <v>30</v>
      </c>
      <c r="M110">
        <f>orders[[#This Row],[Ship Date]]-orders[[#This Row],[Order Date]]</f>
        <v>2</v>
      </c>
      <c r="N110">
        <f>WEEKNUM(orders[[#This Row],[Order Date]],2)</f>
        <v>1</v>
      </c>
      <c r="O110" t="str" cm="1">
        <f t="array" ref="O1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1" spans="1:15" x14ac:dyDescent="0.3">
      <c r="A111" t="s">
        <v>175</v>
      </c>
      <c r="B111" t="s">
        <v>23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24</v>
      </c>
      <c r="I111" t="s">
        <v>37</v>
      </c>
      <c r="J111">
        <v>2</v>
      </c>
      <c r="K111" t="s">
        <v>16</v>
      </c>
      <c r="L111" t="s">
        <v>30</v>
      </c>
      <c r="M111">
        <f>orders[[#This Row],[Ship Date]]-orders[[#This Row],[Order Date]]</f>
        <v>1</v>
      </c>
      <c r="N111">
        <f>WEEKNUM(orders[[#This Row],[Order Date]],2)</f>
        <v>1</v>
      </c>
      <c r="O111" t="str" cm="1">
        <f t="array" ref="O1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" spans="1:15" x14ac:dyDescent="0.3">
      <c r="A112" t="s">
        <v>176</v>
      </c>
      <c r="B112" t="s">
        <v>13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20</v>
      </c>
      <c r="I112" t="s">
        <v>15</v>
      </c>
      <c r="J112">
        <v>5</v>
      </c>
      <c r="K112" t="s">
        <v>16</v>
      </c>
      <c r="L112" t="s">
        <v>30</v>
      </c>
      <c r="M112">
        <f>orders[[#This Row],[Ship Date]]-orders[[#This Row],[Order Date]]</f>
        <v>2</v>
      </c>
      <c r="N112">
        <f>WEEKNUM(orders[[#This Row],[Order Date]],2)</f>
        <v>1</v>
      </c>
      <c r="O112" t="str" cm="1">
        <f t="array" ref="O1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3" spans="1:15" x14ac:dyDescent="0.3">
      <c r="A113" t="s">
        <v>177</v>
      </c>
      <c r="B113" t="s">
        <v>29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24</v>
      </c>
      <c r="I113" t="s">
        <v>67</v>
      </c>
      <c r="J113">
        <v>4</v>
      </c>
      <c r="K113" t="s">
        <v>16</v>
      </c>
      <c r="L113" t="s">
        <v>30</v>
      </c>
      <c r="M113">
        <f>orders[[#This Row],[Ship Date]]-orders[[#This Row],[Order Date]]</f>
        <v>2</v>
      </c>
      <c r="N113">
        <f>WEEKNUM(orders[[#This Row],[Order Date]],2)</f>
        <v>1</v>
      </c>
      <c r="O113" t="str" cm="1">
        <f t="array" ref="O1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" spans="1:15" x14ac:dyDescent="0.3">
      <c r="A114" t="s">
        <v>178</v>
      </c>
      <c r="B114" t="s">
        <v>39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20</v>
      </c>
      <c r="I114" t="s">
        <v>37</v>
      </c>
      <c r="J114">
        <v>4</v>
      </c>
      <c r="K114" t="s">
        <v>16</v>
      </c>
      <c r="L114" t="s">
        <v>30</v>
      </c>
      <c r="M114">
        <f>orders[[#This Row],[Ship Date]]-orders[[#This Row],[Order Date]]</f>
        <v>1</v>
      </c>
      <c r="N114">
        <f>WEEKNUM(orders[[#This Row],[Order Date]],2)</f>
        <v>1</v>
      </c>
      <c r="O114" t="str" cm="1">
        <f t="array" ref="O1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5" spans="1:15" x14ac:dyDescent="0.3">
      <c r="A115" t="s">
        <v>179</v>
      </c>
      <c r="B115" t="s">
        <v>143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20</v>
      </c>
      <c r="I115" t="s">
        <v>32</v>
      </c>
      <c r="J115">
        <v>3</v>
      </c>
      <c r="K115" t="s">
        <v>16</v>
      </c>
      <c r="L115" t="s">
        <v>30</v>
      </c>
      <c r="M115">
        <f>orders[[#This Row],[Ship Date]]-orders[[#This Row],[Order Date]]</f>
        <v>1</v>
      </c>
      <c r="N115">
        <f>WEEKNUM(orders[[#This Row],[Order Date]],2)</f>
        <v>1</v>
      </c>
      <c r="O115" t="str" cm="1">
        <f t="array" ref="O11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6" spans="1:15" x14ac:dyDescent="0.3">
      <c r="A116" t="s">
        <v>180</v>
      </c>
      <c r="B116" t="s">
        <v>51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20</v>
      </c>
      <c r="I116" t="s">
        <v>37</v>
      </c>
      <c r="J116">
        <v>4</v>
      </c>
      <c r="K116" t="s">
        <v>16</v>
      </c>
      <c r="L116" t="s">
        <v>30</v>
      </c>
      <c r="M116">
        <f>orders[[#This Row],[Ship Date]]-orders[[#This Row],[Order Date]]</f>
        <v>3</v>
      </c>
      <c r="N116">
        <f>WEEKNUM(orders[[#This Row],[Order Date]],2)</f>
        <v>1</v>
      </c>
      <c r="O116" t="str" cm="1">
        <f t="array" ref="O1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7" spans="1:15" x14ac:dyDescent="0.3">
      <c r="A117" t="s">
        <v>181</v>
      </c>
      <c r="B117" t="s">
        <v>36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24</v>
      </c>
      <c r="I117" t="s">
        <v>32</v>
      </c>
      <c r="J117">
        <v>3</v>
      </c>
      <c r="K117" t="s">
        <v>16</v>
      </c>
      <c r="L117" t="s">
        <v>30</v>
      </c>
      <c r="M117">
        <f>orders[[#This Row],[Ship Date]]-orders[[#This Row],[Order Date]]</f>
        <v>1</v>
      </c>
      <c r="N117">
        <f>WEEKNUM(orders[[#This Row],[Order Date]],2)</f>
        <v>1</v>
      </c>
      <c r="O117" t="str" cm="1">
        <f t="array" ref="O1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8" spans="1:15" x14ac:dyDescent="0.3">
      <c r="A118" t="s">
        <v>182</v>
      </c>
      <c r="B118" t="s">
        <v>29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24</v>
      </c>
      <c r="I118" t="s">
        <v>37</v>
      </c>
      <c r="J118">
        <v>4</v>
      </c>
      <c r="K118" t="s">
        <v>16</v>
      </c>
      <c r="L118" t="s">
        <v>183</v>
      </c>
      <c r="M118">
        <f>orders[[#This Row],[Ship Date]]-orders[[#This Row],[Order Date]]</f>
        <v>1</v>
      </c>
      <c r="N118">
        <f>WEEKNUM(orders[[#This Row],[Order Date]],2)</f>
        <v>1</v>
      </c>
      <c r="O118" t="str" cm="1">
        <f t="array" ref="O1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9" spans="1:15" x14ac:dyDescent="0.3">
      <c r="A119" t="s">
        <v>184</v>
      </c>
      <c r="B119" t="s">
        <v>19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24</v>
      </c>
      <c r="I119" t="s">
        <v>37</v>
      </c>
      <c r="J119">
        <v>4</v>
      </c>
      <c r="K119" t="s">
        <v>16</v>
      </c>
      <c r="L119" t="s">
        <v>185</v>
      </c>
      <c r="M119">
        <f>orders[[#This Row],[Ship Date]]-orders[[#This Row],[Order Date]]</f>
        <v>2</v>
      </c>
      <c r="N119">
        <f>WEEKNUM(orders[[#This Row],[Order Date]],2)</f>
        <v>1</v>
      </c>
      <c r="O119" t="str" cm="1">
        <f t="array" ref="O1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0" spans="1:15" x14ac:dyDescent="0.3">
      <c r="A120" t="s">
        <v>186</v>
      </c>
      <c r="B120" t="s">
        <v>36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20</v>
      </c>
      <c r="I120" t="s">
        <v>32</v>
      </c>
      <c r="J120">
        <v>4</v>
      </c>
      <c r="K120" t="s">
        <v>16</v>
      </c>
      <c r="L120" t="s">
        <v>155</v>
      </c>
      <c r="M120">
        <f>orders[[#This Row],[Ship Date]]-orders[[#This Row],[Order Date]]</f>
        <v>1</v>
      </c>
      <c r="N120">
        <f>WEEKNUM(orders[[#This Row],[Order Date]],2)</f>
        <v>1</v>
      </c>
      <c r="O120" t="str" cm="1">
        <f t="array" ref="O1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1" spans="1:15" x14ac:dyDescent="0.3">
      <c r="A121" t="s">
        <v>187</v>
      </c>
      <c r="B121" t="s">
        <v>19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24</v>
      </c>
      <c r="I121" t="s">
        <v>48</v>
      </c>
      <c r="J121">
        <v>3</v>
      </c>
      <c r="K121" t="s">
        <v>16</v>
      </c>
      <c r="L121" t="s">
        <v>52</v>
      </c>
      <c r="M121">
        <f>orders[[#This Row],[Ship Date]]-orders[[#This Row],[Order Date]]</f>
        <v>1</v>
      </c>
      <c r="N121">
        <f>WEEKNUM(orders[[#This Row],[Order Date]],2)</f>
        <v>1</v>
      </c>
      <c r="O121" t="str" cm="1">
        <f t="array" ref="O1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2" spans="1:15" x14ac:dyDescent="0.3">
      <c r="A122" t="s">
        <v>188</v>
      </c>
      <c r="B122" t="s">
        <v>36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14</v>
      </c>
      <c r="I122" t="s">
        <v>37</v>
      </c>
      <c r="J122">
        <v>5</v>
      </c>
      <c r="K122" t="s">
        <v>16</v>
      </c>
      <c r="L122" t="s">
        <v>52</v>
      </c>
      <c r="M122">
        <f>orders[[#This Row],[Ship Date]]-orders[[#This Row],[Order Date]]</f>
        <v>4</v>
      </c>
      <c r="N122">
        <f>WEEKNUM(orders[[#This Row],[Order Date]],2)</f>
        <v>1</v>
      </c>
      <c r="O122" t="str" cm="1">
        <f t="array" ref="O12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3" spans="1:15" x14ac:dyDescent="0.3">
      <c r="A123" t="s">
        <v>189</v>
      </c>
      <c r="B123" t="s">
        <v>36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20</v>
      </c>
      <c r="I123" t="s">
        <v>37</v>
      </c>
      <c r="J123">
        <v>4</v>
      </c>
      <c r="K123" t="s">
        <v>16</v>
      </c>
      <c r="L123" t="s">
        <v>52</v>
      </c>
      <c r="M123">
        <f>orders[[#This Row],[Ship Date]]-orders[[#This Row],[Order Date]]</f>
        <v>1</v>
      </c>
      <c r="N123">
        <f>WEEKNUM(orders[[#This Row],[Order Date]],2)</f>
        <v>1</v>
      </c>
      <c r="O123" t="str" cm="1">
        <f t="array" ref="O1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4" spans="1:15" x14ac:dyDescent="0.3">
      <c r="A124" t="s">
        <v>190</v>
      </c>
      <c r="B124" t="s">
        <v>66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24</v>
      </c>
      <c r="I124" t="s">
        <v>32</v>
      </c>
      <c r="J124">
        <v>4</v>
      </c>
      <c r="K124" t="s">
        <v>16</v>
      </c>
      <c r="L124" t="s">
        <v>52</v>
      </c>
      <c r="M124">
        <f>orders[[#This Row],[Ship Date]]-orders[[#This Row],[Order Date]]</f>
        <v>1</v>
      </c>
      <c r="N124">
        <f>WEEKNUM(orders[[#This Row],[Order Date]],2)</f>
        <v>1</v>
      </c>
      <c r="O124" t="str" cm="1">
        <f t="array" ref="O1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5" spans="1:15" x14ac:dyDescent="0.3">
      <c r="A125" t="s">
        <v>191</v>
      </c>
      <c r="B125" t="s">
        <v>23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24</v>
      </c>
      <c r="I125" t="s">
        <v>15</v>
      </c>
      <c r="J125">
        <v>4</v>
      </c>
      <c r="K125" t="s">
        <v>16</v>
      </c>
      <c r="L125" t="s">
        <v>56</v>
      </c>
      <c r="M125">
        <f>orders[[#This Row],[Ship Date]]-orders[[#This Row],[Order Date]]</f>
        <v>1</v>
      </c>
      <c r="N125">
        <f>WEEKNUM(orders[[#This Row],[Order Date]],2)</f>
        <v>1</v>
      </c>
      <c r="O125" t="str" cm="1">
        <f t="array" ref="O1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6" spans="1:15" x14ac:dyDescent="0.3">
      <c r="A126" t="s">
        <v>192</v>
      </c>
      <c r="B126" t="s">
        <v>19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20</v>
      </c>
      <c r="I126" t="s">
        <v>15</v>
      </c>
      <c r="J126">
        <v>2</v>
      </c>
      <c r="K126" t="s">
        <v>16</v>
      </c>
      <c r="L126" t="s">
        <v>56</v>
      </c>
      <c r="M126">
        <f>orders[[#This Row],[Ship Date]]-orders[[#This Row],[Order Date]]</f>
        <v>2</v>
      </c>
      <c r="N126">
        <f>WEEKNUM(orders[[#This Row],[Order Date]],2)</f>
        <v>1</v>
      </c>
      <c r="O126" t="str" cm="1">
        <f t="array" ref="O1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7" spans="1:15" x14ac:dyDescent="0.3">
      <c r="A127" t="s">
        <v>193</v>
      </c>
      <c r="B127" t="s">
        <v>39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20</v>
      </c>
      <c r="I127" t="s">
        <v>32</v>
      </c>
      <c r="J127">
        <v>3</v>
      </c>
      <c r="K127" t="s">
        <v>16</v>
      </c>
      <c r="L127" t="s">
        <v>59</v>
      </c>
      <c r="M127">
        <f>orders[[#This Row],[Ship Date]]-orders[[#This Row],[Order Date]]</f>
        <v>2</v>
      </c>
      <c r="N127">
        <f>WEEKNUM(orders[[#This Row],[Order Date]],2)</f>
        <v>1</v>
      </c>
      <c r="O127" t="str" cm="1">
        <f t="array" ref="O12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8" spans="1:15" x14ac:dyDescent="0.3">
      <c r="A128" t="s">
        <v>194</v>
      </c>
      <c r="B128" t="s">
        <v>36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24</v>
      </c>
      <c r="I128" t="s">
        <v>32</v>
      </c>
      <c r="J128">
        <v>3</v>
      </c>
      <c r="K128" t="s">
        <v>16</v>
      </c>
      <c r="L128" t="s">
        <v>59</v>
      </c>
      <c r="M128">
        <f>orders[[#This Row],[Ship Date]]-orders[[#This Row],[Order Date]]</f>
        <v>1</v>
      </c>
      <c r="N128">
        <f>WEEKNUM(orders[[#This Row],[Order Date]],2)</f>
        <v>1</v>
      </c>
      <c r="O128" t="str" cm="1">
        <f t="array" ref="O1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9" spans="1:15" x14ac:dyDescent="0.3">
      <c r="A129" t="s">
        <v>195</v>
      </c>
      <c r="B129" t="s">
        <v>19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20</v>
      </c>
      <c r="I129" t="s">
        <v>37</v>
      </c>
      <c r="J129">
        <v>5</v>
      </c>
      <c r="K129" t="s">
        <v>16</v>
      </c>
      <c r="L129" t="s">
        <v>59</v>
      </c>
      <c r="M129">
        <f>orders[[#This Row],[Ship Date]]-orders[[#This Row],[Order Date]]</f>
        <v>2</v>
      </c>
      <c r="N129">
        <f>WEEKNUM(orders[[#This Row],[Order Date]],2)</f>
        <v>2</v>
      </c>
      <c r="O129" t="str" cm="1">
        <f t="array" ref="O1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0" spans="1:15" x14ac:dyDescent="0.3">
      <c r="A130" t="s">
        <v>196</v>
      </c>
      <c r="B130" t="s">
        <v>36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20</v>
      </c>
      <c r="I130" t="s">
        <v>15</v>
      </c>
      <c r="J130">
        <v>4</v>
      </c>
      <c r="K130" t="s">
        <v>16</v>
      </c>
      <c r="L130" t="s">
        <v>59</v>
      </c>
      <c r="M130">
        <f>orders[[#This Row],[Ship Date]]-orders[[#This Row],[Order Date]]</f>
        <v>4</v>
      </c>
      <c r="N130">
        <f>WEEKNUM(orders[[#This Row],[Order Date]],2)</f>
        <v>2</v>
      </c>
      <c r="O130" t="str" cm="1">
        <f t="array" ref="O13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1" spans="1:15" x14ac:dyDescent="0.3">
      <c r="A131" t="s">
        <v>197</v>
      </c>
      <c r="B131" t="s">
        <v>125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20</v>
      </c>
      <c r="I131" t="s">
        <v>15</v>
      </c>
      <c r="J131">
        <v>5</v>
      </c>
      <c r="K131" t="s">
        <v>16</v>
      </c>
      <c r="L131" t="s">
        <v>198</v>
      </c>
      <c r="M131">
        <f>orders[[#This Row],[Ship Date]]-orders[[#This Row],[Order Date]]</f>
        <v>1</v>
      </c>
      <c r="N131">
        <f>WEEKNUM(orders[[#This Row],[Order Date]],2)</f>
        <v>2</v>
      </c>
      <c r="O131" t="str" cm="1">
        <f t="array" ref="O1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" spans="1:15" x14ac:dyDescent="0.3">
      <c r="A132" t="s">
        <v>199</v>
      </c>
      <c r="B132" t="s">
        <v>43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86</v>
      </c>
      <c r="I132" t="s">
        <v>37</v>
      </c>
      <c r="J132">
        <v>5</v>
      </c>
      <c r="K132" t="s">
        <v>16</v>
      </c>
      <c r="L132" t="s">
        <v>69</v>
      </c>
      <c r="M132">
        <f>orders[[#This Row],[Ship Date]]-orders[[#This Row],[Order Date]]</f>
        <v>9</v>
      </c>
      <c r="N132">
        <f>WEEKNUM(orders[[#This Row],[Order Date]],2)</f>
        <v>2</v>
      </c>
      <c r="O132" t="str" cm="1">
        <f t="array" ref="O132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33" spans="1:15" x14ac:dyDescent="0.3">
      <c r="A133" t="s">
        <v>200</v>
      </c>
      <c r="B133" t="s">
        <v>13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24</v>
      </c>
      <c r="I133" t="s">
        <v>67</v>
      </c>
      <c r="J133">
        <v>3</v>
      </c>
      <c r="K133" t="s">
        <v>16</v>
      </c>
      <c r="L133" t="s">
        <v>69</v>
      </c>
      <c r="M133">
        <f>orders[[#This Row],[Ship Date]]-orders[[#This Row],[Order Date]]</f>
        <v>3</v>
      </c>
      <c r="N133">
        <f>WEEKNUM(orders[[#This Row],[Order Date]],2)</f>
        <v>2</v>
      </c>
      <c r="O133" t="str" cm="1">
        <f t="array" ref="O1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4" spans="1:15" x14ac:dyDescent="0.3">
      <c r="A134" t="s">
        <v>201</v>
      </c>
      <c r="B134" t="s">
        <v>36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20</v>
      </c>
      <c r="I134" t="s">
        <v>32</v>
      </c>
      <c r="J134">
        <v>5</v>
      </c>
      <c r="K134" t="s">
        <v>16</v>
      </c>
      <c r="L134" t="s">
        <v>69</v>
      </c>
      <c r="M134">
        <f>orders[[#This Row],[Ship Date]]-orders[[#This Row],[Order Date]]</f>
        <v>1</v>
      </c>
      <c r="N134">
        <f>WEEKNUM(orders[[#This Row],[Order Date]],2)</f>
        <v>2</v>
      </c>
      <c r="O134" t="str" cm="1">
        <f t="array" ref="O1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5" spans="1:15" x14ac:dyDescent="0.3">
      <c r="A135" t="s">
        <v>202</v>
      </c>
      <c r="B135" t="s">
        <v>34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86</v>
      </c>
      <c r="I135" t="s">
        <v>32</v>
      </c>
      <c r="J135">
        <v>4</v>
      </c>
      <c r="K135" t="s">
        <v>16</v>
      </c>
      <c r="L135" t="s">
        <v>105</v>
      </c>
      <c r="M135">
        <f>orders[[#This Row],[Ship Date]]-orders[[#This Row],[Order Date]]</f>
        <v>5</v>
      </c>
      <c r="N135">
        <f>WEEKNUM(orders[[#This Row],[Order Date]],2)</f>
        <v>2</v>
      </c>
      <c r="O135" t="str" cm="1">
        <f t="array" ref="O13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36" spans="1:15" x14ac:dyDescent="0.3">
      <c r="A136" t="s">
        <v>203</v>
      </c>
      <c r="B136" t="s">
        <v>19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24</v>
      </c>
      <c r="I136" t="s">
        <v>37</v>
      </c>
      <c r="J136">
        <v>5</v>
      </c>
      <c r="K136" t="s">
        <v>16</v>
      </c>
      <c r="L136" t="s">
        <v>25</v>
      </c>
      <c r="M136">
        <f>orders[[#This Row],[Ship Date]]-orders[[#This Row],[Order Date]]</f>
        <v>3</v>
      </c>
      <c r="N136">
        <f>WEEKNUM(orders[[#This Row],[Order Date]],2)</f>
        <v>2</v>
      </c>
      <c r="O136" t="str" cm="1">
        <f t="array" ref="O1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7" spans="1:15" x14ac:dyDescent="0.3">
      <c r="A137" t="s">
        <v>204</v>
      </c>
      <c r="B137" t="s">
        <v>64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24</v>
      </c>
      <c r="I137" t="s">
        <v>48</v>
      </c>
      <c r="J137">
        <v>4</v>
      </c>
      <c r="K137" t="s">
        <v>16</v>
      </c>
      <c r="L137" t="s">
        <v>205</v>
      </c>
      <c r="M137">
        <f>orders[[#This Row],[Ship Date]]-orders[[#This Row],[Order Date]]</f>
        <v>2</v>
      </c>
      <c r="N137">
        <f>WEEKNUM(orders[[#This Row],[Order Date]],2)</f>
        <v>2</v>
      </c>
      <c r="O137" t="str" cm="1">
        <f t="array" ref="O13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8" spans="1:15" x14ac:dyDescent="0.3">
      <c r="A138" t="s">
        <v>206</v>
      </c>
      <c r="B138" t="s">
        <v>120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24</v>
      </c>
      <c r="I138" t="s">
        <v>15</v>
      </c>
      <c r="J138">
        <v>5</v>
      </c>
      <c r="K138" t="s">
        <v>16</v>
      </c>
      <c r="L138" t="s">
        <v>144</v>
      </c>
      <c r="M138">
        <f>orders[[#This Row],[Ship Date]]-orders[[#This Row],[Order Date]]</f>
        <v>1</v>
      </c>
      <c r="N138">
        <f>WEEKNUM(orders[[#This Row],[Order Date]],2)</f>
        <v>2</v>
      </c>
      <c r="O138" t="str" cm="1">
        <f t="array" ref="O1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9" spans="1:15" x14ac:dyDescent="0.3">
      <c r="A139" t="s">
        <v>207</v>
      </c>
      <c r="B139" t="s">
        <v>34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24</v>
      </c>
      <c r="I139" t="s">
        <v>15</v>
      </c>
      <c r="J139">
        <v>3</v>
      </c>
      <c r="K139" t="s">
        <v>16</v>
      </c>
      <c r="L139" t="s">
        <v>30</v>
      </c>
      <c r="M139">
        <f>orders[[#This Row],[Ship Date]]-orders[[#This Row],[Order Date]]</f>
        <v>3</v>
      </c>
      <c r="N139">
        <f>WEEKNUM(orders[[#This Row],[Order Date]],2)</f>
        <v>2</v>
      </c>
      <c r="O139" t="str" cm="1">
        <f t="array" ref="O1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" spans="1:15" x14ac:dyDescent="0.3">
      <c r="A140" t="s">
        <v>208</v>
      </c>
      <c r="B140" t="s">
        <v>13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24</v>
      </c>
      <c r="I140" t="s">
        <v>32</v>
      </c>
      <c r="J140">
        <v>5</v>
      </c>
      <c r="K140" t="s">
        <v>16</v>
      </c>
      <c r="L140" t="s">
        <v>30</v>
      </c>
      <c r="M140">
        <f>orders[[#This Row],[Ship Date]]-orders[[#This Row],[Order Date]]</f>
        <v>5</v>
      </c>
      <c r="N140">
        <f>WEEKNUM(orders[[#This Row],[Order Date]],2)</f>
        <v>2</v>
      </c>
      <c r="O140" t="str" cm="1">
        <f t="array" ref="O1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1" spans="1:15" x14ac:dyDescent="0.3">
      <c r="A141" t="s">
        <v>209</v>
      </c>
      <c r="B141" t="s">
        <v>41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20</v>
      </c>
      <c r="I141" t="s">
        <v>15</v>
      </c>
      <c r="J141">
        <v>4</v>
      </c>
      <c r="K141" t="s">
        <v>16</v>
      </c>
      <c r="L141" t="s">
        <v>30</v>
      </c>
      <c r="M141">
        <f>orders[[#This Row],[Ship Date]]-orders[[#This Row],[Order Date]]</f>
        <v>0</v>
      </c>
      <c r="N141">
        <f>WEEKNUM(orders[[#This Row],[Order Date]],2)</f>
        <v>2</v>
      </c>
      <c r="O141" t="str" cm="1">
        <f t="array" ref="O1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2" spans="1:15" x14ac:dyDescent="0.3">
      <c r="A142" t="s">
        <v>210</v>
      </c>
      <c r="B142" t="s">
        <v>23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20</v>
      </c>
      <c r="I142" t="s">
        <v>15</v>
      </c>
      <c r="J142">
        <v>4</v>
      </c>
      <c r="K142" t="s">
        <v>16</v>
      </c>
      <c r="L142" t="s">
        <v>30</v>
      </c>
      <c r="M142">
        <f>orders[[#This Row],[Ship Date]]-orders[[#This Row],[Order Date]]</f>
        <v>3</v>
      </c>
      <c r="N142">
        <f>WEEKNUM(orders[[#This Row],[Order Date]],2)</f>
        <v>2</v>
      </c>
      <c r="O142" t="str" cm="1">
        <f t="array" ref="O1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3" spans="1:15" x14ac:dyDescent="0.3">
      <c r="A143" t="s">
        <v>211</v>
      </c>
      <c r="B143" t="s">
        <v>43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14</v>
      </c>
      <c r="I143" t="s">
        <v>15</v>
      </c>
      <c r="J143">
        <v>4</v>
      </c>
      <c r="K143" t="s">
        <v>16</v>
      </c>
      <c r="L143" t="s">
        <v>30</v>
      </c>
      <c r="M143">
        <f>orders[[#This Row],[Ship Date]]-orders[[#This Row],[Order Date]]</f>
        <v>0</v>
      </c>
      <c r="N143">
        <f>WEEKNUM(orders[[#This Row],[Order Date]],2)</f>
        <v>2</v>
      </c>
      <c r="O143" t="str" cm="1">
        <f t="array" ref="O14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44" spans="1:15" x14ac:dyDescent="0.3">
      <c r="A144" t="s">
        <v>212</v>
      </c>
      <c r="B144" t="s">
        <v>41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24</v>
      </c>
      <c r="I144" t="s">
        <v>67</v>
      </c>
      <c r="J144">
        <v>2</v>
      </c>
      <c r="K144" t="s">
        <v>16</v>
      </c>
      <c r="L144" t="s">
        <v>30</v>
      </c>
      <c r="M144">
        <f>orders[[#This Row],[Ship Date]]-orders[[#This Row],[Order Date]]</f>
        <v>3</v>
      </c>
      <c r="N144">
        <f>WEEKNUM(orders[[#This Row],[Order Date]],2)</f>
        <v>2</v>
      </c>
      <c r="O144" t="str" cm="1">
        <f t="array" ref="O1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5" spans="1:15" x14ac:dyDescent="0.3">
      <c r="A145" t="s">
        <v>213</v>
      </c>
      <c r="B145" t="s">
        <v>29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14</v>
      </c>
      <c r="I145" t="s">
        <v>15</v>
      </c>
      <c r="J145">
        <v>4</v>
      </c>
      <c r="K145" t="s">
        <v>16</v>
      </c>
      <c r="L145" t="s">
        <v>30</v>
      </c>
      <c r="M145">
        <f>orders[[#This Row],[Ship Date]]-orders[[#This Row],[Order Date]]</f>
        <v>1</v>
      </c>
      <c r="N145">
        <f>WEEKNUM(orders[[#This Row],[Order Date]],2)</f>
        <v>2</v>
      </c>
      <c r="O145" t="str" cm="1">
        <f t="array" ref="O14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46" spans="1:15" x14ac:dyDescent="0.3">
      <c r="A146" t="s">
        <v>214</v>
      </c>
      <c r="B146" t="s">
        <v>43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24</v>
      </c>
      <c r="I146" t="s">
        <v>15</v>
      </c>
      <c r="J146">
        <v>4</v>
      </c>
      <c r="K146" t="s">
        <v>16</v>
      </c>
      <c r="L146" t="s">
        <v>30</v>
      </c>
      <c r="M146">
        <f>orders[[#This Row],[Ship Date]]-orders[[#This Row],[Order Date]]</f>
        <v>4</v>
      </c>
      <c r="N146">
        <f>WEEKNUM(orders[[#This Row],[Order Date]],2)</f>
        <v>2</v>
      </c>
      <c r="O146" t="str" cm="1">
        <f t="array" ref="O1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7" spans="1:15" x14ac:dyDescent="0.3">
      <c r="A147" t="s">
        <v>215</v>
      </c>
      <c r="B147" t="s">
        <v>143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20</v>
      </c>
      <c r="I147" t="s">
        <v>67</v>
      </c>
      <c r="J147">
        <v>2</v>
      </c>
      <c r="K147" t="s">
        <v>16</v>
      </c>
      <c r="L147" t="s">
        <v>30</v>
      </c>
      <c r="M147">
        <f>orders[[#This Row],[Ship Date]]-orders[[#This Row],[Order Date]]</f>
        <v>1</v>
      </c>
      <c r="N147">
        <f>WEEKNUM(orders[[#This Row],[Order Date]],2)</f>
        <v>2</v>
      </c>
      <c r="O147" t="str" cm="1">
        <f t="array" ref="O14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8" spans="1:15" x14ac:dyDescent="0.3">
      <c r="A148" t="s">
        <v>216</v>
      </c>
      <c r="B148" t="s">
        <v>13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20</v>
      </c>
      <c r="I148" t="s">
        <v>32</v>
      </c>
      <c r="J148">
        <v>5</v>
      </c>
      <c r="K148" t="s">
        <v>16</v>
      </c>
      <c r="L148" t="s">
        <v>30</v>
      </c>
      <c r="M148">
        <f>orders[[#This Row],[Ship Date]]-orders[[#This Row],[Order Date]]</f>
        <v>1</v>
      </c>
      <c r="N148">
        <f>WEEKNUM(orders[[#This Row],[Order Date]],2)</f>
        <v>2</v>
      </c>
      <c r="O148" t="str" cm="1">
        <f t="array" ref="O1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9" spans="1:15" x14ac:dyDescent="0.3">
      <c r="A149" t="s">
        <v>217</v>
      </c>
      <c r="B149" t="s">
        <v>41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20</v>
      </c>
      <c r="I149" t="s">
        <v>37</v>
      </c>
      <c r="J149">
        <v>4</v>
      </c>
      <c r="K149" t="s">
        <v>16</v>
      </c>
      <c r="L149" t="s">
        <v>30</v>
      </c>
      <c r="M149">
        <f>orders[[#This Row],[Ship Date]]-orders[[#This Row],[Order Date]]</f>
        <v>1</v>
      </c>
      <c r="N149">
        <f>WEEKNUM(orders[[#This Row],[Order Date]],2)</f>
        <v>2</v>
      </c>
      <c r="O149" t="str" cm="1">
        <f t="array" ref="O1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0" spans="1:15" x14ac:dyDescent="0.3">
      <c r="A150" t="s">
        <v>218</v>
      </c>
      <c r="B150" t="s">
        <v>41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20</v>
      </c>
      <c r="I150" t="s">
        <v>15</v>
      </c>
      <c r="J150">
        <v>4</v>
      </c>
      <c r="K150" t="s">
        <v>16</v>
      </c>
      <c r="L150" t="s">
        <v>30</v>
      </c>
      <c r="M150">
        <f>orders[[#This Row],[Ship Date]]-orders[[#This Row],[Order Date]]</f>
        <v>4</v>
      </c>
      <c r="N150">
        <f>WEEKNUM(orders[[#This Row],[Order Date]],2)</f>
        <v>2</v>
      </c>
      <c r="O150" t="str" cm="1">
        <f t="array" ref="O1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1" spans="1:15" x14ac:dyDescent="0.3">
      <c r="A151" t="s">
        <v>219</v>
      </c>
      <c r="B151" t="s">
        <v>51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24</v>
      </c>
      <c r="I151" t="s">
        <v>37</v>
      </c>
      <c r="J151">
        <v>3</v>
      </c>
      <c r="K151" t="s">
        <v>16</v>
      </c>
      <c r="L151" t="s">
        <v>30</v>
      </c>
      <c r="M151">
        <f>orders[[#This Row],[Ship Date]]-orders[[#This Row],[Order Date]]</f>
        <v>2</v>
      </c>
      <c r="N151">
        <f>WEEKNUM(orders[[#This Row],[Order Date]],2)</f>
        <v>2</v>
      </c>
      <c r="O151" t="str" cm="1">
        <f t="array" ref="O1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2" spans="1:15" x14ac:dyDescent="0.3">
      <c r="A152" t="s">
        <v>220</v>
      </c>
      <c r="B152" t="s">
        <v>73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20</v>
      </c>
      <c r="I152" t="s">
        <v>15</v>
      </c>
      <c r="J152">
        <v>4</v>
      </c>
      <c r="K152" t="s">
        <v>16</v>
      </c>
      <c r="L152" t="s">
        <v>30</v>
      </c>
      <c r="M152">
        <f>orders[[#This Row],[Ship Date]]-orders[[#This Row],[Order Date]]</f>
        <v>9</v>
      </c>
      <c r="N152">
        <f>WEEKNUM(orders[[#This Row],[Order Date]],2)</f>
        <v>2</v>
      </c>
      <c r="O152" t="str" cm="1">
        <f t="array" ref="O1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3" spans="1:15" x14ac:dyDescent="0.3">
      <c r="A153" t="s">
        <v>221</v>
      </c>
      <c r="B153" t="s">
        <v>19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20</v>
      </c>
      <c r="I153" t="s">
        <v>37</v>
      </c>
      <c r="J153">
        <v>4</v>
      </c>
      <c r="K153" t="s">
        <v>16</v>
      </c>
      <c r="L153" t="s">
        <v>185</v>
      </c>
      <c r="M153">
        <f>orders[[#This Row],[Ship Date]]-orders[[#This Row],[Order Date]]</f>
        <v>1</v>
      </c>
      <c r="N153">
        <f>WEEKNUM(orders[[#This Row],[Order Date]],2)</f>
        <v>2</v>
      </c>
      <c r="O153" t="str" cm="1">
        <f t="array" ref="O15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4" spans="1:15" x14ac:dyDescent="0.3">
      <c r="A154" t="s">
        <v>222</v>
      </c>
      <c r="B154" t="s">
        <v>23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24</v>
      </c>
      <c r="I154" t="s">
        <v>15</v>
      </c>
      <c r="J154">
        <v>1</v>
      </c>
      <c r="K154" t="s">
        <v>16</v>
      </c>
      <c r="L154" t="s">
        <v>155</v>
      </c>
      <c r="M154">
        <f>orders[[#This Row],[Ship Date]]-orders[[#This Row],[Order Date]]</f>
        <v>0</v>
      </c>
      <c r="N154">
        <f>WEEKNUM(orders[[#This Row],[Order Date]],2)</f>
        <v>2</v>
      </c>
      <c r="O154" t="str" cm="1">
        <f t="array" ref="O1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5" spans="1:15" x14ac:dyDescent="0.3">
      <c r="A155" t="s">
        <v>223</v>
      </c>
      <c r="B155" t="s">
        <v>51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24</v>
      </c>
      <c r="I155" t="s">
        <v>32</v>
      </c>
      <c r="J155">
        <v>5</v>
      </c>
      <c r="K155" t="s">
        <v>16</v>
      </c>
      <c r="L155" t="s">
        <v>52</v>
      </c>
      <c r="M155">
        <f>orders[[#This Row],[Ship Date]]-orders[[#This Row],[Order Date]]</f>
        <v>2</v>
      </c>
      <c r="N155">
        <f>WEEKNUM(orders[[#This Row],[Order Date]],2)</f>
        <v>2</v>
      </c>
      <c r="O155" t="str" cm="1">
        <f t="array" ref="O1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6" spans="1:15" x14ac:dyDescent="0.3">
      <c r="A156" t="s">
        <v>224</v>
      </c>
      <c r="B156" t="s">
        <v>41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24</v>
      </c>
      <c r="I156" t="s">
        <v>32</v>
      </c>
      <c r="J156">
        <v>3</v>
      </c>
      <c r="K156" t="s">
        <v>16</v>
      </c>
      <c r="L156" t="s">
        <v>52</v>
      </c>
      <c r="M156">
        <f>orders[[#This Row],[Ship Date]]-orders[[#This Row],[Order Date]]</f>
        <v>0</v>
      </c>
      <c r="N156">
        <f>WEEKNUM(orders[[#This Row],[Order Date]],2)</f>
        <v>2</v>
      </c>
      <c r="O156" t="str" cm="1">
        <f t="array" ref="O1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7" spans="1:15" x14ac:dyDescent="0.3">
      <c r="A157" t="s">
        <v>225</v>
      </c>
      <c r="B157" t="s">
        <v>41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24</v>
      </c>
      <c r="I157" t="s">
        <v>15</v>
      </c>
      <c r="J157">
        <v>2</v>
      </c>
      <c r="K157" t="s">
        <v>16</v>
      </c>
      <c r="L157" t="s">
        <v>52</v>
      </c>
      <c r="M157">
        <f>orders[[#This Row],[Ship Date]]-orders[[#This Row],[Order Date]]</f>
        <v>1</v>
      </c>
      <c r="N157">
        <f>WEEKNUM(orders[[#This Row],[Order Date]],2)</f>
        <v>2</v>
      </c>
      <c r="O157" t="str" cm="1">
        <f t="array" ref="O1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8" spans="1:15" x14ac:dyDescent="0.3">
      <c r="A158" t="s">
        <v>226</v>
      </c>
      <c r="B158" t="s">
        <v>51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24</v>
      </c>
      <c r="I158" t="s">
        <v>48</v>
      </c>
      <c r="J158">
        <v>4</v>
      </c>
      <c r="K158" t="s">
        <v>16</v>
      </c>
      <c r="L158" t="s">
        <v>52</v>
      </c>
      <c r="M158">
        <f>orders[[#This Row],[Ship Date]]-orders[[#This Row],[Order Date]]</f>
        <v>4</v>
      </c>
      <c r="N158">
        <f>WEEKNUM(orders[[#This Row],[Order Date]],2)</f>
        <v>2</v>
      </c>
      <c r="O158" t="str" cm="1">
        <f t="array" ref="O1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9" spans="1:15" x14ac:dyDescent="0.3">
      <c r="A159" t="s">
        <v>227</v>
      </c>
      <c r="B159" t="s">
        <v>143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24</v>
      </c>
      <c r="I159" t="s">
        <v>67</v>
      </c>
      <c r="J159">
        <v>4</v>
      </c>
      <c r="K159" t="s">
        <v>16</v>
      </c>
      <c r="L159" t="s">
        <v>56</v>
      </c>
      <c r="M159">
        <f>orders[[#This Row],[Ship Date]]-orders[[#This Row],[Order Date]]</f>
        <v>1</v>
      </c>
      <c r="N159">
        <f>WEEKNUM(orders[[#This Row],[Order Date]],2)</f>
        <v>2</v>
      </c>
      <c r="O159" t="str" cm="1">
        <f t="array" ref="O1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0" spans="1:15" x14ac:dyDescent="0.3">
      <c r="A160" t="s">
        <v>228</v>
      </c>
      <c r="B160" t="s">
        <v>41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24</v>
      </c>
      <c r="I160" t="s">
        <v>37</v>
      </c>
      <c r="J160">
        <v>4</v>
      </c>
      <c r="K160" t="s">
        <v>16</v>
      </c>
      <c r="L160" t="s">
        <v>56</v>
      </c>
      <c r="M160">
        <f>orders[[#This Row],[Ship Date]]-orders[[#This Row],[Order Date]]</f>
        <v>5</v>
      </c>
      <c r="N160">
        <f>WEEKNUM(orders[[#This Row],[Order Date]],2)</f>
        <v>2</v>
      </c>
      <c r="O160" t="str" cm="1">
        <f t="array" ref="O1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1" spans="1:15" x14ac:dyDescent="0.3">
      <c r="A161" t="s">
        <v>229</v>
      </c>
      <c r="B161" t="s">
        <v>36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20</v>
      </c>
      <c r="I161" t="s">
        <v>37</v>
      </c>
      <c r="J161">
        <v>5</v>
      </c>
      <c r="K161" t="s">
        <v>16</v>
      </c>
      <c r="L161" t="s">
        <v>59</v>
      </c>
      <c r="M161">
        <f>orders[[#This Row],[Ship Date]]-orders[[#This Row],[Order Date]]</f>
        <v>1</v>
      </c>
      <c r="N161">
        <f>WEEKNUM(orders[[#This Row],[Order Date]],2)</f>
        <v>2</v>
      </c>
      <c r="O161" t="str" cm="1">
        <f t="array" ref="O1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2" spans="1:15" x14ac:dyDescent="0.3">
      <c r="A162" t="s">
        <v>230</v>
      </c>
      <c r="B162" t="s">
        <v>36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24</v>
      </c>
      <c r="I162" t="s">
        <v>48</v>
      </c>
      <c r="J162">
        <v>4</v>
      </c>
      <c r="K162" t="s">
        <v>16</v>
      </c>
      <c r="L162" t="s">
        <v>59</v>
      </c>
      <c r="M162">
        <f>orders[[#This Row],[Ship Date]]-orders[[#This Row],[Order Date]]</f>
        <v>1</v>
      </c>
      <c r="N162">
        <f>WEEKNUM(orders[[#This Row],[Order Date]],2)</f>
        <v>2</v>
      </c>
      <c r="O162" t="str" cm="1">
        <f t="array" ref="O1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3" spans="1:15" x14ac:dyDescent="0.3">
      <c r="A163" t="s">
        <v>231</v>
      </c>
      <c r="B163" t="s">
        <v>23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20</v>
      </c>
      <c r="I163" t="s">
        <v>15</v>
      </c>
      <c r="J163">
        <v>4</v>
      </c>
      <c r="K163" t="s">
        <v>16</v>
      </c>
      <c r="L163" t="s">
        <v>59</v>
      </c>
      <c r="M163">
        <f>orders[[#This Row],[Ship Date]]-orders[[#This Row],[Order Date]]</f>
        <v>1</v>
      </c>
      <c r="N163">
        <f>WEEKNUM(orders[[#This Row],[Order Date]],2)</f>
        <v>2</v>
      </c>
      <c r="O163" t="str" cm="1">
        <f t="array" ref="O1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" spans="1:15" x14ac:dyDescent="0.3">
      <c r="A164" t="s">
        <v>232</v>
      </c>
      <c r="B164" t="s">
        <v>13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14</v>
      </c>
      <c r="I164" t="s">
        <v>32</v>
      </c>
      <c r="J164">
        <v>5</v>
      </c>
      <c r="K164" t="s">
        <v>16</v>
      </c>
      <c r="L164" t="s">
        <v>59</v>
      </c>
      <c r="M164">
        <f>orders[[#This Row],[Ship Date]]-orders[[#This Row],[Order Date]]</f>
        <v>1</v>
      </c>
      <c r="N164">
        <f>WEEKNUM(orders[[#This Row],[Order Date]],2)</f>
        <v>2</v>
      </c>
      <c r="O164" t="str" cm="1">
        <f t="array" ref="O16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65" spans="1:15" x14ac:dyDescent="0.3">
      <c r="A165" t="s">
        <v>233</v>
      </c>
      <c r="B165" t="s">
        <v>120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24</v>
      </c>
      <c r="I165" t="s">
        <v>15</v>
      </c>
      <c r="J165">
        <v>4</v>
      </c>
      <c r="K165" t="s">
        <v>16</v>
      </c>
      <c r="L165" t="s">
        <v>69</v>
      </c>
      <c r="M165">
        <f>orders[[#This Row],[Ship Date]]-orders[[#This Row],[Order Date]]</f>
        <v>1</v>
      </c>
      <c r="N165">
        <f>WEEKNUM(orders[[#This Row],[Order Date]],2)</f>
        <v>2</v>
      </c>
      <c r="O165" t="str" cm="1">
        <f t="array" ref="O1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" spans="1:15" x14ac:dyDescent="0.3">
      <c r="A166" t="s">
        <v>234</v>
      </c>
      <c r="B166" t="s">
        <v>36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20</v>
      </c>
      <c r="I166" t="s">
        <v>15</v>
      </c>
      <c r="J166">
        <v>2</v>
      </c>
      <c r="K166" t="s">
        <v>16</v>
      </c>
      <c r="L166" t="s">
        <v>74</v>
      </c>
      <c r="M166">
        <f>orders[[#This Row],[Ship Date]]-orders[[#This Row],[Order Date]]</f>
        <v>3</v>
      </c>
      <c r="N166">
        <f>WEEKNUM(orders[[#This Row],[Order Date]],2)</f>
        <v>2</v>
      </c>
      <c r="O166" t="str" cm="1">
        <f t="array" ref="O1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7" spans="1:15" x14ac:dyDescent="0.3">
      <c r="A167" t="s">
        <v>235</v>
      </c>
      <c r="B167" t="s">
        <v>132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24</v>
      </c>
      <c r="I167" t="s">
        <v>37</v>
      </c>
      <c r="J167">
        <v>3</v>
      </c>
      <c r="K167" t="s">
        <v>16</v>
      </c>
      <c r="L167" t="s">
        <v>74</v>
      </c>
      <c r="M167">
        <f>orders[[#This Row],[Ship Date]]-orders[[#This Row],[Order Date]]</f>
        <v>5</v>
      </c>
      <c r="N167">
        <f>WEEKNUM(orders[[#This Row],[Order Date]],2)</f>
        <v>2</v>
      </c>
      <c r="O167" t="str" cm="1">
        <f t="array" ref="O1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8" spans="1:15" x14ac:dyDescent="0.3">
      <c r="A168" t="s">
        <v>236</v>
      </c>
      <c r="B168" t="s">
        <v>23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24</v>
      </c>
      <c r="I168" t="s">
        <v>15</v>
      </c>
      <c r="J168">
        <v>4</v>
      </c>
      <c r="K168" t="s">
        <v>16</v>
      </c>
      <c r="L168" t="s">
        <v>105</v>
      </c>
      <c r="M168">
        <f>orders[[#This Row],[Ship Date]]-orders[[#This Row],[Order Date]]</f>
        <v>2</v>
      </c>
      <c r="N168">
        <f>WEEKNUM(orders[[#This Row],[Order Date]],2)</f>
        <v>2</v>
      </c>
      <c r="O168" t="str" cm="1">
        <f t="array" ref="O1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" spans="1:15" x14ac:dyDescent="0.3">
      <c r="A169" t="s">
        <v>237</v>
      </c>
      <c r="B169" t="s">
        <v>51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24</v>
      </c>
      <c r="I169" t="s">
        <v>32</v>
      </c>
      <c r="J169">
        <v>4</v>
      </c>
      <c r="K169" t="s">
        <v>16</v>
      </c>
      <c r="L169" t="s">
        <v>105</v>
      </c>
      <c r="M169">
        <f>orders[[#This Row],[Ship Date]]-orders[[#This Row],[Order Date]]</f>
        <v>4</v>
      </c>
      <c r="N169">
        <f>WEEKNUM(orders[[#This Row],[Order Date]],2)</f>
        <v>2</v>
      </c>
      <c r="O169" t="str" cm="1">
        <f t="array" ref="O1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0" spans="1:15" x14ac:dyDescent="0.3">
      <c r="A170" t="s">
        <v>238</v>
      </c>
      <c r="B170" t="s">
        <v>51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24</v>
      </c>
      <c r="I170" t="s">
        <v>67</v>
      </c>
      <c r="J170">
        <v>3</v>
      </c>
      <c r="K170" t="s">
        <v>16</v>
      </c>
      <c r="L170" t="s">
        <v>105</v>
      </c>
      <c r="M170">
        <f>orders[[#This Row],[Ship Date]]-orders[[#This Row],[Order Date]]</f>
        <v>11</v>
      </c>
      <c r="N170">
        <f>WEEKNUM(orders[[#This Row],[Order Date]],2)</f>
        <v>2</v>
      </c>
      <c r="O170" t="str" cm="1">
        <f t="array" ref="O1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1" spans="1:15" x14ac:dyDescent="0.3">
      <c r="A171" t="s">
        <v>239</v>
      </c>
      <c r="B171" t="s">
        <v>29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24</v>
      </c>
      <c r="I171" t="s">
        <v>32</v>
      </c>
      <c r="J171">
        <v>4</v>
      </c>
      <c r="K171" t="s">
        <v>16</v>
      </c>
      <c r="L171" t="s">
        <v>240</v>
      </c>
      <c r="M171">
        <f>orders[[#This Row],[Ship Date]]-orders[[#This Row],[Order Date]]</f>
        <v>3</v>
      </c>
      <c r="N171">
        <f>WEEKNUM(orders[[#This Row],[Order Date]],2)</f>
        <v>2</v>
      </c>
      <c r="O171" t="str" cm="1">
        <f t="array" ref="O1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2" spans="1:15" x14ac:dyDescent="0.3">
      <c r="A172" t="s">
        <v>241</v>
      </c>
      <c r="B172" t="s">
        <v>34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24</v>
      </c>
      <c r="I172" t="s">
        <v>15</v>
      </c>
      <c r="J172">
        <v>5</v>
      </c>
      <c r="K172" t="s">
        <v>16</v>
      </c>
      <c r="L172" t="s">
        <v>21</v>
      </c>
      <c r="M172">
        <f>orders[[#This Row],[Ship Date]]-orders[[#This Row],[Order Date]]</f>
        <v>0</v>
      </c>
      <c r="N172">
        <f>WEEKNUM(orders[[#This Row],[Order Date]],2)</f>
        <v>2</v>
      </c>
      <c r="O172" t="str" cm="1">
        <f t="array" ref="O1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3" spans="1:15" x14ac:dyDescent="0.3">
      <c r="A173" t="s">
        <v>242</v>
      </c>
      <c r="B173" t="s">
        <v>13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20</v>
      </c>
      <c r="I173" t="s">
        <v>15</v>
      </c>
      <c r="J173">
        <v>5</v>
      </c>
      <c r="K173" t="s">
        <v>16</v>
      </c>
      <c r="L173" t="s">
        <v>25</v>
      </c>
      <c r="M173">
        <f>orders[[#This Row],[Ship Date]]-orders[[#This Row],[Order Date]]</f>
        <v>2</v>
      </c>
      <c r="N173">
        <f>WEEKNUM(orders[[#This Row],[Order Date]],2)</f>
        <v>2</v>
      </c>
      <c r="O173" t="str" cm="1">
        <f t="array" ref="O1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4" spans="1:15" x14ac:dyDescent="0.3">
      <c r="A174" t="s">
        <v>243</v>
      </c>
      <c r="B174" t="s">
        <v>51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20</v>
      </c>
      <c r="I174" t="s">
        <v>48</v>
      </c>
      <c r="J174">
        <v>5</v>
      </c>
      <c r="K174" t="s">
        <v>16</v>
      </c>
      <c r="L174" t="s">
        <v>30</v>
      </c>
      <c r="M174">
        <f>orders[[#This Row],[Ship Date]]-orders[[#This Row],[Order Date]]</f>
        <v>3</v>
      </c>
      <c r="N174">
        <f>WEEKNUM(orders[[#This Row],[Order Date]],2)</f>
        <v>2</v>
      </c>
      <c r="O174" t="str" cm="1">
        <f t="array" ref="O1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5" spans="1:15" x14ac:dyDescent="0.3">
      <c r="A175" t="s">
        <v>244</v>
      </c>
      <c r="B175" t="s">
        <v>78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24</v>
      </c>
      <c r="I175" t="s">
        <v>32</v>
      </c>
      <c r="J175">
        <v>5</v>
      </c>
      <c r="K175" t="s">
        <v>16</v>
      </c>
      <c r="L175" t="s">
        <v>30</v>
      </c>
      <c r="M175">
        <f>orders[[#This Row],[Ship Date]]-orders[[#This Row],[Order Date]]</f>
        <v>2</v>
      </c>
      <c r="N175">
        <f>WEEKNUM(orders[[#This Row],[Order Date]],2)</f>
        <v>2</v>
      </c>
      <c r="O175" t="str" cm="1">
        <f t="array" ref="O1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6" spans="1:15" x14ac:dyDescent="0.3">
      <c r="A176" t="s">
        <v>245</v>
      </c>
      <c r="B176" t="s">
        <v>51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24</v>
      </c>
      <c r="I176" t="s">
        <v>32</v>
      </c>
      <c r="J176">
        <v>5</v>
      </c>
      <c r="K176" t="s">
        <v>16</v>
      </c>
      <c r="L176" t="s">
        <v>30</v>
      </c>
      <c r="M176">
        <f>orders[[#This Row],[Ship Date]]-orders[[#This Row],[Order Date]]</f>
        <v>1</v>
      </c>
      <c r="N176">
        <f>WEEKNUM(orders[[#This Row],[Order Date]],2)</f>
        <v>2</v>
      </c>
      <c r="O176" t="str" cm="1">
        <f t="array" ref="O1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7" spans="1:15" x14ac:dyDescent="0.3">
      <c r="A177" t="s">
        <v>246</v>
      </c>
      <c r="B177" t="s">
        <v>143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24</v>
      </c>
      <c r="I177" t="s">
        <v>37</v>
      </c>
      <c r="J177">
        <v>4</v>
      </c>
      <c r="K177" t="s">
        <v>16</v>
      </c>
      <c r="L177" t="s">
        <v>30</v>
      </c>
      <c r="M177">
        <f>orders[[#This Row],[Ship Date]]-orders[[#This Row],[Order Date]]</f>
        <v>0</v>
      </c>
      <c r="N177">
        <f>WEEKNUM(orders[[#This Row],[Order Date]],2)</f>
        <v>2</v>
      </c>
      <c r="O177" t="str" cm="1">
        <f t="array" ref="O1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" spans="1:15" x14ac:dyDescent="0.3">
      <c r="A178" t="s">
        <v>247</v>
      </c>
      <c r="B178" t="s">
        <v>27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24</v>
      </c>
      <c r="I178" t="s">
        <v>37</v>
      </c>
      <c r="J178">
        <v>3</v>
      </c>
      <c r="K178" t="s">
        <v>16</v>
      </c>
      <c r="L178" t="s">
        <v>30</v>
      </c>
      <c r="M178">
        <f>orders[[#This Row],[Ship Date]]-orders[[#This Row],[Order Date]]</f>
        <v>0</v>
      </c>
      <c r="N178">
        <f>WEEKNUM(orders[[#This Row],[Order Date]],2)</f>
        <v>2</v>
      </c>
      <c r="O178" t="str" cm="1">
        <f t="array" ref="O1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9" spans="1:15" x14ac:dyDescent="0.3">
      <c r="A179" t="s">
        <v>248</v>
      </c>
      <c r="B179" t="s">
        <v>120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20</v>
      </c>
      <c r="I179" t="s">
        <v>15</v>
      </c>
      <c r="J179">
        <v>4</v>
      </c>
      <c r="K179" t="s">
        <v>16</v>
      </c>
      <c r="L179" t="s">
        <v>30</v>
      </c>
      <c r="M179">
        <f>orders[[#This Row],[Ship Date]]-orders[[#This Row],[Order Date]]</f>
        <v>1</v>
      </c>
      <c r="N179">
        <f>WEEKNUM(orders[[#This Row],[Order Date]],2)</f>
        <v>2</v>
      </c>
      <c r="O179" t="str" cm="1">
        <f t="array" ref="O1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0" spans="1:15" x14ac:dyDescent="0.3">
      <c r="A180" t="s">
        <v>249</v>
      </c>
      <c r="B180" t="s">
        <v>41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24</v>
      </c>
      <c r="I180" t="s">
        <v>67</v>
      </c>
      <c r="J180">
        <v>4</v>
      </c>
      <c r="K180" t="s">
        <v>16</v>
      </c>
      <c r="L180" t="s">
        <v>30</v>
      </c>
      <c r="M180">
        <f>orders[[#This Row],[Ship Date]]-orders[[#This Row],[Order Date]]</f>
        <v>5</v>
      </c>
      <c r="N180">
        <f>WEEKNUM(orders[[#This Row],[Order Date]],2)</f>
        <v>2</v>
      </c>
      <c r="O180" t="str" cm="1">
        <f t="array" ref="O1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1" spans="1:15" x14ac:dyDescent="0.3">
      <c r="A181" t="s">
        <v>250</v>
      </c>
      <c r="B181" t="s">
        <v>36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14</v>
      </c>
      <c r="I181" t="s">
        <v>48</v>
      </c>
      <c r="J181">
        <v>4</v>
      </c>
      <c r="K181" t="s">
        <v>16</v>
      </c>
      <c r="L181" t="s">
        <v>30</v>
      </c>
      <c r="M181">
        <f>orders[[#This Row],[Ship Date]]-orders[[#This Row],[Order Date]]</f>
        <v>4</v>
      </c>
      <c r="N181">
        <f>WEEKNUM(orders[[#This Row],[Order Date]],2)</f>
        <v>2</v>
      </c>
      <c r="O181" t="str" cm="1">
        <f t="array" ref="O18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82" spans="1:15" x14ac:dyDescent="0.3">
      <c r="A182" t="s">
        <v>251</v>
      </c>
      <c r="B182" t="s">
        <v>43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24</v>
      </c>
      <c r="I182" t="s">
        <v>37</v>
      </c>
      <c r="J182">
        <v>4</v>
      </c>
      <c r="K182" t="s">
        <v>16</v>
      </c>
      <c r="L182" t="s">
        <v>30</v>
      </c>
      <c r="M182">
        <f>orders[[#This Row],[Ship Date]]-orders[[#This Row],[Order Date]]</f>
        <v>1</v>
      </c>
      <c r="N182">
        <f>WEEKNUM(orders[[#This Row],[Order Date]],2)</f>
        <v>2</v>
      </c>
      <c r="O182" t="str" cm="1">
        <f t="array" ref="O1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3" spans="1:15" x14ac:dyDescent="0.3">
      <c r="A183" t="s">
        <v>252</v>
      </c>
      <c r="B183" t="s">
        <v>39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20</v>
      </c>
      <c r="I183" t="s">
        <v>32</v>
      </c>
      <c r="J183">
        <v>2</v>
      </c>
      <c r="K183" t="s">
        <v>16</v>
      </c>
      <c r="L183" t="s">
        <v>30</v>
      </c>
      <c r="M183">
        <f>orders[[#This Row],[Ship Date]]-orders[[#This Row],[Order Date]]</f>
        <v>1</v>
      </c>
      <c r="N183">
        <f>WEEKNUM(orders[[#This Row],[Order Date]],2)</f>
        <v>2</v>
      </c>
      <c r="O183" t="str" cm="1">
        <f t="array" ref="O18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4" spans="1:15" x14ac:dyDescent="0.3">
      <c r="A184" t="s">
        <v>253</v>
      </c>
      <c r="B184" t="s">
        <v>13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24</v>
      </c>
      <c r="I184" t="s">
        <v>37</v>
      </c>
      <c r="J184">
        <v>3</v>
      </c>
      <c r="K184" t="s">
        <v>16</v>
      </c>
      <c r="L184" t="s">
        <v>30</v>
      </c>
      <c r="M184">
        <f>orders[[#This Row],[Ship Date]]-orders[[#This Row],[Order Date]]</f>
        <v>4</v>
      </c>
      <c r="N184">
        <f>WEEKNUM(orders[[#This Row],[Order Date]],2)</f>
        <v>2</v>
      </c>
      <c r="O184" t="str" cm="1">
        <f t="array" ref="O1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" spans="1:15" x14ac:dyDescent="0.3">
      <c r="A185" t="s">
        <v>254</v>
      </c>
      <c r="B185" t="s">
        <v>13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24</v>
      </c>
      <c r="I185" t="s">
        <v>32</v>
      </c>
      <c r="J185">
        <v>4</v>
      </c>
      <c r="K185" t="s">
        <v>16</v>
      </c>
      <c r="L185" t="s">
        <v>255</v>
      </c>
      <c r="M185">
        <f>orders[[#This Row],[Ship Date]]-orders[[#This Row],[Order Date]]</f>
        <v>1</v>
      </c>
      <c r="N185">
        <f>WEEKNUM(orders[[#This Row],[Order Date]],2)</f>
        <v>2</v>
      </c>
      <c r="O185" t="str" cm="1">
        <f t="array" ref="O1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6" spans="1:15" x14ac:dyDescent="0.3">
      <c r="A186" t="s">
        <v>256</v>
      </c>
      <c r="B186" t="s">
        <v>41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20</v>
      </c>
      <c r="I186" t="s">
        <v>15</v>
      </c>
      <c r="J186">
        <v>5</v>
      </c>
      <c r="K186" t="s">
        <v>16</v>
      </c>
      <c r="L186" t="s">
        <v>155</v>
      </c>
      <c r="M186">
        <f>orders[[#This Row],[Ship Date]]-orders[[#This Row],[Order Date]]</f>
        <v>1</v>
      </c>
      <c r="N186">
        <f>WEEKNUM(orders[[#This Row],[Order Date]],2)</f>
        <v>2</v>
      </c>
      <c r="O186" t="str" cm="1">
        <f t="array" ref="O1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7" spans="1:15" x14ac:dyDescent="0.3">
      <c r="A187" t="s">
        <v>257</v>
      </c>
      <c r="B187" t="s">
        <v>41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20</v>
      </c>
      <c r="I187" t="s">
        <v>15</v>
      </c>
      <c r="J187">
        <v>4</v>
      </c>
      <c r="K187" t="s">
        <v>16</v>
      </c>
      <c r="L187" t="s">
        <v>52</v>
      </c>
      <c r="M187">
        <f>orders[[#This Row],[Ship Date]]-orders[[#This Row],[Order Date]]</f>
        <v>5</v>
      </c>
      <c r="N187">
        <f>WEEKNUM(orders[[#This Row],[Order Date]],2)</f>
        <v>2</v>
      </c>
      <c r="O187" t="str" cm="1">
        <f t="array" ref="O1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8" spans="1:15" x14ac:dyDescent="0.3">
      <c r="A188" t="s">
        <v>258</v>
      </c>
      <c r="B188" t="s">
        <v>64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24</v>
      </c>
      <c r="I188" t="s">
        <v>15</v>
      </c>
      <c r="J188">
        <v>4</v>
      </c>
      <c r="K188" t="s">
        <v>16</v>
      </c>
      <c r="L188" t="s">
        <v>59</v>
      </c>
      <c r="M188">
        <f>orders[[#This Row],[Ship Date]]-orders[[#This Row],[Order Date]]</f>
        <v>0</v>
      </c>
      <c r="N188">
        <f>WEEKNUM(orders[[#This Row],[Order Date]],2)</f>
        <v>2</v>
      </c>
      <c r="O188" t="str" cm="1">
        <f t="array" ref="O1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9" spans="1:15" x14ac:dyDescent="0.3">
      <c r="A189" t="s">
        <v>259</v>
      </c>
      <c r="B189" t="s">
        <v>41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24</v>
      </c>
      <c r="I189" t="s">
        <v>32</v>
      </c>
      <c r="J189">
        <v>5</v>
      </c>
      <c r="K189" t="s">
        <v>16</v>
      </c>
      <c r="L189" t="s">
        <v>59</v>
      </c>
      <c r="M189">
        <f>orders[[#This Row],[Ship Date]]-orders[[#This Row],[Order Date]]</f>
        <v>1</v>
      </c>
      <c r="N189">
        <f>WEEKNUM(orders[[#This Row],[Order Date]],2)</f>
        <v>2</v>
      </c>
      <c r="O189" t="str" cm="1">
        <f t="array" ref="O1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0" spans="1:15" x14ac:dyDescent="0.3">
      <c r="A190" t="s">
        <v>260</v>
      </c>
      <c r="B190" t="s">
        <v>41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20</v>
      </c>
      <c r="I190" t="s">
        <v>15</v>
      </c>
      <c r="J190">
        <v>5</v>
      </c>
      <c r="K190" t="s">
        <v>16</v>
      </c>
      <c r="L190" t="s">
        <v>59</v>
      </c>
      <c r="M190">
        <f>orders[[#This Row],[Ship Date]]-orders[[#This Row],[Order Date]]</f>
        <v>1</v>
      </c>
      <c r="N190">
        <f>WEEKNUM(orders[[#This Row],[Order Date]],2)</f>
        <v>2</v>
      </c>
      <c r="O190" t="str" cm="1">
        <f t="array" ref="O1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1" spans="1:15" x14ac:dyDescent="0.3">
      <c r="A191" t="s">
        <v>261</v>
      </c>
      <c r="B191" t="s">
        <v>66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24</v>
      </c>
      <c r="I191" t="s">
        <v>37</v>
      </c>
      <c r="J191">
        <v>5</v>
      </c>
      <c r="K191" t="s">
        <v>16</v>
      </c>
      <c r="L191" t="s">
        <v>100</v>
      </c>
      <c r="M191">
        <f>orders[[#This Row],[Ship Date]]-orders[[#This Row],[Order Date]]</f>
        <v>2</v>
      </c>
      <c r="N191">
        <f>WEEKNUM(orders[[#This Row],[Order Date]],2)</f>
        <v>2</v>
      </c>
      <c r="O191" t="str" cm="1">
        <f t="array" ref="O1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2" spans="1:15" x14ac:dyDescent="0.3">
      <c r="A192" t="s">
        <v>262</v>
      </c>
      <c r="B192" t="s">
        <v>36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14</v>
      </c>
      <c r="I192" t="s">
        <v>15</v>
      </c>
      <c r="J192">
        <v>5</v>
      </c>
      <c r="K192" t="s">
        <v>16</v>
      </c>
      <c r="L192" t="s">
        <v>71</v>
      </c>
      <c r="M192">
        <f>orders[[#This Row],[Ship Date]]-orders[[#This Row],[Order Date]]</f>
        <v>4</v>
      </c>
      <c r="N192">
        <f>WEEKNUM(orders[[#This Row],[Order Date]],2)</f>
        <v>2</v>
      </c>
      <c r="O192" t="str" cm="1">
        <f t="array" ref="O19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3" spans="1:15" x14ac:dyDescent="0.3">
      <c r="A193" t="s">
        <v>263</v>
      </c>
      <c r="B193" t="s">
        <v>51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14</v>
      </c>
      <c r="I193" t="s">
        <v>37</v>
      </c>
      <c r="J193">
        <v>5</v>
      </c>
      <c r="K193" t="s">
        <v>16</v>
      </c>
      <c r="L193" t="s">
        <v>74</v>
      </c>
      <c r="M193">
        <f>orders[[#This Row],[Ship Date]]-orders[[#This Row],[Order Date]]</f>
        <v>2</v>
      </c>
      <c r="N193">
        <f>WEEKNUM(orders[[#This Row],[Order Date]],2)</f>
        <v>2</v>
      </c>
      <c r="O193" t="str" cm="1">
        <f t="array" ref="O19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4" spans="1:15" x14ac:dyDescent="0.3">
      <c r="A194" t="s">
        <v>264</v>
      </c>
      <c r="B194" t="s">
        <v>36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20</v>
      </c>
      <c r="I194" t="s">
        <v>32</v>
      </c>
      <c r="J194">
        <v>5</v>
      </c>
      <c r="K194" t="s">
        <v>16</v>
      </c>
      <c r="L194" t="s">
        <v>265</v>
      </c>
      <c r="M194">
        <f>orders[[#This Row],[Ship Date]]-orders[[#This Row],[Order Date]]</f>
        <v>2</v>
      </c>
      <c r="N194">
        <f>WEEKNUM(orders[[#This Row],[Order Date]],2)</f>
        <v>2</v>
      </c>
      <c r="O194" t="str" cm="1">
        <f t="array" ref="O1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5" spans="1:15" x14ac:dyDescent="0.3">
      <c r="A195" t="s">
        <v>266</v>
      </c>
      <c r="B195" t="s">
        <v>143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24</v>
      </c>
      <c r="I195" t="s">
        <v>15</v>
      </c>
      <c r="J195">
        <v>5</v>
      </c>
      <c r="K195" t="s">
        <v>16</v>
      </c>
      <c r="L195" t="s">
        <v>105</v>
      </c>
      <c r="M195">
        <f>orders[[#This Row],[Ship Date]]-orders[[#This Row],[Order Date]]</f>
        <v>1</v>
      </c>
      <c r="N195">
        <f>WEEKNUM(orders[[#This Row],[Order Date]],2)</f>
        <v>2</v>
      </c>
      <c r="O195" t="str" cm="1">
        <f t="array" ref="O1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6" spans="1:15" x14ac:dyDescent="0.3">
      <c r="A196" t="s">
        <v>267</v>
      </c>
      <c r="B196" t="s">
        <v>41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24</v>
      </c>
      <c r="I196" t="s">
        <v>15</v>
      </c>
      <c r="J196">
        <v>4</v>
      </c>
      <c r="K196" t="s">
        <v>16</v>
      </c>
      <c r="L196" t="s">
        <v>107</v>
      </c>
      <c r="M196">
        <f>orders[[#This Row],[Ship Date]]-orders[[#This Row],[Order Date]]</f>
        <v>0</v>
      </c>
      <c r="N196">
        <f>WEEKNUM(orders[[#This Row],[Order Date]],2)</f>
        <v>2</v>
      </c>
      <c r="O196" t="str" cm="1">
        <f t="array" ref="O1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7" spans="1:15" x14ac:dyDescent="0.3">
      <c r="A197" t="s">
        <v>268</v>
      </c>
      <c r="B197" t="s">
        <v>13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24</v>
      </c>
      <c r="I197" t="s">
        <v>15</v>
      </c>
      <c r="J197">
        <v>4</v>
      </c>
      <c r="K197" t="s">
        <v>16</v>
      </c>
      <c r="L197" t="s">
        <v>107</v>
      </c>
      <c r="M197">
        <f>orders[[#This Row],[Ship Date]]-orders[[#This Row],[Order Date]]</f>
        <v>2</v>
      </c>
      <c r="N197">
        <f>WEEKNUM(orders[[#This Row],[Order Date]],2)</f>
        <v>2</v>
      </c>
      <c r="O197" t="str" cm="1">
        <f t="array" ref="O1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8" spans="1:15" x14ac:dyDescent="0.3">
      <c r="A198" t="s">
        <v>269</v>
      </c>
      <c r="B198" t="s">
        <v>41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24</v>
      </c>
      <c r="I198" t="s">
        <v>32</v>
      </c>
      <c r="J198">
        <v>5</v>
      </c>
      <c r="K198" t="s">
        <v>16</v>
      </c>
      <c r="L198" t="s">
        <v>107</v>
      </c>
      <c r="M198">
        <f>orders[[#This Row],[Ship Date]]-orders[[#This Row],[Order Date]]</f>
        <v>0</v>
      </c>
      <c r="N198">
        <f>WEEKNUM(orders[[#This Row],[Order Date]],2)</f>
        <v>2</v>
      </c>
      <c r="O198" t="str" cm="1">
        <f t="array" ref="O1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9" spans="1:15" x14ac:dyDescent="0.3">
      <c r="A199" t="s">
        <v>270</v>
      </c>
      <c r="B199" t="s">
        <v>51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24</v>
      </c>
      <c r="I199" t="s">
        <v>32</v>
      </c>
      <c r="J199">
        <v>4</v>
      </c>
      <c r="K199" t="s">
        <v>16</v>
      </c>
      <c r="L199" t="s">
        <v>112</v>
      </c>
      <c r="M199">
        <f>orders[[#This Row],[Ship Date]]-orders[[#This Row],[Order Date]]</f>
        <v>3</v>
      </c>
      <c r="N199">
        <f>WEEKNUM(orders[[#This Row],[Order Date]],2)</f>
        <v>2</v>
      </c>
      <c r="O199" t="str" cm="1">
        <f t="array" ref="O1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0" spans="1:15" x14ac:dyDescent="0.3">
      <c r="A200" t="s">
        <v>271</v>
      </c>
      <c r="B200" t="s">
        <v>143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20</v>
      </c>
      <c r="I200" t="s">
        <v>37</v>
      </c>
      <c r="J200">
        <v>5</v>
      </c>
      <c r="K200" t="s">
        <v>16</v>
      </c>
      <c r="L200" t="s">
        <v>21</v>
      </c>
      <c r="M200">
        <f>orders[[#This Row],[Ship Date]]-orders[[#This Row],[Order Date]]</f>
        <v>1</v>
      </c>
      <c r="N200">
        <f>WEEKNUM(orders[[#This Row],[Order Date]],2)</f>
        <v>2</v>
      </c>
      <c r="O200" t="str" cm="1">
        <f t="array" ref="O2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1" spans="1:15" x14ac:dyDescent="0.3">
      <c r="A201" t="s">
        <v>272</v>
      </c>
      <c r="B201" t="s">
        <v>34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20</v>
      </c>
      <c r="I201" t="s">
        <v>15</v>
      </c>
      <c r="J201">
        <v>5</v>
      </c>
      <c r="K201" t="s">
        <v>16</v>
      </c>
      <c r="L201" t="s">
        <v>25</v>
      </c>
      <c r="M201">
        <f>orders[[#This Row],[Ship Date]]-orders[[#This Row],[Order Date]]</f>
        <v>2</v>
      </c>
      <c r="N201">
        <f>WEEKNUM(orders[[#This Row],[Order Date]],2)</f>
        <v>2</v>
      </c>
      <c r="O201" t="str" cm="1">
        <f t="array" ref="O2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2" spans="1:15" x14ac:dyDescent="0.3">
      <c r="A202" t="s">
        <v>273</v>
      </c>
      <c r="B202" t="s">
        <v>41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20</v>
      </c>
      <c r="I202" t="s">
        <v>32</v>
      </c>
      <c r="J202">
        <v>4</v>
      </c>
      <c r="K202" t="s">
        <v>16</v>
      </c>
      <c r="L202" t="s">
        <v>30</v>
      </c>
      <c r="M202">
        <f>orders[[#This Row],[Ship Date]]-orders[[#This Row],[Order Date]]</f>
        <v>3</v>
      </c>
      <c r="N202">
        <f>WEEKNUM(orders[[#This Row],[Order Date]],2)</f>
        <v>2</v>
      </c>
      <c r="O202" t="str" cm="1">
        <f t="array" ref="O2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3" spans="1:15" x14ac:dyDescent="0.3">
      <c r="A203" t="s">
        <v>274</v>
      </c>
      <c r="B203" t="s">
        <v>39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20</v>
      </c>
      <c r="I203" t="s">
        <v>48</v>
      </c>
      <c r="J203">
        <v>5</v>
      </c>
      <c r="K203" t="s">
        <v>16</v>
      </c>
      <c r="L203" t="s">
        <v>30</v>
      </c>
      <c r="M203">
        <f>orders[[#This Row],[Ship Date]]-orders[[#This Row],[Order Date]]</f>
        <v>8</v>
      </c>
      <c r="N203">
        <f>WEEKNUM(orders[[#This Row],[Order Date]],2)</f>
        <v>2</v>
      </c>
      <c r="O203" t="str" cm="1">
        <f t="array" ref="O2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4" spans="1:15" x14ac:dyDescent="0.3">
      <c r="A204" t="s">
        <v>275</v>
      </c>
      <c r="B204" t="s">
        <v>36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24</v>
      </c>
      <c r="I204" t="s">
        <v>37</v>
      </c>
      <c r="J204">
        <v>4</v>
      </c>
      <c r="K204" t="s">
        <v>16</v>
      </c>
      <c r="L204" t="s">
        <v>30</v>
      </c>
      <c r="M204">
        <f>orders[[#This Row],[Ship Date]]-orders[[#This Row],[Order Date]]</f>
        <v>1</v>
      </c>
      <c r="N204">
        <f>WEEKNUM(orders[[#This Row],[Order Date]],2)</f>
        <v>2</v>
      </c>
      <c r="O204" t="str" cm="1">
        <f t="array" ref="O2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5" spans="1:15" x14ac:dyDescent="0.3">
      <c r="A205" t="s">
        <v>276</v>
      </c>
      <c r="B205" t="s">
        <v>39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24</v>
      </c>
      <c r="I205" t="s">
        <v>37</v>
      </c>
      <c r="J205">
        <v>5</v>
      </c>
      <c r="K205" t="s">
        <v>16</v>
      </c>
      <c r="L205" t="s">
        <v>30</v>
      </c>
      <c r="M205">
        <f>orders[[#This Row],[Ship Date]]-orders[[#This Row],[Order Date]]</f>
        <v>3</v>
      </c>
      <c r="N205">
        <f>WEEKNUM(orders[[#This Row],[Order Date]],2)</f>
        <v>2</v>
      </c>
      <c r="O205" t="str" cm="1">
        <f t="array" ref="O2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6" spans="1:15" x14ac:dyDescent="0.3">
      <c r="A206" t="s">
        <v>277</v>
      </c>
      <c r="B206" t="s">
        <v>27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24</v>
      </c>
      <c r="I206" t="s">
        <v>37</v>
      </c>
      <c r="J206">
        <v>4</v>
      </c>
      <c r="K206" t="s">
        <v>16</v>
      </c>
      <c r="L206" t="s">
        <v>30</v>
      </c>
      <c r="M206">
        <f>orders[[#This Row],[Ship Date]]-orders[[#This Row],[Order Date]]</f>
        <v>4</v>
      </c>
      <c r="N206">
        <f>WEEKNUM(orders[[#This Row],[Order Date]],2)</f>
        <v>2</v>
      </c>
      <c r="O206" t="str" cm="1">
        <f t="array" ref="O2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7" spans="1:15" x14ac:dyDescent="0.3">
      <c r="A207" t="s">
        <v>278</v>
      </c>
      <c r="B207" t="s">
        <v>23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24</v>
      </c>
      <c r="I207" t="s">
        <v>32</v>
      </c>
      <c r="J207">
        <v>4</v>
      </c>
      <c r="K207" t="s">
        <v>16</v>
      </c>
      <c r="L207" t="s">
        <v>30</v>
      </c>
      <c r="M207">
        <f>orders[[#This Row],[Ship Date]]-orders[[#This Row],[Order Date]]</f>
        <v>1</v>
      </c>
      <c r="N207">
        <f>WEEKNUM(orders[[#This Row],[Order Date]],2)</f>
        <v>2</v>
      </c>
      <c r="O207" t="str" cm="1">
        <f t="array" ref="O2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8" spans="1:15" x14ac:dyDescent="0.3">
      <c r="A208" t="s">
        <v>279</v>
      </c>
      <c r="B208" t="s">
        <v>19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24</v>
      </c>
      <c r="I208" t="s">
        <v>32</v>
      </c>
      <c r="J208">
        <v>3</v>
      </c>
      <c r="K208" t="s">
        <v>16</v>
      </c>
      <c r="L208" t="s">
        <v>30</v>
      </c>
      <c r="M208">
        <f>orders[[#This Row],[Ship Date]]-orders[[#This Row],[Order Date]]</f>
        <v>0</v>
      </c>
      <c r="N208">
        <f>WEEKNUM(orders[[#This Row],[Order Date]],2)</f>
        <v>2</v>
      </c>
      <c r="O208" t="str" cm="1">
        <f t="array" ref="O2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9" spans="1:15" x14ac:dyDescent="0.3">
      <c r="A209" t="s">
        <v>280</v>
      </c>
      <c r="B209" t="s">
        <v>132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24</v>
      </c>
      <c r="I209" t="s">
        <v>32</v>
      </c>
      <c r="J209">
        <v>4</v>
      </c>
      <c r="K209" t="s">
        <v>16</v>
      </c>
      <c r="L209" t="s">
        <v>30</v>
      </c>
      <c r="M209">
        <f>orders[[#This Row],[Ship Date]]-orders[[#This Row],[Order Date]]</f>
        <v>4</v>
      </c>
      <c r="N209">
        <f>WEEKNUM(orders[[#This Row],[Order Date]],2)</f>
        <v>2</v>
      </c>
      <c r="O209" t="str" cm="1">
        <f t="array" ref="O2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0" spans="1:15" x14ac:dyDescent="0.3">
      <c r="A210" t="s">
        <v>281</v>
      </c>
      <c r="B210" t="s">
        <v>13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24</v>
      </c>
      <c r="I210" t="s">
        <v>67</v>
      </c>
      <c r="J210">
        <v>2</v>
      </c>
      <c r="K210" t="s">
        <v>16</v>
      </c>
      <c r="L210" t="s">
        <v>30</v>
      </c>
      <c r="M210">
        <f>orders[[#This Row],[Ship Date]]-orders[[#This Row],[Order Date]]</f>
        <v>3</v>
      </c>
      <c r="N210">
        <f>WEEKNUM(orders[[#This Row],[Order Date]],2)</f>
        <v>2</v>
      </c>
      <c r="O210" t="str" cm="1">
        <f t="array" ref="O2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1" spans="1:15" x14ac:dyDescent="0.3">
      <c r="A211" t="s">
        <v>282</v>
      </c>
      <c r="B211" t="s">
        <v>41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20</v>
      </c>
      <c r="I211" t="s">
        <v>48</v>
      </c>
      <c r="J211">
        <v>5</v>
      </c>
      <c r="K211" t="s">
        <v>16</v>
      </c>
      <c r="L211" t="s">
        <v>30</v>
      </c>
      <c r="M211">
        <f>orders[[#This Row],[Ship Date]]-orders[[#This Row],[Order Date]]</f>
        <v>1</v>
      </c>
      <c r="N211">
        <f>WEEKNUM(orders[[#This Row],[Order Date]],2)</f>
        <v>2</v>
      </c>
      <c r="O211" t="str" cm="1">
        <f t="array" ref="O2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2" spans="1:15" x14ac:dyDescent="0.3">
      <c r="A212" t="s">
        <v>283</v>
      </c>
      <c r="B212" t="s">
        <v>19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24</v>
      </c>
      <c r="I212" t="s">
        <v>15</v>
      </c>
      <c r="J212">
        <v>5</v>
      </c>
      <c r="K212" t="s">
        <v>16</v>
      </c>
      <c r="L212" t="s">
        <v>52</v>
      </c>
      <c r="M212">
        <f>orders[[#This Row],[Ship Date]]-orders[[#This Row],[Order Date]]</f>
        <v>0</v>
      </c>
      <c r="N212">
        <f>WEEKNUM(orders[[#This Row],[Order Date]],2)</f>
        <v>2</v>
      </c>
      <c r="O212" t="str" cm="1">
        <f t="array" ref="O2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3" spans="1:15" x14ac:dyDescent="0.3">
      <c r="A213" t="s">
        <v>284</v>
      </c>
      <c r="B213" t="s">
        <v>19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24</v>
      </c>
      <c r="I213" t="s">
        <v>15</v>
      </c>
      <c r="J213">
        <v>4</v>
      </c>
      <c r="K213" t="s">
        <v>16</v>
      </c>
      <c r="L213" t="s">
        <v>52</v>
      </c>
      <c r="M213">
        <f>orders[[#This Row],[Ship Date]]-orders[[#This Row],[Order Date]]</f>
        <v>3</v>
      </c>
      <c r="N213">
        <f>WEEKNUM(orders[[#This Row],[Order Date]],2)</f>
        <v>2</v>
      </c>
      <c r="O213" t="str" cm="1">
        <f t="array" ref="O2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4" spans="1:15" x14ac:dyDescent="0.3">
      <c r="A214" t="s">
        <v>285</v>
      </c>
      <c r="B214" t="s">
        <v>23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20</v>
      </c>
      <c r="I214" t="s">
        <v>15</v>
      </c>
      <c r="J214">
        <v>3</v>
      </c>
      <c r="K214" t="s">
        <v>16</v>
      </c>
      <c r="L214" t="s">
        <v>59</v>
      </c>
      <c r="M214">
        <f>orders[[#This Row],[Ship Date]]-orders[[#This Row],[Order Date]]</f>
        <v>1</v>
      </c>
      <c r="N214">
        <f>WEEKNUM(orders[[#This Row],[Order Date]],2)</f>
        <v>2</v>
      </c>
      <c r="O214" t="str" cm="1">
        <f t="array" ref="O2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5" spans="1:15" x14ac:dyDescent="0.3">
      <c r="A215" t="s">
        <v>286</v>
      </c>
      <c r="B215" t="s">
        <v>43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24</v>
      </c>
      <c r="I215" t="s">
        <v>15</v>
      </c>
      <c r="J215">
        <v>4</v>
      </c>
      <c r="K215" t="s">
        <v>16</v>
      </c>
      <c r="L215" t="s">
        <v>69</v>
      </c>
      <c r="M215">
        <f>orders[[#This Row],[Ship Date]]-orders[[#This Row],[Order Date]]</f>
        <v>0</v>
      </c>
      <c r="N215">
        <f>WEEKNUM(orders[[#This Row],[Order Date]],2)</f>
        <v>2</v>
      </c>
      <c r="O215" t="str" cm="1">
        <f t="array" ref="O2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6" spans="1:15" x14ac:dyDescent="0.3">
      <c r="A216" t="s">
        <v>287</v>
      </c>
      <c r="B216" t="s">
        <v>125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24</v>
      </c>
      <c r="I216" t="s">
        <v>32</v>
      </c>
      <c r="J216">
        <v>3</v>
      </c>
      <c r="K216" t="s">
        <v>16</v>
      </c>
      <c r="L216" t="s">
        <v>105</v>
      </c>
      <c r="M216">
        <f>orders[[#This Row],[Ship Date]]-orders[[#This Row],[Order Date]]</f>
        <v>2</v>
      </c>
      <c r="N216">
        <f>WEEKNUM(orders[[#This Row],[Order Date]],2)</f>
        <v>2</v>
      </c>
      <c r="O216" t="str" cm="1">
        <f t="array" ref="O2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7" spans="1:15" x14ac:dyDescent="0.3">
      <c r="A217" t="s">
        <v>288</v>
      </c>
      <c r="B217" t="s">
        <v>36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24</v>
      </c>
      <c r="I217" t="s">
        <v>15</v>
      </c>
      <c r="J217">
        <v>5</v>
      </c>
      <c r="K217" t="s">
        <v>16</v>
      </c>
      <c r="L217" t="s">
        <v>289</v>
      </c>
      <c r="M217">
        <f>orders[[#This Row],[Ship Date]]-orders[[#This Row],[Order Date]]</f>
        <v>2</v>
      </c>
      <c r="N217">
        <f>WEEKNUM(orders[[#This Row],[Order Date]],2)</f>
        <v>2</v>
      </c>
      <c r="O217" t="str" cm="1">
        <f t="array" ref="O2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8" spans="1:15" x14ac:dyDescent="0.3">
      <c r="A218" t="s">
        <v>290</v>
      </c>
      <c r="B218" t="s">
        <v>19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24</v>
      </c>
      <c r="I218" t="s">
        <v>67</v>
      </c>
      <c r="J218">
        <v>5</v>
      </c>
      <c r="K218" t="s">
        <v>16</v>
      </c>
      <c r="L218" t="s">
        <v>112</v>
      </c>
      <c r="M218">
        <f>orders[[#This Row],[Ship Date]]-orders[[#This Row],[Order Date]]</f>
        <v>4</v>
      </c>
      <c r="N218">
        <f>WEEKNUM(orders[[#This Row],[Order Date]],2)</f>
        <v>2</v>
      </c>
      <c r="O218" t="str" cm="1">
        <f t="array" ref="O2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9" spans="1:15" x14ac:dyDescent="0.3">
      <c r="A219" t="s">
        <v>291</v>
      </c>
      <c r="B219" t="s">
        <v>41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20</v>
      </c>
      <c r="I219" t="s">
        <v>15</v>
      </c>
      <c r="J219">
        <v>3</v>
      </c>
      <c r="K219" t="s">
        <v>16</v>
      </c>
      <c r="L219" t="s">
        <v>112</v>
      </c>
      <c r="M219">
        <f>orders[[#This Row],[Ship Date]]-orders[[#This Row],[Order Date]]</f>
        <v>1</v>
      </c>
      <c r="N219">
        <f>WEEKNUM(orders[[#This Row],[Order Date]],2)</f>
        <v>2</v>
      </c>
      <c r="O219" t="str" cm="1">
        <f t="array" ref="O2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0" spans="1:15" x14ac:dyDescent="0.3">
      <c r="A220" t="s">
        <v>292</v>
      </c>
      <c r="B220" t="s">
        <v>34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24</v>
      </c>
      <c r="I220" t="s">
        <v>32</v>
      </c>
      <c r="J220">
        <v>4</v>
      </c>
      <c r="K220" t="s">
        <v>16</v>
      </c>
      <c r="L220" t="s">
        <v>25</v>
      </c>
      <c r="M220">
        <f>orders[[#This Row],[Ship Date]]-orders[[#This Row],[Order Date]]</f>
        <v>3</v>
      </c>
      <c r="N220">
        <f>WEEKNUM(orders[[#This Row],[Order Date]],2)</f>
        <v>2</v>
      </c>
      <c r="O220" t="str" cm="1">
        <f t="array" ref="O2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1" spans="1:15" x14ac:dyDescent="0.3">
      <c r="A221" t="s">
        <v>293</v>
      </c>
      <c r="B221" t="s">
        <v>36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20</v>
      </c>
      <c r="I221" t="s">
        <v>48</v>
      </c>
      <c r="J221">
        <v>4</v>
      </c>
      <c r="K221" t="s">
        <v>16</v>
      </c>
      <c r="L221" t="s">
        <v>30</v>
      </c>
      <c r="M221">
        <f>orders[[#This Row],[Ship Date]]-orders[[#This Row],[Order Date]]</f>
        <v>1</v>
      </c>
      <c r="N221">
        <f>WEEKNUM(orders[[#This Row],[Order Date]],2)</f>
        <v>2</v>
      </c>
      <c r="O221" t="str" cm="1">
        <f t="array" ref="O2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2" spans="1:15" x14ac:dyDescent="0.3">
      <c r="A222" t="s">
        <v>294</v>
      </c>
      <c r="B222" t="s">
        <v>36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14</v>
      </c>
      <c r="I222" t="s">
        <v>15</v>
      </c>
      <c r="J222">
        <v>5</v>
      </c>
      <c r="K222" t="s">
        <v>16</v>
      </c>
      <c r="L222" t="s">
        <v>30</v>
      </c>
      <c r="M222">
        <f>orders[[#This Row],[Ship Date]]-orders[[#This Row],[Order Date]]</f>
        <v>4</v>
      </c>
      <c r="N222">
        <f>WEEKNUM(orders[[#This Row],[Order Date]],2)</f>
        <v>2</v>
      </c>
      <c r="O222" t="str" cm="1">
        <f t="array" ref="O22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23" spans="1:15" x14ac:dyDescent="0.3">
      <c r="A223" t="s">
        <v>295</v>
      </c>
      <c r="B223" t="s">
        <v>34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20</v>
      </c>
      <c r="I223" t="s">
        <v>32</v>
      </c>
      <c r="J223">
        <v>4</v>
      </c>
      <c r="K223" t="s">
        <v>16</v>
      </c>
      <c r="L223" t="s">
        <v>30</v>
      </c>
      <c r="M223">
        <f>orders[[#This Row],[Ship Date]]-orders[[#This Row],[Order Date]]</f>
        <v>2</v>
      </c>
      <c r="N223">
        <f>WEEKNUM(orders[[#This Row],[Order Date]],2)</f>
        <v>2</v>
      </c>
      <c r="O223" t="str" cm="1">
        <f t="array" ref="O2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4" spans="1:15" x14ac:dyDescent="0.3">
      <c r="A224" t="s">
        <v>296</v>
      </c>
      <c r="B224" t="s">
        <v>66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24</v>
      </c>
      <c r="I224" t="s">
        <v>37</v>
      </c>
      <c r="J224">
        <v>4</v>
      </c>
      <c r="K224" t="s">
        <v>16</v>
      </c>
      <c r="L224" t="s">
        <v>30</v>
      </c>
      <c r="M224">
        <f>orders[[#This Row],[Ship Date]]-orders[[#This Row],[Order Date]]</f>
        <v>1</v>
      </c>
      <c r="N224">
        <f>WEEKNUM(orders[[#This Row],[Order Date]],2)</f>
        <v>2</v>
      </c>
      <c r="O224" t="str" cm="1">
        <f t="array" ref="O2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5" spans="1:15" x14ac:dyDescent="0.3">
      <c r="A225" t="s">
        <v>297</v>
      </c>
      <c r="B225" t="s">
        <v>23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24</v>
      </c>
      <c r="I225" t="s">
        <v>15</v>
      </c>
      <c r="J225">
        <v>4</v>
      </c>
      <c r="K225" t="s">
        <v>16</v>
      </c>
      <c r="L225" t="s">
        <v>46</v>
      </c>
      <c r="M225">
        <f>orders[[#This Row],[Ship Date]]-orders[[#This Row],[Order Date]]</f>
        <v>4</v>
      </c>
      <c r="N225">
        <f>WEEKNUM(orders[[#This Row],[Order Date]],2)</f>
        <v>2</v>
      </c>
      <c r="O225" t="str" cm="1">
        <f t="array" ref="O2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6" spans="1:15" x14ac:dyDescent="0.3">
      <c r="A226" t="s">
        <v>298</v>
      </c>
      <c r="B226" t="s">
        <v>73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20</v>
      </c>
      <c r="I226" t="s">
        <v>32</v>
      </c>
      <c r="J226">
        <v>4</v>
      </c>
      <c r="K226" t="s">
        <v>16</v>
      </c>
      <c r="L226" t="s">
        <v>52</v>
      </c>
      <c r="M226">
        <f>orders[[#This Row],[Ship Date]]-orders[[#This Row],[Order Date]]</f>
        <v>5</v>
      </c>
      <c r="N226">
        <f>WEEKNUM(orders[[#This Row],[Order Date]],2)</f>
        <v>2</v>
      </c>
      <c r="O226" t="str" cm="1">
        <f t="array" ref="O2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7" spans="1:15" x14ac:dyDescent="0.3">
      <c r="A227" t="s">
        <v>299</v>
      </c>
      <c r="B227" t="s">
        <v>143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24</v>
      </c>
      <c r="I227" t="s">
        <v>32</v>
      </c>
      <c r="J227">
        <v>4</v>
      </c>
      <c r="K227" t="s">
        <v>16</v>
      </c>
      <c r="L227" t="s">
        <v>52</v>
      </c>
      <c r="M227">
        <f>orders[[#This Row],[Ship Date]]-orders[[#This Row],[Order Date]]</f>
        <v>0</v>
      </c>
      <c r="N227">
        <f>WEEKNUM(orders[[#This Row],[Order Date]],2)</f>
        <v>2</v>
      </c>
      <c r="O227" t="str" cm="1">
        <f t="array" ref="O2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8" spans="1:15" x14ac:dyDescent="0.3">
      <c r="A228" t="s">
        <v>300</v>
      </c>
      <c r="B228" t="s">
        <v>43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20</v>
      </c>
      <c r="I228" t="s">
        <v>48</v>
      </c>
      <c r="J228">
        <v>4</v>
      </c>
      <c r="K228" t="s">
        <v>16</v>
      </c>
      <c r="L228" t="s">
        <v>59</v>
      </c>
      <c r="M228">
        <f>orders[[#This Row],[Ship Date]]-orders[[#This Row],[Order Date]]</f>
        <v>5</v>
      </c>
      <c r="N228">
        <f>WEEKNUM(orders[[#This Row],[Order Date]],2)</f>
        <v>2</v>
      </c>
      <c r="O228" t="str" cm="1">
        <f t="array" ref="O2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9" spans="1:15" x14ac:dyDescent="0.3">
      <c r="A229" t="s">
        <v>301</v>
      </c>
      <c r="B229" t="s">
        <v>64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24</v>
      </c>
      <c r="I229" t="s">
        <v>15</v>
      </c>
      <c r="J229">
        <v>5</v>
      </c>
      <c r="K229" t="s">
        <v>16</v>
      </c>
      <c r="L229" t="s">
        <v>59</v>
      </c>
      <c r="M229">
        <f>orders[[#This Row],[Ship Date]]-orders[[#This Row],[Order Date]]</f>
        <v>5</v>
      </c>
      <c r="N229">
        <f>WEEKNUM(orders[[#This Row],[Order Date]],2)</f>
        <v>2</v>
      </c>
      <c r="O229" t="str" cm="1">
        <f t="array" ref="O2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0" spans="1:15" x14ac:dyDescent="0.3">
      <c r="A230" t="s">
        <v>302</v>
      </c>
      <c r="B230" t="s">
        <v>41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24</v>
      </c>
      <c r="I230" t="s">
        <v>48</v>
      </c>
      <c r="J230">
        <v>3</v>
      </c>
      <c r="K230" t="s">
        <v>16</v>
      </c>
      <c r="L230" t="s">
        <v>59</v>
      </c>
      <c r="M230">
        <f>orders[[#This Row],[Ship Date]]-orders[[#This Row],[Order Date]]</f>
        <v>5</v>
      </c>
      <c r="N230">
        <f>WEEKNUM(orders[[#This Row],[Order Date]],2)</f>
        <v>2</v>
      </c>
      <c r="O230" t="str" cm="1">
        <f t="array" ref="O2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1" spans="1:15" x14ac:dyDescent="0.3">
      <c r="A231" t="s">
        <v>303</v>
      </c>
      <c r="B231" t="s">
        <v>51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20</v>
      </c>
      <c r="I231" t="s">
        <v>37</v>
      </c>
      <c r="J231">
        <v>4</v>
      </c>
      <c r="K231" t="s">
        <v>16</v>
      </c>
      <c r="L231" t="s">
        <v>74</v>
      </c>
      <c r="M231">
        <f>orders[[#This Row],[Ship Date]]-orders[[#This Row],[Order Date]]</f>
        <v>1</v>
      </c>
      <c r="N231">
        <f>WEEKNUM(orders[[#This Row],[Order Date]],2)</f>
        <v>2</v>
      </c>
      <c r="O231" t="str" cm="1">
        <f t="array" ref="O2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2" spans="1:15" x14ac:dyDescent="0.3">
      <c r="A232" t="s">
        <v>304</v>
      </c>
      <c r="B232" t="s">
        <v>36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24</v>
      </c>
      <c r="I232" t="s">
        <v>15</v>
      </c>
      <c r="J232">
        <v>4</v>
      </c>
      <c r="K232" t="s">
        <v>16</v>
      </c>
      <c r="L232" t="s">
        <v>74</v>
      </c>
      <c r="M232">
        <f>orders[[#This Row],[Ship Date]]-orders[[#This Row],[Order Date]]</f>
        <v>4</v>
      </c>
      <c r="N232">
        <f>WEEKNUM(orders[[#This Row],[Order Date]],2)</f>
        <v>2</v>
      </c>
      <c r="O232" t="str" cm="1">
        <f t="array" ref="O2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3" spans="1:15" x14ac:dyDescent="0.3">
      <c r="A233" t="s">
        <v>305</v>
      </c>
      <c r="B233" t="s">
        <v>39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24</v>
      </c>
      <c r="I233" t="s">
        <v>37</v>
      </c>
      <c r="J233">
        <v>4</v>
      </c>
      <c r="K233" t="s">
        <v>16</v>
      </c>
      <c r="L233" t="s">
        <v>306</v>
      </c>
      <c r="M233">
        <f>orders[[#This Row],[Ship Date]]-orders[[#This Row],[Order Date]]</f>
        <v>1</v>
      </c>
      <c r="N233">
        <f>WEEKNUM(orders[[#This Row],[Order Date]],2)</f>
        <v>2</v>
      </c>
      <c r="O233" t="str" cm="1">
        <f t="array" ref="O2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4" spans="1:15" x14ac:dyDescent="0.3">
      <c r="A234" t="s">
        <v>307</v>
      </c>
      <c r="B234" t="s">
        <v>143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20</v>
      </c>
      <c r="I234" t="s">
        <v>32</v>
      </c>
      <c r="J234">
        <v>3</v>
      </c>
      <c r="K234" t="s">
        <v>16</v>
      </c>
      <c r="L234" t="s">
        <v>105</v>
      </c>
      <c r="M234">
        <f>orders[[#This Row],[Ship Date]]-orders[[#This Row],[Order Date]]</f>
        <v>0</v>
      </c>
      <c r="N234">
        <f>WEEKNUM(orders[[#This Row],[Order Date]],2)</f>
        <v>2</v>
      </c>
      <c r="O234" t="str" cm="1">
        <f t="array" ref="O2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5" spans="1:15" x14ac:dyDescent="0.3">
      <c r="A235" t="s">
        <v>308</v>
      </c>
      <c r="B235" t="s">
        <v>41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24</v>
      </c>
      <c r="I235" t="s">
        <v>15</v>
      </c>
      <c r="J235">
        <v>5</v>
      </c>
      <c r="K235" t="s">
        <v>16</v>
      </c>
      <c r="L235" t="s">
        <v>110</v>
      </c>
      <c r="M235">
        <f>orders[[#This Row],[Ship Date]]-orders[[#This Row],[Order Date]]</f>
        <v>3</v>
      </c>
      <c r="N235">
        <f>WEEKNUM(orders[[#This Row],[Order Date]],2)</f>
        <v>2</v>
      </c>
      <c r="O235" t="str" cm="1">
        <f t="array" ref="O2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6" spans="1:15" x14ac:dyDescent="0.3">
      <c r="A236" t="s">
        <v>309</v>
      </c>
      <c r="B236" t="s">
        <v>168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20</v>
      </c>
      <c r="I236" t="s">
        <v>67</v>
      </c>
      <c r="J236">
        <v>4</v>
      </c>
      <c r="K236" t="s">
        <v>16</v>
      </c>
      <c r="L236" t="s">
        <v>21</v>
      </c>
      <c r="M236">
        <f>orders[[#This Row],[Ship Date]]-orders[[#This Row],[Order Date]]</f>
        <v>1</v>
      </c>
      <c r="N236">
        <f>WEEKNUM(orders[[#This Row],[Order Date]],2)</f>
        <v>2</v>
      </c>
      <c r="O236" t="str" cm="1">
        <f t="array" ref="O2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7" spans="1:15" x14ac:dyDescent="0.3">
      <c r="A237" t="s">
        <v>310</v>
      </c>
      <c r="B237" t="s">
        <v>13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24</v>
      </c>
      <c r="I237" t="s">
        <v>32</v>
      </c>
      <c r="J237">
        <v>5</v>
      </c>
      <c r="K237" t="s">
        <v>16</v>
      </c>
      <c r="L237" t="s">
        <v>144</v>
      </c>
      <c r="M237">
        <f>orders[[#This Row],[Ship Date]]-orders[[#This Row],[Order Date]]</f>
        <v>0</v>
      </c>
      <c r="N237">
        <f>WEEKNUM(orders[[#This Row],[Order Date]],2)</f>
        <v>2</v>
      </c>
      <c r="O237" t="str" cm="1">
        <f t="array" ref="O23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8" spans="1:15" x14ac:dyDescent="0.3">
      <c r="A238" t="s">
        <v>311</v>
      </c>
      <c r="B238" t="s">
        <v>36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24</v>
      </c>
      <c r="I238" t="s">
        <v>15</v>
      </c>
      <c r="J238">
        <v>5</v>
      </c>
      <c r="K238" t="s">
        <v>16</v>
      </c>
      <c r="L238" t="s">
        <v>30</v>
      </c>
      <c r="M238">
        <f>orders[[#This Row],[Ship Date]]-orders[[#This Row],[Order Date]]</f>
        <v>2</v>
      </c>
      <c r="N238">
        <f>WEEKNUM(orders[[#This Row],[Order Date]],2)</f>
        <v>2</v>
      </c>
      <c r="O238" t="str" cm="1">
        <f t="array" ref="O2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9" spans="1:15" x14ac:dyDescent="0.3">
      <c r="A239" t="s">
        <v>312</v>
      </c>
      <c r="B239" t="s">
        <v>51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24</v>
      </c>
      <c r="I239" t="s">
        <v>15</v>
      </c>
      <c r="J239">
        <v>4</v>
      </c>
      <c r="K239" t="s">
        <v>16</v>
      </c>
      <c r="L239" t="s">
        <v>30</v>
      </c>
      <c r="M239">
        <f>orders[[#This Row],[Ship Date]]-orders[[#This Row],[Order Date]]</f>
        <v>1</v>
      </c>
      <c r="N239">
        <f>WEEKNUM(orders[[#This Row],[Order Date]],2)</f>
        <v>2</v>
      </c>
      <c r="O239" t="str" cm="1">
        <f t="array" ref="O2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40" spans="1:15" x14ac:dyDescent="0.3">
      <c r="A240" t="s">
        <v>313</v>
      </c>
      <c r="B240" t="s">
        <v>36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20</v>
      </c>
      <c r="I240" t="s">
        <v>67</v>
      </c>
      <c r="J240">
        <v>3</v>
      </c>
      <c r="K240" t="s">
        <v>16</v>
      </c>
      <c r="L240" t="s">
        <v>30</v>
      </c>
      <c r="M240">
        <f>orders[[#This Row],[Ship Date]]-orders[[#This Row],[Order Date]]</f>
        <v>4</v>
      </c>
      <c r="N240">
        <f>WEEKNUM(orders[[#This Row],[Order Date]],2)</f>
        <v>2</v>
      </c>
      <c r="O240" t="str" cm="1">
        <f t="array" ref="O2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41" spans="1:15" x14ac:dyDescent="0.3">
      <c r="A241" t="s">
        <v>314</v>
      </c>
      <c r="B241" t="s">
        <v>19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24</v>
      </c>
      <c r="I241" t="s">
        <v>32</v>
      </c>
      <c r="J241">
        <v>4</v>
      </c>
      <c r="K241" t="s">
        <v>16</v>
      </c>
      <c r="L241" t="s">
        <v>30</v>
      </c>
      <c r="M241">
        <f>orders[[#This Row],[Ship Date]]-orders[[#This Row],[Order Date]]</f>
        <v>2</v>
      </c>
      <c r="N241">
        <f>WEEKNUM(orders[[#This Row],[Order Date]],2)</f>
        <v>2</v>
      </c>
      <c r="O241" t="str" cm="1">
        <f t="array" ref="O2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42" spans="1:15" x14ac:dyDescent="0.3">
      <c r="A242" t="s">
        <v>315</v>
      </c>
      <c r="B242" t="s">
        <v>66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24</v>
      </c>
      <c r="I242" t="s">
        <v>15</v>
      </c>
      <c r="J242">
        <v>5</v>
      </c>
      <c r="K242" t="s">
        <v>16</v>
      </c>
      <c r="L242" t="s">
        <v>255</v>
      </c>
      <c r="M242">
        <f>orders[[#This Row],[Ship Date]]-orders[[#This Row],[Order Date]]</f>
        <v>3</v>
      </c>
      <c r="N242">
        <f>WEEKNUM(orders[[#This Row],[Order Date]],2)</f>
        <v>2</v>
      </c>
      <c r="O242" t="str" cm="1">
        <f t="array" ref="O24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43" spans="1:15" x14ac:dyDescent="0.3">
      <c r="A243" t="s">
        <v>316</v>
      </c>
      <c r="B243" t="s">
        <v>23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20</v>
      </c>
      <c r="I243" t="s">
        <v>37</v>
      </c>
      <c r="J243">
        <v>5</v>
      </c>
      <c r="K243" t="s">
        <v>16</v>
      </c>
      <c r="L243" t="s">
        <v>52</v>
      </c>
      <c r="M243">
        <f>orders[[#This Row],[Ship Date]]-orders[[#This Row],[Order Date]]</f>
        <v>0</v>
      </c>
      <c r="N243">
        <f>WEEKNUM(orders[[#This Row],[Order Date]],2)</f>
        <v>2</v>
      </c>
      <c r="O243" t="str" cm="1">
        <f t="array" ref="O2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44" spans="1:15" x14ac:dyDescent="0.3">
      <c r="A244" t="s">
        <v>317</v>
      </c>
      <c r="B244" t="s">
        <v>34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20</v>
      </c>
      <c r="I244" t="s">
        <v>48</v>
      </c>
      <c r="J244">
        <v>4</v>
      </c>
      <c r="K244" t="s">
        <v>16</v>
      </c>
      <c r="L244" t="s">
        <v>52</v>
      </c>
      <c r="M244">
        <f>orders[[#This Row],[Ship Date]]-orders[[#This Row],[Order Date]]</f>
        <v>2</v>
      </c>
      <c r="N244">
        <f>WEEKNUM(orders[[#This Row],[Order Date]],2)</f>
        <v>2</v>
      </c>
      <c r="O244" t="str" cm="1">
        <f t="array" ref="O2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45" spans="1:15" x14ac:dyDescent="0.3">
      <c r="A245" t="s">
        <v>318</v>
      </c>
      <c r="B245" t="s">
        <v>29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20</v>
      </c>
      <c r="I245" t="s">
        <v>15</v>
      </c>
      <c r="J245">
        <v>3</v>
      </c>
      <c r="K245" t="s">
        <v>16</v>
      </c>
      <c r="L245" t="s">
        <v>59</v>
      </c>
      <c r="M245">
        <f>orders[[#This Row],[Ship Date]]-orders[[#This Row],[Order Date]]</f>
        <v>3</v>
      </c>
      <c r="N245">
        <f>WEEKNUM(orders[[#This Row],[Order Date]],2)</f>
        <v>2</v>
      </c>
      <c r="O245" t="str" cm="1">
        <f t="array" ref="O24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46" spans="1:15" x14ac:dyDescent="0.3">
      <c r="A246" t="s">
        <v>319</v>
      </c>
      <c r="B246" t="s">
        <v>36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24</v>
      </c>
      <c r="I246" t="s">
        <v>32</v>
      </c>
      <c r="J246">
        <v>5</v>
      </c>
      <c r="K246" t="s">
        <v>16</v>
      </c>
      <c r="L246" t="s">
        <v>59</v>
      </c>
      <c r="M246">
        <f>orders[[#This Row],[Ship Date]]-orders[[#This Row],[Order Date]]</f>
        <v>4</v>
      </c>
      <c r="N246">
        <f>WEEKNUM(orders[[#This Row],[Order Date]],2)</f>
        <v>2</v>
      </c>
      <c r="O246" t="str" cm="1">
        <f t="array" ref="O2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47" spans="1:15" x14ac:dyDescent="0.3">
      <c r="A247" t="s">
        <v>320</v>
      </c>
      <c r="B247" t="s">
        <v>41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20</v>
      </c>
      <c r="I247" t="s">
        <v>32</v>
      </c>
      <c r="J247">
        <v>3</v>
      </c>
      <c r="K247" t="s">
        <v>16</v>
      </c>
      <c r="L247" t="s">
        <v>69</v>
      </c>
      <c r="M247">
        <f>orders[[#This Row],[Ship Date]]-orders[[#This Row],[Order Date]]</f>
        <v>1</v>
      </c>
      <c r="N247">
        <f>WEEKNUM(orders[[#This Row],[Order Date]],2)</f>
        <v>2</v>
      </c>
      <c r="O247" t="str" cm="1">
        <f t="array" ref="O24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48" spans="1:15" x14ac:dyDescent="0.3">
      <c r="A248" t="s">
        <v>321</v>
      </c>
      <c r="B248" t="s">
        <v>19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20</v>
      </c>
      <c r="I248" t="s">
        <v>37</v>
      </c>
      <c r="J248">
        <v>4</v>
      </c>
      <c r="K248" t="s">
        <v>16</v>
      </c>
      <c r="L248" t="s">
        <v>71</v>
      </c>
      <c r="M248">
        <f>orders[[#This Row],[Ship Date]]-orders[[#This Row],[Order Date]]</f>
        <v>3</v>
      </c>
      <c r="N248">
        <f>WEEKNUM(orders[[#This Row],[Order Date]],2)</f>
        <v>2</v>
      </c>
      <c r="O248" t="str" cm="1">
        <f t="array" ref="O2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49" spans="1:15" x14ac:dyDescent="0.3">
      <c r="A249" t="s">
        <v>322</v>
      </c>
      <c r="B249" t="s">
        <v>36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20</v>
      </c>
      <c r="I249" t="s">
        <v>15</v>
      </c>
      <c r="J249">
        <v>4</v>
      </c>
      <c r="K249" t="s">
        <v>16</v>
      </c>
      <c r="L249" t="s">
        <v>74</v>
      </c>
      <c r="M249">
        <f>orders[[#This Row],[Ship Date]]-orders[[#This Row],[Order Date]]</f>
        <v>1</v>
      </c>
      <c r="N249">
        <f>WEEKNUM(orders[[#This Row],[Order Date]],2)</f>
        <v>2</v>
      </c>
      <c r="O249" t="str" cm="1">
        <f t="array" ref="O2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50" spans="1:15" x14ac:dyDescent="0.3">
      <c r="A250" t="s">
        <v>323</v>
      </c>
      <c r="B250" t="s">
        <v>13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24</v>
      </c>
      <c r="I250" t="s">
        <v>15</v>
      </c>
      <c r="J250">
        <v>4</v>
      </c>
      <c r="K250" t="s">
        <v>16</v>
      </c>
      <c r="L250" t="s">
        <v>112</v>
      </c>
      <c r="M250">
        <f>orders[[#This Row],[Ship Date]]-orders[[#This Row],[Order Date]]</f>
        <v>1</v>
      </c>
      <c r="N250">
        <f>WEEKNUM(orders[[#This Row],[Order Date]],2)</f>
        <v>2</v>
      </c>
      <c r="O250" t="str" cm="1">
        <f t="array" ref="O2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51" spans="1:15" x14ac:dyDescent="0.3">
      <c r="A251" t="s">
        <v>324</v>
      </c>
      <c r="B251" t="s">
        <v>23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24</v>
      </c>
      <c r="I251" t="s">
        <v>15</v>
      </c>
      <c r="J251">
        <v>4</v>
      </c>
      <c r="K251" t="s">
        <v>16</v>
      </c>
      <c r="L251" t="s">
        <v>112</v>
      </c>
      <c r="M251">
        <f>orders[[#This Row],[Ship Date]]-orders[[#This Row],[Order Date]]</f>
        <v>14</v>
      </c>
      <c r="N251">
        <f>WEEKNUM(orders[[#This Row],[Order Date]],2)</f>
        <v>2</v>
      </c>
      <c r="O251" t="str" cm="1">
        <f t="array" ref="O2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52" spans="1:15" x14ac:dyDescent="0.3">
      <c r="A252" t="s">
        <v>325</v>
      </c>
      <c r="B252" t="s">
        <v>23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20</v>
      </c>
      <c r="I252" t="s">
        <v>67</v>
      </c>
      <c r="J252">
        <v>3</v>
      </c>
      <c r="K252" t="s">
        <v>16</v>
      </c>
      <c r="L252" t="s">
        <v>112</v>
      </c>
      <c r="M252">
        <f>orders[[#This Row],[Ship Date]]-orders[[#This Row],[Order Date]]</f>
        <v>2</v>
      </c>
      <c r="N252">
        <f>WEEKNUM(orders[[#This Row],[Order Date]],2)</f>
        <v>2</v>
      </c>
      <c r="O252" t="str" cm="1">
        <f t="array" ref="O2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53" spans="1:15" x14ac:dyDescent="0.3">
      <c r="A253" t="s">
        <v>326</v>
      </c>
      <c r="B253" t="s">
        <v>66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20</v>
      </c>
      <c r="I253" t="s">
        <v>32</v>
      </c>
      <c r="J253">
        <v>5</v>
      </c>
      <c r="K253" t="s">
        <v>16</v>
      </c>
      <c r="L253" t="s">
        <v>25</v>
      </c>
      <c r="M253">
        <f>orders[[#This Row],[Ship Date]]-orders[[#This Row],[Order Date]]</f>
        <v>4</v>
      </c>
      <c r="N253">
        <f>WEEKNUM(orders[[#This Row],[Order Date]],2)</f>
        <v>2</v>
      </c>
      <c r="O253" t="str" cm="1">
        <f t="array" ref="O25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54" spans="1:15" x14ac:dyDescent="0.3">
      <c r="A254" t="s">
        <v>327</v>
      </c>
      <c r="B254" t="s">
        <v>143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86</v>
      </c>
      <c r="I254" t="s">
        <v>32</v>
      </c>
      <c r="J254">
        <v>4</v>
      </c>
      <c r="K254" t="s">
        <v>16</v>
      </c>
      <c r="L254" t="s">
        <v>328</v>
      </c>
      <c r="M254">
        <f>orders[[#This Row],[Ship Date]]-orders[[#This Row],[Order Date]]</f>
        <v>1</v>
      </c>
      <c r="N254">
        <f>WEEKNUM(orders[[#This Row],[Order Date]],2)</f>
        <v>2</v>
      </c>
      <c r="O254" t="str" cm="1">
        <f t="array" ref="O25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55" spans="1:15" x14ac:dyDescent="0.3">
      <c r="A255" t="s">
        <v>329</v>
      </c>
      <c r="B255" t="s">
        <v>13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20</v>
      </c>
      <c r="I255" t="s">
        <v>32</v>
      </c>
      <c r="J255">
        <v>3</v>
      </c>
      <c r="K255" t="s">
        <v>16</v>
      </c>
      <c r="L255" t="s">
        <v>144</v>
      </c>
      <c r="M255">
        <f>orders[[#This Row],[Ship Date]]-orders[[#This Row],[Order Date]]</f>
        <v>1</v>
      </c>
      <c r="N255">
        <f>WEEKNUM(orders[[#This Row],[Order Date]],2)</f>
        <v>2</v>
      </c>
      <c r="O255" t="str" cm="1">
        <f t="array" ref="O2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56" spans="1:15" x14ac:dyDescent="0.3">
      <c r="A256" t="s">
        <v>330</v>
      </c>
      <c r="B256" t="s">
        <v>39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20</v>
      </c>
      <c r="I256" t="s">
        <v>15</v>
      </c>
      <c r="J256">
        <v>4</v>
      </c>
      <c r="K256" t="s">
        <v>16</v>
      </c>
      <c r="L256" t="s">
        <v>331</v>
      </c>
      <c r="M256">
        <f>orders[[#This Row],[Ship Date]]-orders[[#This Row],[Order Date]]</f>
        <v>8</v>
      </c>
      <c r="N256">
        <f>WEEKNUM(orders[[#This Row],[Order Date]],2)</f>
        <v>2</v>
      </c>
      <c r="O256" t="str" cm="1">
        <f t="array" ref="O2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57" spans="1:15" x14ac:dyDescent="0.3">
      <c r="A257" t="s">
        <v>332</v>
      </c>
      <c r="B257" t="s">
        <v>23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24</v>
      </c>
      <c r="I257" t="s">
        <v>67</v>
      </c>
      <c r="J257">
        <v>4</v>
      </c>
      <c r="K257" t="s">
        <v>16</v>
      </c>
      <c r="L257" t="s">
        <v>30</v>
      </c>
      <c r="M257">
        <f>orders[[#This Row],[Ship Date]]-orders[[#This Row],[Order Date]]</f>
        <v>2</v>
      </c>
      <c r="N257">
        <f>WEEKNUM(orders[[#This Row],[Order Date]],2)</f>
        <v>2</v>
      </c>
      <c r="O257" t="str" cm="1">
        <f t="array" ref="O2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58" spans="1:15" x14ac:dyDescent="0.3">
      <c r="A258" t="s">
        <v>333</v>
      </c>
      <c r="B258" t="s">
        <v>43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20</v>
      </c>
      <c r="I258" t="s">
        <v>67</v>
      </c>
      <c r="J258">
        <v>3</v>
      </c>
      <c r="K258" t="s">
        <v>16</v>
      </c>
      <c r="L258" t="s">
        <v>30</v>
      </c>
      <c r="M258">
        <f>orders[[#This Row],[Ship Date]]-orders[[#This Row],[Order Date]]</f>
        <v>1</v>
      </c>
      <c r="N258">
        <f>WEEKNUM(orders[[#This Row],[Order Date]],2)</f>
        <v>2</v>
      </c>
      <c r="O258" t="str" cm="1">
        <f t="array" ref="O25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59" spans="1:15" x14ac:dyDescent="0.3">
      <c r="A259" t="s">
        <v>334</v>
      </c>
      <c r="B259" t="s">
        <v>120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20</v>
      </c>
      <c r="I259" t="s">
        <v>15</v>
      </c>
      <c r="J259">
        <v>5</v>
      </c>
      <c r="K259" t="s">
        <v>16</v>
      </c>
      <c r="L259" t="s">
        <v>335</v>
      </c>
      <c r="M259">
        <f>orders[[#This Row],[Ship Date]]-orders[[#This Row],[Order Date]]</f>
        <v>5</v>
      </c>
      <c r="N259">
        <f>WEEKNUM(orders[[#This Row],[Order Date]],2)</f>
        <v>2</v>
      </c>
      <c r="O259" t="str" cm="1">
        <f t="array" ref="O2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60" spans="1:15" x14ac:dyDescent="0.3">
      <c r="A260" t="s">
        <v>336</v>
      </c>
      <c r="B260" t="s">
        <v>41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24</v>
      </c>
      <c r="I260" t="s">
        <v>15</v>
      </c>
      <c r="J260">
        <v>5</v>
      </c>
      <c r="K260" t="s">
        <v>16</v>
      </c>
      <c r="L260" t="s">
        <v>155</v>
      </c>
      <c r="M260">
        <f>orders[[#This Row],[Ship Date]]-orders[[#This Row],[Order Date]]</f>
        <v>1</v>
      </c>
      <c r="N260">
        <f>WEEKNUM(orders[[#This Row],[Order Date]],2)</f>
        <v>2</v>
      </c>
      <c r="O260" t="str" cm="1">
        <f t="array" ref="O2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61" spans="1:15" x14ac:dyDescent="0.3">
      <c r="A261" t="s">
        <v>337</v>
      </c>
      <c r="B261" t="s">
        <v>78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24</v>
      </c>
      <c r="I261" t="s">
        <v>48</v>
      </c>
      <c r="J261">
        <v>5</v>
      </c>
      <c r="K261" t="s">
        <v>16</v>
      </c>
      <c r="L261" t="s">
        <v>155</v>
      </c>
      <c r="M261">
        <f>orders[[#This Row],[Ship Date]]-orders[[#This Row],[Order Date]]</f>
        <v>3</v>
      </c>
      <c r="N261">
        <f>WEEKNUM(orders[[#This Row],[Order Date]],2)</f>
        <v>2</v>
      </c>
      <c r="O261" t="str" cm="1">
        <f t="array" ref="O2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62" spans="1:15" x14ac:dyDescent="0.3">
      <c r="A262" t="s">
        <v>338</v>
      </c>
      <c r="B262" t="s">
        <v>36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20</v>
      </c>
      <c r="I262" t="s">
        <v>48</v>
      </c>
      <c r="J262">
        <v>5</v>
      </c>
      <c r="K262" t="s">
        <v>16</v>
      </c>
      <c r="L262" t="s">
        <v>339</v>
      </c>
      <c r="M262">
        <f>orders[[#This Row],[Ship Date]]-orders[[#This Row],[Order Date]]</f>
        <v>3</v>
      </c>
      <c r="N262">
        <f>WEEKNUM(orders[[#This Row],[Order Date]],2)</f>
        <v>2</v>
      </c>
      <c r="O262" t="str" cm="1">
        <f t="array" ref="O26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63" spans="1:15" x14ac:dyDescent="0.3">
      <c r="A263" t="s">
        <v>340</v>
      </c>
      <c r="B263" t="s">
        <v>36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24</v>
      </c>
      <c r="I263" t="s">
        <v>37</v>
      </c>
      <c r="J263">
        <v>5</v>
      </c>
      <c r="K263" t="s">
        <v>16</v>
      </c>
      <c r="L263" t="s">
        <v>59</v>
      </c>
      <c r="M263">
        <f>orders[[#This Row],[Ship Date]]-orders[[#This Row],[Order Date]]</f>
        <v>2</v>
      </c>
      <c r="N263">
        <f>WEEKNUM(orders[[#This Row],[Order Date]],2)</f>
        <v>2</v>
      </c>
      <c r="O263" t="str" cm="1">
        <f t="array" ref="O26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64" spans="1:15" x14ac:dyDescent="0.3">
      <c r="A264" t="s">
        <v>341</v>
      </c>
      <c r="B264" t="s">
        <v>41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20</v>
      </c>
      <c r="I264" t="s">
        <v>67</v>
      </c>
      <c r="J264">
        <v>3</v>
      </c>
      <c r="K264" t="s">
        <v>16</v>
      </c>
      <c r="L264" t="s">
        <v>59</v>
      </c>
      <c r="M264">
        <f>orders[[#This Row],[Ship Date]]-orders[[#This Row],[Order Date]]</f>
        <v>1</v>
      </c>
      <c r="N264">
        <f>WEEKNUM(orders[[#This Row],[Order Date]],2)</f>
        <v>2</v>
      </c>
      <c r="O264" t="str" cm="1">
        <f t="array" ref="O2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65" spans="1:15" x14ac:dyDescent="0.3">
      <c r="A265" t="s">
        <v>342</v>
      </c>
      <c r="B265" t="s">
        <v>43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24</v>
      </c>
      <c r="I265" t="s">
        <v>15</v>
      </c>
      <c r="J265">
        <v>2</v>
      </c>
      <c r="K265" t="s">
        <v>16</v>
      </c>
      <c r="L265" t="s">
        <v>59</v>
      </c>
      <c r="M265">
        <f>orders[[#This Row],[Ship Date]]-orders[[#This Row],[Order Date]]</f>
        <v>2</v>
      </c>
      <c r="N265">
        <f>WEEKNUM(orders[[#This Row],[Order Date]],2)</f>
        <v>2</v>
      </c>
      <c r="O265" t="str" cm="1">
        <f t="array" ref="O2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66" spans="1:15" x14ac:dyDescent="0.3">
      <c r="A266" t="s">
        <v>343</v>
      </c>
      <c r="B266" t="s">
        <v>29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20</v>
      </c>
      <c r="I266" t="s">
        <v>15</v>
      </c>
      <c r="J266">
        <v>5</v>
      </c>
      <c r="K266" t="s">
        <v>16</v>
      </c>
      <c r="L266" t="s">
        <v>105</v>
      </c>
      <c r="M266">
        <f>orders[[#This Row],[Ship Date]]-orders[[#This Row],[Order Date]]</f>
        <v>0</v>
      </c>
      <c r="N266">
        <f>WEEKNUM(orders[[#This Row],[Order Date]],2)</f>
        <v>2</v>
      </c>
      <c r="O266" t="str" cm="1">
        <f t="array" ref="O2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67" spans="1:15" x14ac:dyDescent="0.3">
      <c r="A267" t="s">
        <v>344</v>
      </c>
      <c r="B267" t="s">
        <v>132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24</v>
      </c>
      <c r="I267" t="s">
        <v>48</v>
      </c>
      <c r="J267">
        <v>1</v>
      </c>
      <c r="K267" t="s">
        <v>16</v>
      </c>
      <c r="L267" t="s">
        <v>107</v>
      </c>
      <c r="M267">
        <f>orders[[#This Row],[Ship Date]]-orders[[#This Row],[Order Date]]</f>
        <v>1</v>
      </c>
      <c r="N267">
        <f>WEEKNUM(orders[[#This Row],[Order Date]],2)</f>
        <v>2</v>
      </c>
      <c r="O267" t="str" cm="1">
        <f t="array" ref="O2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68" spans="1:15" x14ac:dyDescent="0.3">
      <c r="A268" t="s">
        <v>345</v>
      </c>
      <c r="B268" t="s">
        <v>36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14</v>
      </c>
      <c r="I268" t="s">
        <v>32</v>
      </c>
      <c r="J268">
        <v>5</v>
      </c>
      <c r="K268" t="s">
        <v>16</v>
      </c>
      <c r="L268" t="s">
        <v>110</v>
      </c>
      <c r="M268">
        <f>orders[[#This Row],[Ship Date]]-orders[[#This Row],[Order Date]]</f>
        <v>1</v>
      </c>
      <c r="N268">
        <f>WEEKNUM(orders[[#This Row],[Order Date]],2)</f>
        <v>2</v>
      </c>
      <c r="O268" t="str" cm="1">
        <f t="array" ref="O26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69" spans="1:15" x14ac:dyDescent="0.3">
      <c r="A269" t="s">
        <v>346</v>
      </c>
      <c r="B269" t="s">
        <v>36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24</v>
      </c>
      <c r="I269" t="s">
        <v>15</v>
      </c>
      <c r="J269">
        <v>5</v>
      </c>
      <c r="K269" t="s">
        <v>16</v>
      </c>
      <c r="L269" t="s">
        <v>112</v>
      </c>
      <c r="M269">
        <f>orders[[#This Row],[Ship Date]]-orders[[#This Row],[Order Date]]</f>
        <v>3</v>
      </c>
      <c r="N269">
        <f>WEEKNUM(orders[[#This Row],[Order Date]],2)</f>
        <v>2</v>
      </c>
      <c r="O269" t="str" cm="1">
        <f t="array" ref="O2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0" spans="1:15" x14ac:dyDescent="0.3">
      <c r="A270" t="s">
        <v>347</v>
      </c>
      <c r="B270" t="s">
        <v>41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24</v>
      </c>
      <c r="I270" t="s">
        <v>32</v>
      </c>
      <c r="J270">
        <v>3</v>
      </c>
      <c r="K270" t="s">
        <v>16</v>
      </c>
      <c r="L270" t="s">
        <v>328</v>
      </c>
      <c r="M270">
        <f>orders[[#This Row],[Ship Date]]-orders[[#This Row],[Order Date]]</f>
        <v>4</v>
      </c>
      <c r="N270">
        <f>WEEKNUM(orders[[#This Row],[Order Date]],2)</f>
        <v>2</v>
      </c>
      <c r="O270" t="str" cm="1">
        <f t="array" ref="O2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1" spans="1:15" x14ac:dyDescent="0.3">
      <c r="A271" t="s">
        <v>348</v>
      </c>
      <c r="B271" t="s">
        <v>36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24</v>
      </c>
      <c r="I271" t="s">
        <v>37</v>
      </c>
      <c r="J271">
        <v>2</v>
      </c>
      <c r="K271" t="s">
        <v>16</v>
      </c>
      <c r="L271" t="s">
        <v>30</v>
      </c>
      <c r="M271">
        <f>orders[[#This Row],[Ship Date]]-orders[[#This Row],[Order Date]]</f>
        <v>1</v>
      </c>
      <c r="N271">
        <f>WEEKNUM(orders[[#This Row],[Order Date]],2)</f>
        <v>2</v>
      </c>
      <c r="O271" t="str" cm="1">
        <f t="array" ref="O2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2" spans="1:15" x14ac:dyDescent="0.3">
      <c r="A272" t="s">
        <v>349</v>
      </c>
      <c r="B272" t="s">
        <v>41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24</v>
      </c>
      <c r="I272" t="s">
        <v>32</v>
      </c>
      <c r="J272">
        <v>4</v>
      </c>
      <c r="K272" t="s">
        <v>16</v>
      </c>
      <c r="L272" t="s">
        <v>30</v>
      </c>
      <c r="M272">
        <f>orders[[#This Row],[Ship Date]]-orders[[#This Row],[Order Date]]</f>
        <v>1</v>
      </c>
      <c r="N272">
        <f>WEEKNUM(orders[[#This Row],[Order Date]],2)</f>
        <v>2</v>
      </c>
      <c r="O272" t="str" cm="1">
        <f t="array" ref="O2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3" spans="1:15" x14ac:dyDescent="0.3">
      <c r="A273" t="s">
        <v>350</v>
      </c>
      <c r="B273" t="s">
        <v>43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24</v>
      </c>
      <c r="I273" t="s">
        <v>15</v>
      </c>
      <c r="J273">
        <v>4</v>
      </c>
      <c r="K273" t="s">
        <v>16</v>
      </c>
      <c r="L273" t="s">
        <v>30</v>
      </c>
      <c r="M273">
        <f>orders[[#This Row],[Ship Date]]-orders[[#This Row],[Order Date]]</f>
        <v>4</v>
      </c>
      <c r="N273">
        <f>WEEKNUM(orders[[#This Row],[Order Date]],2)</f>
        <v>2</v>
      </c>
      <c r="O273" t="str" cm="1">
        <f t="array" ref="O2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4" spans="1:15" x14ac:dyDescent="0.3">
      <c r="A274" t="s">
        <v>351</v>
      </c>
      <c r="B274" t="s">
        <v>132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24</v>
      </c>
      <c r="I274" t="s">
        <v>32</v>
      </c>
      <c r="J274">
        <v>3</v>
      </c>
      <c r="K274" t="s">
        <v>16</v>
      </c>
      <c r="L274" t="s">
        <v>30</v>
      </c>
      <c r="M274">
        <f>orders[[#This Row],[Ship Date]]-orders[[#This Row],[Order Date]]</f>
        <v>1</v>
      </c>
      <c r="N274">
        <f>WEEKNUM(orders[[#This Row],[Order Date]],2)</f>
        <v>2</v>
      </c>
      <c r="O274" t="str" cm="1">
        <f t="array" ref="O2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5" spans="1:15" x14ac:dyDescent="0.3">
      <c r="A275" t="s">
        <v>352</v>
      </c>
      <c r="B275" t="s">
        <v>125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20</v>
      </c>
      <c r="I275" t="s">
        <v>37</v>
      </c>
      <c r="J275">
        <v>4</v>
      </c>
      <c r="K275" t="s">
        <v>16</v>
      </c>
      <c r="L275" t="s">
        <v>30</v>
      </c>
      <c r="M275">
        <f>orders[[#This Row],[Ship Date]]-orders[[#This Row],[Order Date]]</f>
        <v>1</v>
      </c>
      <c r="N275">
        <f>WEEKNUM(orders[[#This Row],[Order Date]],2)</f>
        <v>2</v>
      </c>
      <c r="O275" t="str" cm="1">
        <f t="array" ref="O27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76" spans="1:15" x14ac:dyDescent="0.3">
      <c r="A276" t="s">
        <v>353</v>
      </c>
      <c r="B276" t="s">
        <v>13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20</v>
      </c>
      <c r="I276" t="s">
        <v>15</v>
      </c>
      <c r="J276">
        <v>4</v>
      </c>
      <c r="K276" t="s">
        <v>16</v>
      </c>
      <c r="L276" t="s">
        <v>30</v>
      </c>
      <c r="M276">
        <f>orders[[#This Row],[Ship Date]]-orders[[#This Row],[Order Date]]</f>
        <v>1</v>
      </c>
      <c r="N276">
        <f>WEEKNUM(orders[[#This Row],[Order Date]],2)</f>
        <v>2</v>
      </c>
      <c r="O276" t="str" cm="1">
        <f t="array" ref="O2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77" spans="1:15" x14ac:dyDescent="0.3">
      <c r="A277" t="s">
        <v>354</v>
      </c>
      <c r="B277" t="s">
        <v>19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24</v>
      </c>
      <c r="I277" t="s">
        <v>32</v>
      </c>
      <c r="J277">
        <v>5</v>
      </c>
      <c r="K277" t="s">
        <v>16</v>
      </c>
      <c r="L277" t="s">
        <v>30</v>
      </c>
      <c r="M277">
        <f>orders[[#This Row],[Ship Date]]-orders[[#This Row],[Order Date]]</f>
        <v>3</v>
      </c>
      <c r="N277">
        <f>WEEKNUM(orders[[#This Row],[Order Date]],2)</f>
        <v>2</v>
      </c>
      <c r="O277" t="str" cm="1">
        <f t="array" ref="O2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78" spans="1:15" x14ac:dyDescent="0.3">
      <c r="A278" t="s">
        <v>355</v>
      </c>
      <c r="B278" t="s">
        <v>36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14</v>
      </c>
      <c r="I278" t="s">
        <v>15</v>
      </c>
      <c r="J278">
        <v>4</v>
      </c>
      <c r="K278" t="s">
        <v>16</v>
      </c>
      <c r="L278" t="s">
        <v>30</v>
      </c>
      <c r="M278">
        <f>orders[[#This Row],[Ship Date]]-orders[[#This Row],[Order Date]]</f>
        <v>7</v>
      </c>
      <c r="N278">
        <f>WEEKNUM(orders[[#This Row],[Order Date]],2)</f>
        <v>2</v>
      </c>
      <c r="O278" t="str" cm="1">
        <f t="array" ref="O27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79" spans="1:15" x14ac:dyDescent="0.3">
      <c r="A279" t="s">
        <v>356</v>
      </c>
      <c r="B279" t="s">
        <v>19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24</v>
      </c>
      <c r="I279" t="s">
        <v>15</v>
      </c>
      <c r="J279">
        <v>5</v>
      </c>
      <c r="K279" t="s">
        <v>16</v>
      </c>
      <c r="L279" t="s">
        <v>30</v>
      </c>
      <c r="M279">
        <f>orders[[#This Row],[Ship Date]]-orders[[#This Row],[Order Date]]</f>
        <v>1</v>
      </c>
      <c r="N279">
        <f>WEEKNUM(orders[[#This Row],[Order Date]],2)</f>
        <v>2</v>
      </c>
      <c r="O279" t="str" cm="1">
        <f t="array" ref="O2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80" spans="1:15" x14ac:dyDescent="0.3">
      <c r="A280" t="s">
        <v>357</v>
      </c>
      <c r="B280" t="s">
        <v>43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24</v>
      </c>
      <c r="I280" t="s">
        <v>32</v>
      </c>
      <c r="J280">
        <v>3</v>
      </c>
      <c r="K280" t="s">
        <v>16</v>
      </c>
      <c r="L280" t="s">
        <v>30</v>
      </c>
      <c r="M280">
        <f>orders[[#This Row],[Ship Date]]-orders[[#This Row],[Order Date]]</f>
        <v>2</v>
      </c>
      <c r="N280">
        <f>WEEKNUM(orders[[#This Row],[Order Date]],2)</f>
        <v>3</v>
      </c>
      <c r="O280" t="str" cm="1">
        <f t="array" ref="O2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81" spans="1:15" x14ac:dyDescent="0.3">
      <c r="A281" t="s">
        <v>358</v>
      </c>
      <c r="B281" t="s">
        <v>19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24</v>
      </c>
      <c r="I281" t="s">
        <v>67</v>
      </c>
      <c r="J281">
        <v>4</v>
      </c>
      <c r="K281" t="s">
        <v>16</v>
      </c>
      <c r="L281" t="s">
        <v>30</v>
      </c>
      <c r="M281">
        <f>orders[[#This Row],[Ship Date]]-orders[[#This Row],[Order Date]]</f>
        <v>3</v>
      </c>
      <c r="N281">
        <f>WEEKNUM(orders[[#This Row],[Order Date]],2)</f>
        <v>3</v>
      </c>
      <c r="O281" t="str" cm="1">
        <f t="array" ref="O2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82" spans="1:15" x14ac:dyDescent="0.3">
      <c r="A282" t="s">
        <v>359</v>
      </c>
      <c r="B282" t="s">
        <v>78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20</v>
      </c>
      <c r="I282" t="s">
        <v>48</v>
      </c>
      <c r="J282">
        <v>5</v>
      </c>
      <c r="K282" t="s">
        <v>16</v>
      </c>
      <c r="L282" t="s">
        <v>30</v>
      </c>
      <c r="M282">
        <f>orders[[#This Row],[Ship Date]]-orders[[#This Row],[Order Date]]</f>
        <v>1</v>
      </c>
      <c r="N282">
        <f>WEEKNUM(orders[[#This Row],[Order Date]],2)</f>
        <v>3</v>
      </c>
      <c r="O282" t="str" cm="1">
        <f t="array" ref="O2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83" spans="1:15" x14ac:dyDescent="0.3">
      <c r="A283" t="s">
        <v>360</v>
      </c>
      <c r="B283" t="s">
        <v>23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20</v>
      </c>
      <c r="I283" t="s">
        <v>15</v>
      </c>
      <c r="J283">
        <v>4</v>
      </c>
      <c r="K283" t="s">
        <v>16</v>
      </c>
      <c r="L283" t="s">
        <v>361</v>
      </c>
      <c r="M283">
        <f>orders[[#This Row],[Ship Date]]-orders[[#This Row],[Order Date]]</f>
        <v>5</v>
      </c>
      <c r="N283">
        <f>WEEKNUM(orders[[#This Row],[Order Date]],2)</f>
        <v>3</v>
      </c>
      <c r="O283" t="str" cm="1">
        <f t="array" ref="O28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84" spans="1:15" x14ac:dyDescent="0.3">
      <c r="A284" t="s">
        <v>362</v>
      </c>
      <c r="B284" t="s">
        <v>51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24</v>
      </c>
      <c r="I284" t="s">
        <v>67</v>
      </c>
      <c r="J284">
        <v>4</v>
      </c>
      <c r="K284" t="s">
        <v>16</v>
      </c>
      <c r="L284" t="s">
        <v>155</v>
      </c>
      <c r="M284">
        <f>orders[[#This Row],[Ship Date]]-orders[[#This Row],[Order Date]]</f>
        <v>1</v>
      </c>
      <c r="N284">
        <f>WEEKNUM(orders[[#This Row],[Order Date]],2)</f>
        <v>3</v>
      </c>
      <c r="O284" t="str" cm="1">
        <f t="array" ref="O2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85" spans="1:15" x14ac:dyDescent="0.3">
      <c r="A285" t="s">
        <v>363</v>
      </c>
      <c r="B285" t="s">
        <v>36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20</v>
      </c>
      <c r="I285" t="s">
        <v>15</v>
      </c>
      <c r="J285">
        <v>4</v>
      </c>
      <c r="K285" t="s">
        <v>16</v>
      </c>
      <c r="L285" t="s">
        <v>155</v>
      </c>
      <c r="M285">
        <f>orders[[#This Row],[Ship Date]]-orders[[#This Row],[Order Date]]</f>
        <v>0</v>
      </c>
      <c r="N285">
        <f>WEEKNUM(orders[[#This Row],[Order Date]],2)</f>
        <v>3</v>
      </c>
      <c r="O285" t="str" cm="1">
        <f t="array" ref="O2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86" spans="1:15" x14ac:dyDescent="0.3">
      <c r="A286" t="s">
        <v>364</v>
      </c>
      <c r="B286" t="s">
        <v>36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20</v>
      </c>
      <c r="I286" t="s">
        <v>37</v>
      </c>
      <c r="J286">
        <v>2</v>
      </c>
      <c r="K286" t="s">
        <v>16</v>
      </c>
      <c r="L286" t="s">
        <v>52</v>
      </c>
      <c r="M286">
        <f>orders[[#This Row],[Ship Date]]-orders[[#This Row],[Order Date]]</f>
        <v>1</v>
      </c>
      <c r="N286">
        <f>WEEKNUM(orders[[#This Row],[Order Date]],2)</f>
        <v>3</v>
      </c>
      <c r="O286" t="str" cm="1">
        <f t="array" ref="O2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87" spans="1:15" x14ac:dyDescent="0.3">
      <c r="A287" t="s">
        <v>365</v>
      </c>
      <c r="B287" t="s">
        <v>19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24</v>
      </c>
      <c r="I287" t="s">
        <v>15</v>
      </c>
      <c r="J287">
        <v>2</v>
      </c>
      <c r="K287" t="s">
        <v>16</v>
      </c>
      <c r="L287" t="s">
        <v>52</v>
      </c>
      <c r="M287">
        <f>orders[[#This Row],[Ship Date]]-orders[[#This Row],[Order Date]]</f>
        <v>1</v>
      </c>
      <c r="N287">
        <f>WEEKNUM(orders[[#This Row],[Order Date]],2)</f>
        <v>3</v>
      </c>
      <c r="O287" t="str" cm="1">
        <f t="array" ref="O2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88" spans="1:15" x14ac:dyDescent="0.3">
      <c r="A288" t="s">
        <v>366</v>
      </c>
      <c r="B288" t="s">
        <v>34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24</v>
      </c>
      <c r="I288" t="s">
        <v>37</v>
      </c>
      <c r="J288">
        <v>4</v>
      </c>
      <c r="K288" t="s">
        <v>16</v>
      </c>
      <c r="L288" t="s">
        <v>52</v>
      </c>
      <c r="M288">
        <f>orders[[#This Row],[Ship Date]]-orders[[#This Row],[Order Date]]</f>
        <v>3</v>
      </c>
      <c r="N288">
        <f>WEEKNUM(orders[[#This Row],[Order Date]],2)</f>
        <v>3</v>
      </c>
      <c r="O288" t="str" cm="1">
        <f t="array" ref="O2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89" spans="1:15" x14ac:dyDescent="0.3">
      <c r="A289" t="s">
        <v>367</v>
      </c>
      <c r="B289" t="s">
        <v>27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20</v>
      </c>
      <c r="I289" t="s">
        <v>15</v>
      </c>
      <c r="J289">
        <v>4</v>
      </c>
      <c r="K289" t="s">
        <v>16</v>
      </c>
      <c r="L289" t="s">
        <v>56</v>
      </c>
      <c r="M289">
        <f>orders[[#This Row],[Ship Date]]-orders[[#This Row],[Order Date]]</f>
        <v>1</v>
      </c>
      <c r="N289">
        <f>WEEKNUM(orders[[#This Row],[Order Date]],2)</f>
        <v>3</v>
      </c>
      <c r="O289" t="str" cm="1">
        <f t="array" ref="O2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0" spans="1:15" x14ac:dyDescent="0.3">
      <c r="A290" t="s">
        <v>368</v>
      </c>
      <c r="B290" t="s">
        <v>13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20</v>
      </c>
      <c r="I290" t="s">
        <v>32</v>
      </c>
      <c r="J290">
        <v>1</v>
      </c>
      <c r="K290" t="s">
        <v>16</v>
      </c>
      <c r="L290" t="s">
        <v>59</v>
      </c>
      <c r="M290">
        <f>orders[[#This Row],[Ship Date]]-orders[[#This Row],[Order Date]]</f>
        <v>1</v>
      </c>
      <c r="N290">
        <f>WEEKNUM(orders[[#This Row],[Order Date]],2)</f>
        <v>3</v>
      </c>
      <c r="O290" t="str" cm="1">
        <f t="array" ref="O2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1" spans="1:15" x14ac:dyDescent="0.3">
      <c r="A291" t="s">
        <v>369</v>
      </c>
      <c r="B291" t="s">
        <v>51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20</v>
      </c>
      <c r="I291" t="s">
        <v>37</v>
      </c>
      <c r="J291">
        <v>5</v>
      </c>
      <c r="K291" t="s">
        <v>16</v>
      </c>
      <c r="L291" t="s">
        <v>59</v>
      </c>
      <c r="M291">
        <f>orders[[#This Row],[Ship Date]]-orders[[#This Row],[Order Date]]</f>
        <v>1</v>
      </c>
      <c r="N291">
        <f>WEEKNUM(orders[[#This Row],[Order Date]],2)</f>
        <v>3</v>
      </c>
      <c r="O291" t="str" cm="1">
        <f t="array" ref="O2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2" spans="1:15" x14ac:dyDescent="0.3">
      <c r="A292" t="s">
        <v>370</v>
      </c>
      <c r="B292" t="s">
        <v>29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20</v>
      </c>
      <c r="I292" t="s">
        <v>15</v>
      </c>
      <c r="J292">
        <v>4</v>
      </c>
      <c r="K292" t="s">
        <v>16</v>
      </c>
      <c r="L292" t="s">
        <v>59</v>
      </c>
      <c r="M292">
        <f>orders[[#This Row],[Ship Date]]-orders[[#This Row],[Order Date]]</f>
        <v>4</v>
      </c>
      <c r="N292">
        <f>WEEKNUM(orders[[#This Row],[Order Date]],2)</f>
        <v>3</v>
      </c>
      <c r="O292" t="str" cm="1">
        <f t="array" ref="O2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3" spans="1:15" x14ac:dyDescent="0.3">
      <c r="A293" t="s">
        <v>371</v>
      </c>
      <c r="B293" t="s">
        <v>39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20</v>
      </c>
      <c r="I293" t="s">
        <v>15</v>
      </c>
      <c r="J293">
        <v>4</v>
      </c>
      <c r="K293" t="s">
        <v>16</v>
      </c>
      <c r="L293" t="s">
        <v>59</v>
      </c>
      <c r="M293">
        <f>orders[[#This Row],[Ship Date]]-orders[[#This Row],[Order Date]]</f>
        <v>4</v>
      </c>
      <c r="N293">
        <f>WEEKNUM(orders[[#This Row],[Order Date]],2)</f>
        <v>3</v>
      </c>
      <c r="O293" t="str" cm="1">
        <f t="array" ref="O2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4" spans="1:15" x14ac:dyDescent="0.3">
      <c r="A294" t="s">
        <v>372</v>
      </c>
      <c r="B294" t="s">
        <v>39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24</v>
      </c>
      <c r="I294" t="s">
        <v>67</v>
      </c>
      <c r="J294">
        <v>5</v>
      </c>
      <c r="K294" t="s">
        <v>16</v>
      </c>
      <c r="L294" t="s">
        <v>100</v>
      </c>
      <c r="M294">
        <f>orders[[#This Row],[Ship Date]]-orders[[#This Row],[Order Date]]</f>
        <v>2</v>
      </c>
      <c r="N294">
        <f>WEEKNUM(orders[[#This Row],[Order Date]],2)</f>
        <v>3</v>
      </c>
      <c r="O294" t="str" cm="1">
        <f t="array" ref="O2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95" spans="1:15" x14ac:dyDescent="0.3">
      <c r="A295" t="s">
        <v>373</v>
      </c>
      <c r="B295" t="s">
        <v>19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20</v>
      </c>
      <c r="I295" t="s">
        <v>37</v>
      </c>
      <c r="J295">
        <v>4</v>
      </c>
      <c r="K295" t="s">
        <v>16</v>
      </c>
      <c r="L295" t="s">
        <v>374</v>
      </c>
      <c r="M295">
        <f>orders[[#This Row],[Ship Date]]-orders[[#This Row],[Order Date]]</f>
        <v>1</v>
      </c>
      <c r="N295">
        <f>WEEKNUM(orders[[#This Row],[Order Date]],2)</f>
        <v>3</v>
      </c>
      <c r="O295" t="str" cm="1">
        <f t="array" ref="O2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6" spans="1:15" x14ac:dyDescent="0.3">
      <c r="A296" t="s">
        <v>375</v>
      </c>
      <c r="B296" t="s">
        <v>73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20</v>
      </c>
      <c r="I296" t="s">
        <v>15</v>
      </c>
      <c r="J296">
        <v>5</v>
      </c>
      <c r="K296" t="s">
        <v>16</v>
      </c>
      <c r="L296" t="s">
        <v>110</v>
      </c>
      <c r="M296">
        <f>orders[[#This Row],[Ship Date]]-orders[[#This Row],[Order Date]]</f>
        <v>2</v>
      </c>
      <c r="N296">
        <f>WEEKNUM(orders[[#This Row],[Order Date]],2)</f>
        <v>3</v>
      </c>
      <c r="O296" t="str" cm="1">
        <f t="array" ref="O2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97" spans="1:15" x14ac:dyDescent="0.3">
      <c r="A297" t="s">
        <v>376</v>
      </c>
      <c r="B297" t="s">
        <v>64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24</v>
      </c>
      <c r="I297" t="s">
        <v>48</v>
      </c>
      <c r="J297">
        <v>4</v>
      </c>
      <c r="K297" t="s">
        <v>16</v>
      </c>
      <c r="L297" t="s">
        <v>79</v>
      </c>
      <c r="M297">
        <f>orders[[#This Row],[Ship Date]]-orders[[#This Row],[Order Date]]</f>
        <v>3</v>
      </c>
      <c r="N297">
        <f>WEEKNUM(orders[[#This Row],[Order Date]],2)</f>
        <v>3</v>
      </c>
      <c r="O297" t="str" cm="1">
        <f t="array" ref="O2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98" spans="1:15" x14ac:dyDescent="0.3">
      <c r="A298" t="s">
        <v>377</v>
      </c>
      <c r="B298" t="s">
        <v>13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24</v>
      </c>
      <c r="I298" t="s">
        <v>32</v>
      </c>
      <c r="J298">
        <v>4</v>
      </c>
      <c r="K298" t="s">
        <v>16</v>
      </c>
      <c r="L298" t="s">
        <v>21</v>
      </c>
      <c r="M298">
        <f>orders[[#This Row],[Ship Date]]-orders[[#This Row],[Order Date]]</f>
        <v>13</v>
      </c>
      <c r="N298">
        <f>WEEKNUM(orders[[#This Row],[Order Date]],2)</f>
        <v>3</v>
      </c>
      <c r="O298" t="str" cm="1">
        <f t="array" ref="O2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99" spans="1:15" x14ac:dyDescent="0.3">
      <c r="A299" t="s">
        <v>378</v>
      </c>
      <c r="B299" t="s">
        <v>36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20</v>
      </c>
      <c r="I299" t="s">
        <v>67</v>
      </c>
      <c r="J299">
        <v>2</v>
      </c>
      <c r="K299" t="s">
        <v>16</v>
      </c>
      <c r="L299" t="s">
        <v>25</v>
      </c>
      <c r="M299">
        <f>orders[[#This Row],[Ship Date]]-orders[[#This Row],[Order Date]]</f>
        <v>2</v>
      </c>
      <c r="N299">
        <f>WEEKNUM(orders[[#This Row],[Order Date]],2)</f>
        <v>3</v>
      </c>
      <c r="O299" t="str" cm="1">
        <f t="array" ref="O2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00" spans="1:15" x14ac:dyDescent="0.3">
      <c r="A300" t="s">
        <v>379</v>
      </c>
      <c r="B300" t="s">
        <v>43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24</v>
      </c>
      <c r="I300" t="s">
        <v>15</v>
      </c>
      <c r="J300">
        <v>5</v>
      </c>
      <c r="K300" t="s">
        <v>16</v>
      </c>
      <c r="L300" t="s">
        <v>25</v>
      </c>
      <c r="M300">
        <f>orders[[#This Row],[Ship Date]]-orders[[#This Row],[Order Date]]</f>
        <v>2</v>
      </c>
      <c r="N300">
        <f>WEEKNUM(orders[[#This Row],[Order Date]],2)</f>
        <v>3</v>
      </c>
      <c r="O300" t="str" cm="1">
        <f t="array" ref="O3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01" spans="1:15" x14ac:dyDescent="0.3">
      <c r="A301" t="s">
        <v>380</v>
      </c>
      <c r="B301" t="s">
        <v>34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20</v>
      </c>
      <c r="I301" t="s">
        <v>32</v>
      </c>
      <c r="J301">
        <v>3</v>
      </c>
      <c r="K301" t="s">
        <v>16</v>
      </c>
      <c r="L301" t="s">
        <v>30</v>
      </c>
      <c r="M301">
        <f>orders[[#This Row],[Ship Date]]-orders[[#This Row],[Order Date]]</f>
        <v>1</v>
      </c>
      <c r="N301">
        <f>WEEKNUM(orders[[#This Row],[Order Date]],2)</f>
        <v>3</v>
      </c>
      <c r="O301" t="str" cm="1">
        <f t="array" ref="O3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02" spans="1:15" x14ac:dyDescent="0.3">
      <c r="A302" t="s">
        <v>381</v>
      </c>
      <c r="B302" t="s">
        <v>13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24</v>
      </c>
      <c r="I302" t="s">
        <v>37</v>
      </c>
      <c r="J302">
        <v>4</v>
      </c>
      <c r="K302" t="s">
        <v>16</v>
      </c>
      <c r="L302" t="s">
        <v>30</v>
      </c>
      <c r="M302">
        <f>orders[[#This Row],[Ship Date]]-orders[[#This Row],[Order Date]]</f>
        <v>4</v>
      </c>
      <c r="N302">
        <f>WEEKNUM(orders[[#This Row],[Order Date]],2)</f>
        <v>3</v>
      </c>
      <c r="O302" t="str" cm="1">
        <f t="array" ref="O3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03" spans="1:15" x14ac:dyDescent="0.3">
      <c r="A303" t="s">
        <v>382</v>
      </c>
      <c r="B303" t="s">
        <v>41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24</v>
      </c>
      <c r="I303" t="s">
        <v>15</v>
      </c>
      <c r="J303">
        <v>1</v>
      </c>
      <c r="K303" t="s">
        <v>16</v>
      </c>
      <c r="L303" t="s">
        <v>30</v>
      </c>
      <c r="M303">
        <f>orders[[#This Row],[Ship Date]]-orders[[#This Row],[Order Date]]</f>
        <v>2</v>
      </c>
      <c r="N303">
        <f>WEEKNUM(orders[[#This Row],[Order Date]],2)</f>
        <v>3</v>
      </c>
      <c r="O303" t="str" cm="1">
        <f t="array" ref="O3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04" spans="1:15" x14ac:dyDescent="0.3">
      <c r="A304" t="s">
        <v>383</v>
      </c>
      <c r="B304" t="s">
        <v>41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24</v>
      </c>
      <c r="I304" t="s">
        <v>15</v>
      </c>
      <c r="J304">
        <v>5</v>
      </c>
      <c r="K304" t="s">
        <v>16</v>
      </c>
      <c r="L304" t="s">
        <v>30</v>
      </c>
      <c r="M304">
        <f>orders[[#This Row],[Ship Date]]-orders[[#This Row],[Order Date]]</f>
        <v>2</v>
      </c>
      <c r="N304">
        <f>WEEKNUM(orders[[#This Row],[Order Date]],2)</f>
        <v>3</v>
      </c>
      <c r="O304" t="str" cm="1">
        <f t="array" ref="O3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05" spans="1:15" x14ac:dyDescent="0.3">
      <c r="A305" t="s">
        <v>384</v>
      </c>
      <c r="B305" t="s">
        <v>51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24</v>
      </c>
      <c r="I305" t="s">
        <v>67</v>
      </c>
      <c r="J305">
        <v>3</v>
      </c>
      <c r="K305" t="s">
        <v>16</v>
      </c>
      <c r="L305" t="s">
        <v>30</v>
      </c>
      <c r="M305">
        <f>orders[[#This Row],[Ship Date]]-orders[[#This Row],[Order Date]]</f>
        <v>1</v>
      </c>
      <c r="N305">
        <f>WEEKNUM(orders[[#This Row],[Order Date]],2)</f>
        <v>3</v>
      </c>
      <c r="O305" t="str" cm="1">
        <f t="array" ref="O3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06" spans="1:15" x14ac:dyDescent="0.3">
      <c r="A306" t="s">
        <v>385</v>
      </c>
      <c r="B306" t="s">
        <v>13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20</v>
      </c>
      <c r="I306" t="s">
        <v>15</v>
      </c>
      <c r="J306">
        <v>3</v>
      </c>
      <c r="K306" t="s">
        <v>16</v>
      </c>
      <c r="L306" t="s">
        <v>30</v>
      </c>
      <c r="M306">
        <f>orders[[#This Row],[Ship Date]]-orders[[#This Row],[Order Date]]</f>
        <v>0</v>
      </c>
      <c r="N306">
        <f>WEEKNUM(orders[[#This Row],[Order Date]],2)</f>
        <v>3</v>
      </c>
      <c r="O306" t="str" cm="1">
        <f t="array" ref="O3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07" spans="1:15" x14ac:dyDescent="0.3">
      <c r="A307" t="s">
        <v>386</v>
      </c>
      <c r="B307" t="s">
        <v>19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24</v>
      </c>
      <c r="I307" t="s">
        <v>15</v>
      </c>
      <c r="J307">
        <v>3</v>
      </c>
      <c r="K307" t="s">
        <v>16</v>
      </c>
      <c r="L307" t="s">
        <v>30</v>
      </c>
      <c r="M307">
        <f>orders[[#This Row],[Ship Date]]-orders[[#This Row],[Order Date]]</f>
        <v>1</v>
      </c>
      <c r="N307">
        <f>WEEKNUM(orders[[#This Row],[Order Date]],2)</f>
        <v>3</v>
      </c>
      <c r="O307" t="str" cm="1">
        <f t="array" ref="O3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08" spans="1:15" x14ac:dyDescent="0.3">
      <c r="A308" t="s">
        <v>387</v>
      </c>
      <c r="B308" t="s">
        <v>143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24</v>
      </c>
      <c r="I308" t="s">
        <v>15</v>
      </c>
      <c r="J308">
        <v>5</v>
      </c>
      <c r="K308" t="s">
        <v>16</v>
      </c>
      <c r="L308" t="s">
        <v>30</v>
      </c>
      <c r="M308">
        <f>orders[[#This Row],[Ship Date]]-orders[[#This Row],[Order Date]]</f>
        <v>3</v>
      </c>
      <c r="N308">
        <f>WEEKNUM(orders[[#This Row],[Order Date]],2)</f>
        <v>3</v>
      </c>
      <c r="O308" t="str" cm="1">
        <f t="array" ref="O3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09" spans="1:15" x14ac:dyDescent="0.3">
      <c r="A309" t="s">
        <v>388</v>
      </c>
      <c r="B309" t="s">
        <v>78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24</v>
      </c>
      <c r="I309" t="s">
        <v>48</v>
      </c>
      <c r="J309">
        <v>4</v>
      </c>
      <c r="K309" t="s">
        <v>16</v>
      </c>
      <c r="L309" t="s">
        <v>389</v>
      </c>
      <c r="M309">
        <f>orders[[#This Row],[Ship Date]]-orders[[#This Row],[Order Date]]</f>
        <v>5</v>
      </c>
      <c r="N309">
        <f>WEEKNUM(orders[[#This Row],[Order Date]],2)</f>
        <v>3</v>
      </c>
      <c r="O309" t="str" cm="1">
        <f t="array" ref="O3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10" spans="1:15" x14ac:dyDescent="0.3">
      <c r="A310" t="s">
        <v>390</v>
      </c>
      <c r="B310" t="s">
        <v>41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20</v>
      </c>
      <c r="I310" t="s">
        <v>32</v>
      </c>
      <c r="J310">
        <v>4</v>
      </c>
      <c r="K310" t="s">
        <v>16</v>
      </c>
      <c r="L310" t="s">
        <v>52</v>
      </c>
      <c r="M310">
        <f>orders[[#This Row],[Ship Date]]-orders[[#This Row],[Order Date]]</f>
        <v>1</v>
      </c>
      <c r="N310">
        <f>WEEKNUM(orders[[#This Row],[Order Date]],2)</f>
        <v>3</v>
      </c>
      <c r="O310" t="str" cm="1">
        <f t="array" ref="O3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11" spans="1:15" x14ac:dyDescent="0.3">
      <c r="A311" t="s">
        <v>391</v>
      </c>
      <c r="B311" t="s">
        <v>13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24</v>
      </c>
      <c r="I311" t="s">
        <v>15</v>
      </c>
      <c r="J311">
        <v>5</v>
      </c>
      <c r="K311" t="s">
        <v>16</v>
      </c>
      <c r="L311" t="s">
        <v>52</v>
      </c>
      <c r="M311">
        <f>orders[[#This Row],[Ship Date]]-orders[[#This Row],[Order Date]]</f>
        <v>0</v>
      </c>
      <c r="N311">
        <f>WEEKNUM(orders[[#This Row],[Order Date]],2)</f>
        <v>3</v>
      </c>
      <c r="O311" t="str" cm="1">
        <f t="array" ref="O3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12" spans="1:15" x14ac:dyDescent="0.3">
      <c r="A312" t="s">
        <v>392</v>
      </c>
      <c r="B312" t="s">
        <v>13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20</v>
      </c>
      <c r="I312" t="s">
        <v>37</v>
      </c>
      <c r="J312">
        <v>4</v>
      </c>
      <c r="K312" t="s">
        <v>16</v>
      </c>
      <c r="L312" t="s">
        <v>52</v>
      </c>
      <c r="M312">
        <f>orders[[#This Row],[Ship Date]]-orders[[#This Row],[Order Date]]</f>
        <v>1</v>
      </c>
      <c r="N312">
        <f>WEEKNUM(orders[[#This Row],[Order Date]],2)</f>
        <v>3</v>
      </c>
      <c r="O312" t="str" cm="1">
        <f t="array" ref="O3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13" spans="1:15" x14ac:dyDescent="0.3">
      <c r="A313" t="s">
        <v>393</v>
      </c>
      <c r="B313" t="s">
        <v>41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20</v>
      </c>
      <c r="I313" t="s">
        <v>15</v>
      </c>
      <c r="J313">
        <v>4</v>
      </c>
      <c r="K313" t="s">
        <v>16</v>
      </c>
      <c r="L313" t="s">
        <v>52</v>
      </c>
      <c r="M313">
        <f>orders[[#This Row],[Ship Date]]-orders[[#This Row],[Order Date]]</f>
        <v>4</v>
      </c>
      <c r="N313">
        <f>WEEKNUM(orders[[#This Row],[Order Date]],2)</f>
        <v>3</v>
      </c>
      <c r="O313" t="str" cm="1">
        <f t="array" ref="O31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14" spans="1:15" x14ac:dyDescent="0.3">
      <c r="A314" t="s">
        <v>394</v>
      </c>
      <c r="B314" t="s">
        <v>13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20</v>
      </c>
      <c r="I314" t="s">
        <v>48</v>
      </c>
      <c r="J314">
        <v>4</v>
      </c>
      <c r="K314" t="s">
        <v>16</v>
      </c>
      <c r="L314" t="s">
        <v>59</v>
      </c>
      <c r="M314">
        <f>orders[[#This Row],[Ship Date]]-orders[[#This Row],[Order Date]]</f>
        <v>1</v>
      </c>
      <c r="N314">
        <f>WEEKNUM(orders[[#This Row],[Order Date]],2)</f>
        <v>3</v>
      </c>
      <c r="O314" t="str" cm="1">
        <f t="array" ref="O3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15" spans="1:15" x14ac:dyDescent="0.3">
      <c r="A315" t="s">
        <v>395</v>
      </c>
      <c r="B315" t="s">
        <v>34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24</v>
      </c>
      <c r="I315" t="s">
        <v>37</v>
      </c>
      <c r="J315">
        <v>4</v>
      </c>
      <c r="K315" t="s">
        <v>16</v>
      </c>
      <c r="L315" t="s">
        <v>69</v>
      </c>
      <c r="M315">
        <f>orders[[#This Row],[Ship Date]]-orders[[#This Row],[Order Date]]</f>
        <v>1</v>
      </c>
      <c r="N315">
        <f>WEEKNUM(orders[[#This Row],[Order Date]],2)</f>
        <v>3</v>
      </c>
      <c r="O315" t="str" cm="1">
        <f t="array" ref="O3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16" spans="1:15" x14ac:dyDescent="0.3">
      <c r="A316" t="s">
        <v>396</v>
      </c>
      <c r="B316" t="s">
        <v>39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20</v>
      </c>
      <c r="I316" t="s">
        <v>37</v>
      </c>
      <c r="J316">
        <v>3</v>
      </c>
      <c r="K316" t="s">
        <v>16</v>
      </c>
      <c r="L316" t="s">
        <v>74</v>
      </c>
      <c r="M316">
        <f>orders[[#This Row],[Ship Date]]-orders[[#This Row],[Order Date]]</f>
        <v>3</v>
      </c>
      <c r="N316">
        <f>WEEKNUM(orders[[#This Row],[Order Date]],2)</f>
        <v>3</v>
      </c>
      <c r="O316" t="str" cm="1">
        <f t="array" ref="O3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17" spans="1:15" x14ac:dyDescent="0.3">
      <c r="A317" t="s">
        <v>397</v>
      </c>
      <c r="B317" t="s">
        <v>41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24</v>
      </c>
      <c r="I317" t="s">
        <v>48</v>
      </c>
      <c r="J317">
        <v>4</v>
      </c>
      <c r="K317" t="s">
        <v>16</v>
      </c>
      <c r="L317" t="s">
        <v>74</v>
      </c>
      <c r="M317">
        <f>orders[[#This Row],[Ship Date]]-orders[[#This Row],[Order Date]]</f>
        <v>2</v>
      </c>
      <c r="N317">
        <f>WEEKNUM(orders[[#This Row],[Order Date]],2)</f>
        <v>3</v>
      </c>
      <c r="O317" t="str" cm="1">
        <f t="array" ref="O3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18" spans="1:15" x14ac:dyDescent="0.3">
      <c r="A318" t="s">
        <v>398</v>
      </c>
      <c r="B318" t="s">
        <v>36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14</v>
      </c>
      <c r="I318" t="s">
        <v>37</v>
      </c>
      <c r="J318">
        <v>3</v>
      </c>
      <c r="K318" t="s">
        <v>16</v>
      </c>
      <c r="L318" t="s">
        <v>112</v>
      </c>
      <c r="M318">
        <f>orders[[#This Row],[Ship Date]]-orders[[#This Row],[Order Date]]</f>
        <v>1</v>
      </c>
      <c r="N318">
        <f>WEEKNUM(orders[[#This Row],[Order Date]],2)</f>
        <v>3</v>
      </c>
      <c r="O318" t="str" cm="1">
        <f t="array" ref="O31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19" spans="1:15" x14ac:dyDescent="0.3">
      <c r="A319" t="s">
        <v>399</v>
      </c>
      <c r="B319" t="s">
        <v>41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24</v>
      </c>
      <c r="I319" t="s">
        <v>15</v>
      </c>
      <c r="J319">
        <v>3</v>
      </c>
      <c r="K319" t="s">
        <v>16</v>
      </c>
      <c r="L319" t="s">
        <v>21</v>
      </c>
      <c r="M319">
        <f>orders[[#This Row],[Ship Date]]-orders[[#This Row],[Order Date]]</f>
        <v>1</v>
      </c>
      <c r="N319">
        <f>WEEKNUM(orders[[#This Row],[Order Date]],2)</f>
        <v>3</v>
      </c>
      <c r="O319" t="str" cm="1">
        <f t="array" ref="O3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20" spans="1:15" x14ac:dyDescent="0.3">
      <c r="A320" t="s">
        <v>400</v>
      </c>
      <c r="B320" t="s">
        <v>23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24</v>
      </c>
      <c r="I320" t="s">
        <v>15</v>
      </c>
      <c r="J320">
        <v>5</v>
      </c>
      <c r="K320" t="s">
        <v>16</v>
      </c>
      <c r="L320" t="s">
        <v>144</v>
      </c>
      <c r="M320">
        <f>orders[[#This Row],[Ship Date]]-orders[[#This Row],[Order Date]]</f>
        <v>3</v>
      </c>
      <c r="N320">
        <f>WEEKNUM(orders[[#This Row],[Order Date]],2)</f>
        <v>3</v>
      </c>
      <c r="O320" t="str" cm="1">
        <f t="array" ref="O3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21" spans="1:15" x14ac:dyDescent="0.3">
      <c r="A321" t="s">
        <v>401</v>
      </c>
      <c r="B321" t="s">
        <v>39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20</v>
      </c>
      <c r="I321" t="s">
        <v>15</v>
      </c>
      <c r="J321">
        <v>4</v>
      </c>
      <c r="K321" t="s">
        <v>16</v>
      </c>
      <c r="L321" t="s">
        <v>144</v>
      </c>
      <c r="M321">
        <f>orders[[#This Row],[Ship Date]]-orders[[#This Row],[Order Date]]</f>
        <v>4</v>
      </c>
      <c r="N321">
        <f>WEEKNUM(orders[[#This Row],[Order Date]],2)</f>
        <v>3</v>
      </c>
      <c r="O321" t="str" cm="1">
        <f t="array" ref="O3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22" spans="1:15" x14ac:dyDescent="0.3">
      <c r="A322" t="s">
        <v>402</v>
      </c>
      <c r="B322" t="s">
        <v>34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86</v>
      </c>
      <c r="I322" t="s">
        <v>67</v>
      </c>
      <c r="J322">
        <v>2</v>
      </c>
      <c r="K322" t="s">
        <v>16</v>
      </c>
      <c r="L322" t="s">
        <v>30</v>
      </c>
      <c r="M322">
        <f>orders[[#This Row],[Ship Date]]-orders[[#This Row],[Order Date]]</f>
        <v>2</v>
      </c>
      <c r="N322">
        <f>WEEKNUM(orders[[#This Row],[Order Date]],2)</f>
        <v>3</v>
      </c>
      <c r="O322" t="str" cm="1">
        <f t="array" ref="O322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323" spans="1:15" x14ac:dyDescent="0.3">
      <c r="A323" t="s">
        <v>403</v>
      </c>
      <c r="B323" t="s">
        <v>41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14</v>
      </c>
      <c r="I323" t="s">
        <v>67</v>
      </c>
      <c r="J323">
        <v>4</v>
      </c>
      <c r="K323" t="s">
        <v>16</v>
      </c>
      <c r="L323" t="s">
        <v>30</v>
      </c>
      <c r="M323">
        <f>orders[[#This Row],[Ship Date]]-orders[[#This Row],[Order Date]]</f>
        <v>7</v>
      </c>
      <c r="N323">
        <f>WEEKNUM(orders[[#This Row],[Order Date]],2)</f>
        <v>3</v>
      </c>
      <c r="O323" t="str" cm="1">
        <f t="array" ref="O32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24" spans="1:15" x14ac:dyDescent="0.3">
      <c r="A324" t="s">
        <v>404</v>
      </c>
      <c r="B324" t="s">
        <v>51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24</v>
      </c>
      <c r="I324" t="s">
        <v>15</v>
      </c>
      <c r="J324">
        <v>4</v>
      </c>
      <c r="K324" t="s">
        <v>16</v>
      </c>
      <c r="L324" t="s">
        <v>30</v>
      </c>
      <c r="M324">
        <f>orders[[#This Row],[Ship Date]]-orders[[#This Row],[Order Date]]</f>
        <v>1</v>
      </c>
      <c r="N324">
        <f>WEEKNUM(orders[[#This Row],[Order Date]],2)</f>
        <v>3</v>
      </c>
      <c r="O324" t="str" cm="1">
        <f t="array" ref="O3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25" spans="1:15" x14ac:dyDescent="0.3">
      <c r="A325" t="s">
        <v>405</v>
      </c>
      <c r="B325" t="s">
        <v>78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20</v>
      </c>
      <c r="I325" t="s">
        <v>15</v>
      </c>
      <c r="J325">
        <v>3</v>
      </c>
      <c r="K325" t="s">
        <v>16</v>
      </c>
      <c r="L325" t="s">
        <v>30</v>
      </c>
      <c r="M325">
        <f>orders[[#This Row],[Ship Date]]-orders[[#This Row],[Order Date]]</f>
        <v>6</v>
      </c>
      <c r="N325">
        <f>WEEKNUM(orders[[#This Row],[Order Date]],2)</f>
        <v>3</v>
      </c>
      <c r="O325" t="str" cm="1">
        <f t="array" ref="O3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26" spans="1:15" x14ac:dyDescent="0.3">
      <c r="A326" t="s">
        <v>406</v>
      </c>
      <c r="B326" t="s">
        <v>19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24</v>
      </c>
      <c r="I326" t="s">
        <v>15</v>
      </c>
      <c r="J326">
        <v>4</v>
      </c>
      <c r="K326" t="s">
        <v>16</v>
      </c>
      <c r="L326" t="s">
        <v>30</v>
      </c>
      <c r="M326">
        <f>orders[[#This Row],[Ship Date]]-orders[[#This Row],[Order Date]]</f>
        <v>1</v>
      </c>
      <c r="N326">
        <f>WEEKNUM(orders[[#This Row],[Order Date]],2)</f>
        <v>3</v>
      </c>
      <c r="O326" t="str" cm="1">
        <f t="array" ref="O3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27" spans="1:15" x14ac:dyDescent="0.3">
      <c r="A327" t="s">
        <v>407</v>
      </c>
      <c r="B327" t="s">
        <v>51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24</v>
      </c>
      <c r="I327" t="s">
        <v>37</v>
      </c>
      <c r="J327">
        <v>3</v>
      </c>
      <c r="K327" t="s">
        <v>16</v>
      </c>
      <c r="L327" t="s">
        <v>30</v>
      </c>
      <c r="M327">
        <f>orders[[#This Row],[Ship Date]]-orders[[#This Row],[Order Date]]</f>
        <v>0</v>
      </c>
      <c r="N327">
        <f>WEEKNUM(orders[[#This Row],[Order Date]],2)</f>
        <v>3</v>
      </c>
      <c r="O327" t="str" cm="1">
        <f t="array" ref="O3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28" spans="1:15" x14ac:dyDescent="0.3">
      <c r="A328" t="s">
        <v>408</v>
      </c>
      <c r="B328" t="s">
        <v>19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20</v>
      </c>
      <c r="I328" t="s">
        <v>37</v>
      </c>
      <c r="J328">
        <v>3</v>
      </c>
      <c r="K328" t="s">
        <v>16</v>
      </c>
      <c r="L328" t="s">
        <v>30</v>
      </c>
      <c r="M328">
        <f>orders[[#This Row],[Ship Date]]-orders[[#This Row],[Order Date]]</f>
        <v>2</v>
      </c>
      <c r="N328">
        <f>WEEKNUM(orders[[#This Row],[Order Date]],2)</f>
        <v>3</v>
      </c>
      <c r="O328" t="str" cm="1">
        <f t="array" ref="O3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29" spans="1:15" x14ac:dyDescent="0.3">
      <c r="A329" t="s">
        <v>409</v>
      </c>
      <c r="B329" t="s">
        <v>143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20</v>
      </c>
      <c r="I329" t="s">
        <v>37</v>
      </c>
      <c r="J329">
        <v>3</v>
      </c>
      <c r="K329" t="s">
        <v>16</v>
      </c>
      <c r="L329" t="s">
        <v>30</v>
      </c>
      <c r="M329">
        <f>orders[[#This Row],[Ship Date]]-orders[[#This Row],[Order Date]]</f>
        <v>1</v>
      </c>
      <c r="N329">
        <f>WEEKNUM(orders[[#This Row],[Order Date]],2)</f>
        <v>3</v>
      </c>
      <c r="O329" t="str" cm="1">
        <f t="array" ref="O3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30" spans="1:15" x14ac:dyDescent="0.3">
      <c r="A330" t="s">
        <v>410</v>
      </c>
      <c r="B330" t="s">
        <v>23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24</v>
      </c>
      <c r="I330" t="s">
        <v>32</v>
      </c>
      <c r="J330">
        <v>4</v>
      </c>
      <c r="K330" t="s">
        <v>16</v>
      </c>
      <c r="L330" t="s">
        <v>30</v>
      </c>
      <c r="M330">
        <f>orders[[#This Row],[Ship Date]]-orders[[#This Row],[Order Date]]</f>
        <v>3</v>
      </c>
      <c r="N330">
        <f>WEEKNUM(orders[[#This Row],[Order Date]],2)</f>
        <v>3</v>
      </c>
      <c r="O330" t="str" cm="1">
        <f t="array" ref="O3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31" spans="1:15" x14ac:dyDescent="0.3">
      <c r="A331" t="s">
        <v>411</v>
      </c>
      <c r="B331" t="s">
        <v>39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24</v>
      </c>
      <c r="I331" t="s">
        <v>32</v>
      </c>
      <c r="J331">
        <v>4</v>
      </c>
      <c r="K331" t="s">
        <v>16</v>
      </c>
      <c r="L331" t="s">
        <v>30</v>
      </c>
      <c r="M331">
        <f>orders[[#This Row],[Ship Date]]-orders[[#This Row],[Order Date]]</f>
        <v>1</v>
      </c>
      <c r="N331">
        <f>WEEKNUM(orders[[#This Row],[Order Date]],2)</f>
        <v>3</v>
      </c>
      <c r="O331" t="str" cm="1">
        <f t="array" ref="O3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32" spans="1:15" x14ac:dyDescent="0.3">
      <c r="A332" t="s">
        <v>412</v>
      </c>
      <c r="B332" t="s">
        <v>27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24</v>
      </c>
      <c r="I332" t="s">
        <v>15</v>
      </c>
      <c r="J332">
        <v>4</v>
      </c>
      <c r="K332" t="s">
        <v>16</v>
      </c>
      <c r="L332" t="s">
        <v>413</v>
      </c>
      <c r="M332">
        <f>orders[[#This Row],[Ship Date]]-orders[[#This Row],[Order Date]]</f>
        <v>1</v>
      </c>
      <c r="N332">
        <f>WEEKNUM(orders[[#This Row],[Order Date]],2)</f>
        <v>3</v>
      </c>
      <c r="O332" t="str" cm="1">
        <f t="array" ref="O3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33" spans="1:15" x14ac:dyDescent="0.3">
      <c r="A333" t="s">
        <v>414</v>
      </c>
      <c r="B333" t="s">
        <v>23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24</v>
      </c>
      <c r="I333" t="s">
        <v>32</v>
      </c>
      <c r="J333">
        <v>5</v>
      </c>
      <c r="K333" t="s">
        <v>16</v>
      </c>
      <c r="L333" t="s">
        <v>95</v>
      </c>
      <c r="M333">
        <f>orders[[#This Row],[Ship Date]]-orders[[#This Row],[Order Date]]</f>
        <v>1</v>
      </c>
      <c r="N333">
        <f>WEEKNUM(orders[[#This Row],[Order Date]],2)</f>
        <v>3</v>
      </c>
      <c r="O333" t="str" cm="1">
        <f t="array" ref="O3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34" spans="1:15" x14ac:dyDescent="0.3">
      <c r="A334" t="s">
        <v>415</v>
      </c>
      <c r="B334" t="s">
        <v>23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20</v>
      </c>
      <c r="I334" t="s">
        <v>48</v>
      </c>
      <c r="J334">
        <v>4</v>
      </c>
      <c r="K334" t="s">
        <v>16</v>
      </c>
      <c r="L334" t="s">
        <v>52</v>
      </c>
      <c r="M334">
        <f>orders[[#This Row],[Ship Date]]-orders[[#This Row],[Order Date]]</f>
        <v>2</v>
      </c>
      <c r="N334">
        <f>WEEKNUM(orders[[#This Row],[Order Date]],2)</f>
        <v>3</v>
      </c>
      <c r="O334" t="str" cm="1">
        <f t="array" ref="O3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35" spans="1:15" x14ac:dyDescent="0.3">
      <c r="A335" t="s">
        <v>416</v>
      </c>
      <c r="B335" t="s">
        <v>41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24</v>
      </c>
      <c r="I335" t="s">
        <v>32</v>
      </c>
      <c r="J335">
        <v>4</v>
      </c>
      <c r="K335" t="s">
        <v>16</v>
      </c>
      <c r="L335" t="s">
        <v>59</v>
      </c>
      <c r="M335">
        <f>orders[[#This Row],[Ship Date]]-orders[[#This Row],[Order Date]]</f>
        <v>3</v>
      </c>
      <c r="N335">
        <f>WEEKNUM(orders[[#This Row],[Order Date]],2)</f>
        <v>3</v>
      </c>
      <c r="O335" t="str" cm="1">
        <f t="array" ref="O3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36" spans="1:15" x14ac:dyDescent="0.3">
      <c r="A336" t="s">
        <v>417</v>
      </c>
      <c r="B336" t="s">
        <v>43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24</v>
      </c>
      <c r="I336" t="s">
        <v>15</v>
      </c>
      <c r="J336">
        <v>3</v>
      </c>
      <c r="K336" t="s">
        <v>16</v>
      </c>
      <c r="L336" t="s">
        <v>59</v>
      </c>
      <c r="M336">
        <f>orders[[#This Row],[Ship Date]]-orders[[#This Row],[Order Date]]</f>
        <v>1</v>
      </c>
      <c r="N336">
        <f>WEEKNUM(orders[[#This Row],[Order Date]],2)</f>
        <v>3</v>
      </c>
      <c r="O336" t="str" cm="1">
        <f t="array" ref="O3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37" spans="1:15" x14ac:dyDescent="0.3">
      <c r="A337" t="s">
        <v>418</v>
      </c>
      <c r="B337" t="s">
        <v>36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20</v>
      </c>
      <c r="I337" t="s">
        <v>15</v>
      </c>
      <c r="J337">
        <v>4</v>
      </c>
      <c r="K337" t="s">
        <v>16</v>
      </c>
      <c r="L337" t="s">
        <v>59</v>
      </c>
      <c r="M337">
        <f>orders[[#This Row],[Ship Date]]-orders[[#This Row],[Order Date]]</f>
        <v>6</v>
      </c>
      <c r="N337">
        <f>WEEKNUM(orders[[#This Row],[Order Date]],2)</f>
        <v>3</v>
      </c>
      <c r="O337" t="str" cm="1">
        <f t="array" ref="O3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38" spans="1:15" x14ac:dyDescent="0.3">
      <c r="A338" t="s">
        <v>419</v>
      </c>
      <c r="B338" t="s">
        <v>39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14</v>
      </c>
      <c r="I338" t="s">
        <v>67</v>
      </c>
      <c r="J338">
        <v>5</v>
      </c>
      <c r="K338" t="s">
        <v>16</v>
      </c>
      <c r="L338" t="s">
        <v>59</v>
      </c>
      <c r="M338">
        <f>orders[[#This Row],[Ship Date]]-orders[[#This Row],[Order Date]]</f>
        <v>12</v>
      </c>
      <c r="N338">
        <f>WEEKNUM(orders[[#This Row],[Order Date]],2)</f>
        <v>3</v>
      </c>
      <c r="O338" t="str" cm="1">
        <f t="array" ref="O33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39" spans="1:15" x14ac:dyDescent="0.3">
      <c r="A339" t="s">
        <v>420</v>
      </c>
      <c r="B339" t="s">
        <v>36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24</v>
      </c>
      <c r="I339" t="s">
        <v>67</v>
      </c>
      <c r="J339">
        <v>3</v>
      </c>
      <c r="K339" t="s">
        <v>16</v>
      </c>
      <c r="L339" t="s">
        <v>59</v>
      </c>
      <c r="M339">
        <f>orders[[#This Row],[Ship Date]]-orders[[#This Row],[Order Date]]</f>
        <v>2</v>
      </c>
      <c r="N339">
        <f>WEEKNUM(orders[[#This Row],[Order Date]],2)</f>
        <v>3</v>
      </c>
      <c r="O339" t="str" cm="1">
        <f t="array" ref="O3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40" spans="1:15" x14ac:dyDescent="0.3">
      <c r="A340" t="s">
        <v>421</v>
      </c>
      <c r="B340" t="s">
        <v>19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20</v>
      </c>
      <c r="I340" t="s">
        <v>67</v>
      </c>
      <c r="J340">
        <v>4</v>
      </c>
      <c r="K340" t="s">
        <v>16</v>
      </c>
      <c r="L340" t="s">
        <v>59</v>
      </c>
      <c r="M340">
        <f>orders[[#This Row],[Ship Date]]-orders[[#This Row],[Order Date]]</f>
        <v>0</v>
      </c>
      <c r="N340">
        <f>WEEKNUM(orders[[#This Row],[Order Date]],2)</f>
        <v>3</v>
      </c>
      <c r="O340" t="str" cm="1">
        <f t="array" ref="O3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41" spans="1:15" x14ac:dyDescent="0.3">
      <c r="A341" t="s">
        <v>422</v>
      </c>
      <c r="B341" t="s">
        <v>66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24</v>
      </c>
      <c r="I341" t="s">
        <v>37</v>
      </c>
      <c r="J341">
        <v>4</v>
      </c>
      <c r="K341" t="s">
        <v>16</v>
      </c>
      <c r="L341" t="s">
        <v>59</v>
      </c>
      <c r="M341">
        <f>orders[[#This Row],[Ship Date]]-orders[[#This Row],[Order Date]]</f>
        <v>0</v>
      </c>
      <c r="N341">
        <f>WEEKNUM(orders[[#This Row],[Order Date]],2)</f>
        <v>3</v>
      </c>
      <c r="O341" t="str" cm="1">
        <f t="array" ref="O3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42" spans="1:15" x14ac:dyDescent="0.3">
      <c r="A342" t="s">
        <v>423</v>
      </c>
      <c r="B342" t="s">
        <v>41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24</v>
      </c>
      <c r="I342" t="s">
        <v>48</v>
      </c>
      <c r="J342">
        <v>5</v>
      </c>
      <c r="K342" t="s">
        <v>16</v>
      </c>
      <c r="L342" t="s">
        <v>59</v>
      </c>
      <c r="M342">
        <f>orders[[#This Row],[Ship Date]]-orders[[#This Row],[Order Date]]</f>
        <v>2</v>
      </c>
      <c r="N342">
        <f>WEEKNUM(orders[[#This Row],[Order Date]],2)</f>
        <v>3</v>
      </c>
      <c r="O342" t="str" cm="1">
        <f t="array" ref="O34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43" spans="1:15" x14ac:dyDescent="0.3">
      <c r="A343" t="s">
        <v>424</v>
      </c>
      <c r="B343" t="s">
        <v>66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20</v>
      </c>
      <c r="I343" t="s">
        <v>15</v>
      </c>
      <c r="J343">
        <v>2</v>
      </c>
      <c r="K343" t="s">
        <v>16</v>
      </c>
      <c r="L343" t="s">
        <v>100</v>
      </c>
      <c r="M343">
        <f>orders[[#This Row],[Ship Date]]-orders[[#This Row],[Order Date]]</f>
        <v>11</v>
      </c>
      <c r="N343">
        <f>WEEKNUM(orders[[#This Row],[Order Date]],2)</f>
        <v>3</v>
      </c>
      <c r="O343" t="str" cm="1">
        <f t="array" ref="O3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44" spans="1:15" x14ac:dyDescent="0.3">
      <c r="A344" t="s">
        <v>425</v>
      </c>
      <c r="B344" t="s">
        <v>23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24</v>
      </c>
      <c r="I344" t="s">
        <v>15</v>
      </c>
      <c r="J344">
        <v>5</v>
      </c>
      <c r="K344" t="s">
        <v>16</v>
      </c>
      <c r="L344" t="s">
        <v>426</v>
      </c>
      <c r="M344">
        <f>orders[[#This Row],[Ship Date]]-orders[[#This Row],[Order Date]]</f>
        <v>2</v>
      </c>
      <c r="N344">
        <f>WEEKNUM(orders[[#This Row],[Order Date]],2)</f>
        <v>3</v>
      </c>
      <c r="O344" t="str" cm="1">
        <f t="array" ref="O3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45" spans="1:15" x14ac:dyDescent="0.3">
      <c r="A345" t="s">
        <v>427</v>
      </c>
      <c r="B345" t="s">
        <v>27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24</v>
      </c>
      <c r="I345" t="s">
        <v>32</v>
      </c>
      <c r="J345">
        <v>4</v>
      </c>
      <c r="K345" t="s">
        <v>16</v>
      </c>
      <c r="L345" t="s">
        <v>112</v>
      </c>
      <c r="M345">
        <f>orders[[#This Row],[Ship Date]]-orders[[#This Row],[Order Date]]</f>
        <v>4</v>
      </c>
      <c r="N345">
        <f>WEEKNUM(orders[[#This Row],[Order Date]],2)</f>
        <v>3</v>
      </c>
      <c r="O345" t="str" cm="1">
        <f t="array" ref="O3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46" spans="1:15" x14ac:dyDescent="0.3">
      <c r="A346" t="s">
        <v>428</v>
      </c>
      <c r="B346" t="s">
        <v>41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24</v>
      </c>
      <c r="I346" t="s">
        <v>32</v>
      </c>
      <c r="J346">
        <v>3</v>
      </c>
      <c r="K346" t="s">
        <v>16</v>
      </c>
      <c r="L346" t="s">
        <v>112</v>
      </c>
      <c r="M346">
        <f>orders[[#This Row],[Ship Date]]-orders[[#This Row],[Order Date]]</f>
        <v>0</v>
      </c>
      <c r="N346">
        <f>WEEKNUM(orders[[#This Row],[Order Date]],2)</f>
        <v>3</v>
      </c>
      <c r="O346" t="str" cm="1">
        <f t="array" ref="O3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47" spans="1:15" x14ac:dyDescent="0.3">
      <c r="A347" t="s">
        <v>429</v>
      </c>
      <c r="B347" t="s">
        <v>120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14</v>
      </c>
      <c r="I347" t="s">
        <v>15</v>
      </c>
      <c r="J347">
        <v>5</v>
      </c>
      <c r="K347" t="s">
        <v>16</v>
      </c>
      <c r="L347" t="s">
        <v>112</v>
      </c>
      <c r="M347">
        <f>orders[[#This Row],[Ship Date]]-orders[[#This Row],[Order Date]]</f>
        <v>2</v>
      </c>
      <c r="N347">
        <f>WEEKNUM(orders[[#This Row],[Order Date]],2)</f>
        <v>3</v>
      </c>
      <c r="O347" t="str" cm="1">
        <f t="array" ref="O34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48" spans="1:15" x14ac:dyDescent="0.3">
      <c r="A348" t="s">
        <v>430</v>
      </c>
      <c r="B348" t="s">
        <v>120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20</v>
      </c>
      <c r="I348" t="s">
        <v>67</v>
      </c>
      <c r="J348">
        <v>3</v>
      </c>
      <c r="K348" t="s">
        <v>16</v>
      </c>
      <c r="L348" t="s">
        <v>112</v>
      </c>
      <c r="M348">
        <f>orders[[#This Row],[Ship Date]]-orders[[#This Row],[Order Date]]</f>
        <v>2</v>
      </c>
      <c r="N348">
        <f>WEEKNUM(orders[[#This Row],[Order Date]],2)</f>
        <v>3</v>
      </c>
      <c r="O348" t="str" cm="1">
        <f t="array" ref="O3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49" spans="1:15" x14ac:dyDescent="0.3">
      <c r="A349" t="s">
        <v>431</v>
      </c>
      <c r="B349" t="s">
        <v>19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20</v>
      </c>
      <c r="I349" t="s">
        <v>15</v>
      </c>
      <c r="J349">
        <v>3</v>
      </c>
      <c r="K349" t="s">
        <v>16</v>
      </c>
      <c r="L349" t="s">
        <v>21</v>
      </c>
      <c r="M349">
        <f>orders[[#This Row],[Ship Date]]-orders[[#This Row],[Order Date]]</f>
        <v>1</v>
      </c>
      <c r="N349">
        <f>WEEKNUM(orders[[#This Row],[Order Date]],2)</f>
        <v>3</v>
      </c>
      <c r="O349" t="str" cm="1">
        <f t="array" ref="O3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50" spans="1:15" x14ac:dyDescent="0.3">
      <c r="A350" t="s">
        <v>432</v>
      </c>
      <c r="B350" t="s">
        <v>41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20</v>
      </c>
      <c r="I350" t="s">
        <v>15</v>
      </c>
      <c r="J350">
        <v>5</v>
      </c>
      <c r="K350" t="s">
        <v>16</v>
      </c>
      <c r="L350" t="s">
        <v>21</v>
      </c>
      <c r="M350">
        <f>orders[[#This Row],[Ship Date]]-orders[[#This Row],[Order Date]]</f>
        <v>4</v>
      </c>
      <c r="N350">
        <f>WEEKNUM(orders[[#This Row],[Order Date]],2)</f>
        <v>3</v>
      </c>
      <c r="O350" t="str" cm="1">
        <f t="array" ref="O3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51" spans="1:15" x14ac:dyDescent="0.3">
      <c r="A351" t="s">
        <v>433</v>
      </c>
      <c r="B351" t="s">
        <v>36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24</v>
      </c>
      <c r="I351" t="s">
        <v>15</v>
      </c>
      <c r="J351">
        <v>5</v>
      </c>
      <c r="K351" t="s">
        <v>16</v>
      </c>
      <c r="L351" t="s">
        <v>434</v>
      </c>
      <c r="M351">
        <f>orders[[#This Row],[Ship Date]]-orders[[#This Row],[Order Date]]</f>
        <v>1</v>
      </c>
      <c r="N351">
        <f>WEEKNUM(orders[[#This Row],[Order Date]],2)</f>
        <v>3</v>
      </c>
      <c r="O351" t="str" cm="1">
        <f t="array" ref="O3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52" spans="1:15" x14ac:dyDescent="0.3">
      <c r="A352" t="s">
        <v>435</v>
      </c>
      <c r="B352" t="s">
        <v>41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20</v>
      </c>
      <c r="I352" t="s">
        <v>67</v>
      </c>
      <c r="J352">
        <v>2</v>
      </c>
      <c r="K352" t="s">
        <v>16</v>
      </c>
      <c r="L352" t="s">
        <v>25</v>
      </c>
      <c r="M352">
        <f>orders[[#This Row],[Ship Date]]-orders[[#This Row],[Order Date]]</f>
        <v>1</v>
      </c>
      <c r="N352">
        <f>WEEKNUM(orders[[#This Row],[Order Date]],2)</f>
        <v>3</v>
      </c>
      <c r="O352" t="str" cm="1">
        <f t="array" ref="O3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53" spans="1:15" x14ac:dyDescent="0.3">
      <c r="A353" t="s">
        <v>436</v>
      </c>
      <c r="B353" t="s">
        <v>51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24</v>
      </c>
      <c r="I353" t="s">
        <v>32</v>
      </c>
      <c r="J353">
        <v>5</v>
      </c>
      <c r="K353" t="s">
        <v>16</v>
      </c>
      <c r="L353" t="s">
        <v>30</v>
      </c>
      <c r="M353">
        <f>orders[[#This Row],[Ship Date]]-orders[[#This Row],[Order Date]]</f>
        <v>0</v>
      </c>
      <c r="N353">
        <f>WEEKNUM(orders[[#This Row],[Order Date]],2)</f>
        <v>3</v>
      </c>
      <c r="O353" t="str" cm="1">
        <f t="array" ref="O3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54" spans="1:15" x14ac:dyDescent="0.3">
      <c r="A354" t="s">
        <v>437</v>
      </c>
      <c r="B354" t="s">
        <v>36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24</v>
      </c>
      <c r="I354" t="s">
        <v>15</v>
      </c>
      <c r="J354">
        <v>5</v>
      </c>
      <c r="K354" t="s">
        <v>16</v>
      </c>
      <c r="L354" t="s">
        <v>30</v>
      </c>
      <c r="M354">
        <f>orders[[#This Row],[Ship Date]]-orders[[#This Row],[Order Date]]</f>
        <v>8</v>
      </c>
      <c r="N354">
        <f>WEEKNUM(orders[[#This Row],[Order Date]],2)</f>
        <v>3</v>
      </c>
      <c r="O354" t="str" cm="1">
        <f t="array" ref="O3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55" spans="1:15" x14ac:dyDescent="0.3">
      <c r="A355" t="s">
        <v>438</v>
      </c>
      <c r="B355" t="s">
        <v>19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20</v>
      </c>
      <c r="I355" t="s">
        <v>15</v>
      </c>
      <c r="J355">
        <v>4</v>
      </c>
      <c r="K355" t="s">
        <v>16</v>
      </c>
      <c r="L355" t="s">
        <v>30</v>
      </c>
      <c r="M355">
        <f>orders[[#This Row],[Ship Date]]-orders[[#This Row],[Order Date]]</f>
        <v>1</v>
      </c>
      <c r="N355">
        <f>WEEKNUM(orders[[#This Row],[Order Date]],2)</f>
        <v>3</v>
      </c>
      <c r="O355" t="str" cm="1">
        <f t="array" ref="O3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56" spans="1:15" x14ac:dyDescent="0.3">
      <c r="A356" t="s">
        <v>439</v>
      </c>
      <c r="B356" t="s">
        <v>43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20</v>
      </c>
      <c r="I356" t="s">
        <v>37</v>
      </c>
      <c r="J356">
        <v>3</v>
      </c>
      <c r="K356" t="s">
        <v>16</v>
      </c>
      <c r="L356" t="s">
        <v>30</v>
      </c>
      <c r="M356">
        <f>orders[[#This Row],[Ship Date]]-orders[[#This Row],[Order Date]]</f>
        <v>6</v>
      </c>
      <c r="N356">
        <f>WEEKNUM(orders[[#This Row],[Order Date]],2)</f>
        <v>3</v>
      </c>
      <c r="O356" t="str" cm="1">
        <f t="array" ref="O3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57" spans="1:15" x14ac:dyDescent="0.3">
      <c r="A357" t="s">
        <v>440</v>
      </c>
      <c r="B357" t="s">
        <v>132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14</v>
      </c>
      <c r="I357" t="s">
        <v>15</v>
      </c>
      <c r="J357">
        <v>4</v>
      </c>
      <c r="K357" t="s">
        <v>16</v>
      </c>
      <c r="L357" t="s">
        <v>30</v>
      </c>
      <c r="M357">
        <f>orders[[#This Row],[Ship Date]]-orders[[#This Row],[Order Date]]</f>
        <v>1</v>
      </c>
      <c r="N357">
        <f>WEEKNUM(orders[[#This Row],[Order Date]],2)</f>
        <v>3</v>
      </c>
      <c r="O357" t="str" cm="1">
        <f t="array" ref="O35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58" spans="1:15" x14ac:dyDescent="0.3">
      <c r="A358" t="s">
        <v>441</v>
      </c>
      <c r="B358" t="s">
        <v>13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24</v>
      </c>
      <c r="I358" t="s">
        <v>32</v>
      </c>
      <c r="J358">
        <v>4</v>
      </c>
      <c r="K358" t="s">
        <v>16</v>
      </c>
      <c r="L358" t="s">
        <v>30</v>
      </c>
      <c r="M358">
        <f>orders[[#This Row],[Ship Date]]-orders[[#This Row],[Order Date]]</f>
        <v>2</v>
      </c>
      <c r="N358">
        <f>WEEKNUM(orders[[#This Row],[Order Date]],2)</f>
        <v>3</v>
      </c>
      <c r="O358" t="str" cm="1">
        <f t="array" ref="O3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59" spans="1:15" x14ac:dyDescent="0.3">
      <c r="A359" t="s">
        <v>442</v>
      </c>
      <c r="B359" t="s">
        <v>41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24</v>
      </c>
      <c r="I359" t="s">
        <v>32</v>
      </c>
      <c r="J359">
        <v>5</v>
      </c>
      <c r="K359" t="s">
        <v>16</v>
      </c>
      <c r="L359" t="s">
        <v>30</v>
      </c>
      <c r="M359">
        <f>orders[[#This Row],[Ship Date]]-orders[[#This Row],[Order Date]]</f>
        <v>3</v>
      </c>
      <c r="N359">
        <f>WEEKNUM(orders[[#This Row],[Order Date]],2)</f>
        <v>3</v>
      </c>
      <c r="O359" t="str" cm="1">
        <f t="array" ref="O3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60" spans="1:15" x14ac:dyDescent="0.3">
      <c r="A360" t="s">
        <v>443</v>
      </c>
      <c r="B360" t="s">
        <v>51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24</v>
      </c>
      <c r="I360" t="s">
        <v>32</v>
      </c>
      <c r="J360">
        <v>5</v>
      </c>
      <c r="K360" t="s">
        <v>16</v>
      </c>
      <c r="L360" t="s">
        <v>30</v>
      </c>
      <c r="M360">
        <f>orders[[#This Row],[Ship Date]]-orders[[#This Row],[Order Date]]</f>
        <v>0</v>
      </c>
      <c r="N360">
        <f>WEEKNUM(orders[[#This Row],[Order Date]],2)</f>
        <v>3</v>
      </c>
      <c r="O360" t="str" cm="1">
        <f t="array" ref="O3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61" spans="1:15" x14ac:dyDescent="0.3">
      <c r="A361" t="s">
        <v>444</v>
      </c>
      <c r="B361" t="s">
        <v>78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20</v>
      </c>
      <c r="I361" t="s">
        <v>15</v>
      </c>
      <c r="J361">
        <v>5</v>
      </c>
      <c r="K361" t="s">
        <v>16</v>
      </c>
      <c r="L361" t="s">
        <v>30</v>
      </c>
      <c r="M361">
        <f>orders[[#This Row],[Ship Date]]-orders[[#This Row],[Order Date]]</f>
        <v>1</v>
      </c>
      <c r="N361">
        <f>WEEKNUM(orders[[#This Row],[Order Date]],2)</f>
        <v>3</v>
      </c>
      <c r="O361" t="str" cm="1">
        <f t="array" ref="O3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62" spans="1:15" x14ac:dyDescent="0.3">
      <c r="A362" t="s">
        <v>445</v>
      </c>
      <c r="B362" t="s">
        <v>66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24</v>
      </c>
      <c r="I362" t="s">
        <v>32</v>
      </c>
      <c r="J362">
        <v>2</v>
      </c>
      <c r="K362" t="s">
        <v>16</v>
      </c>
      <c r="L362" t="s">
        <v>30</v>
      </c>
      <c r="M362">
        <f>orders[[#This Row],[Ship Date]]-orders[[#This Row],[Order Date]]</f>
        <v>6</v>
      </c>
      <c r="N362">
        <f>WEEKNUM(orders[[#This Row],[Order Date]],2)</f>
        <v>3</v>
      </c>
      <c r="O362" t="str" cm="1">
        <f t="array" ref="O3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63" spans="1:15" x14ac:dyDescent="0.3">
      <c r="A363" t="s">
        <v>446</v>
      </c>
      <c r="B363" t="s">
        <v>19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86</v>
      </c>
      <c r="I363" t="s">
        <v>15</v>
      </c>
      <c r="J363">
        <v>5</v>
      </c>
      <c r="K363" t="s">
        <v>16</v>
      </c>
      <c r="L363" t="s">
        <v>183</v>
      </c>
      <c r="M363">
        <f>orders[[#This Row],[Ship Date]]-orders[[#This Row],[Order Date]]</f>
        <v>1</v>
      </c>
      <c r="N363">
        <f>WEEKNUM(orders[[#This Row],[Order Date]],2)</f>
        <v>3</v>
      </c>
      <c r="O363" t="str" cm="1">
        <f t="array" ref="O36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364" spans="1:15" x14ac:dyDescent="0.3">
      <c r="A364" t="s">
        <v>447</v>
      </c>
      <c r="B364" t="s">
        <v>39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20</v>
      </c>
      <c r="I364" t="s">
        <v>32</v>
      </c>
      <c r="J364">
        <v>5</v>
      </c>
      <c r="K364" t="s">
        <v>16</v>
      </c>
      <c r="L364" t="s">
        <v>52</v>
      </c>
      <c r="M364">
        <f>orders[[#This Row],[Ship Date]]-orders[[#This Row],[Order Date]]</f>
        <v>4</v>
      </c>
      <c r="N364">
        <f>WEEKNUM(orders[[#This Row],[Order Date]],2)</f>
        <v>3</v>
      </c>
      <c r="O364" t="str" cm="1">
        <f t="array" ref="O3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65" spans="1:15" x14ac:dyDescent="0.3">
      <c r="A365" t="s">
        <v>448</v>
      </c>
      <c r="B365" t="s">
        <v>19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24</v>
      </c>
      <c r="I365" t="s">
        <v>32</v>
      </c>
      <c r="J365">
        <v>5</v>
      </c>
      <c r="K365" t="s">
        <v>16</v>
      </c>
      <c r="L365" t="s">
        <v>52</v>
      </c>
      <c r="M365">
        <f>orders[[#This Row],[Ship Date]]-orders[[#This Row],[Order Date]]</f>
        <v>2</v>
      </c>
      <c r="N365">
        <f>WEEKNUM(orders[[#This Row],[Order Date]],2)</f>
        <v>3</v>
      </c>
      <c r="O365" t="str" cm="1">
        <f t="array" ref="O3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66" spans="1:15" x14ac:dyDescent="0.3">
      <c r="A366" t="s">
        <v>449</v>
      </c>
      <c r="B366" t="s">
        <v>43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20</v>
      </c>
      <c r="I366" t="s">
        <v>37</v>
      </c>
      <c r="J366">
        <v>5</v>
      </c>
      <c r="K366" t="s">
        <v>16</v>
      </c>
      <c r="L366" t="s">
        <v>59</v>
      </c>
      <c r="M366">
        <f>orders[[#This Row],[Ship Date]]-orders[[#This Row],[Order Date]]</f>
        <v>3</v>
      </c>
      <c r="N366">
        <f>WEEKNUM(orders[[#This Row],[Order Date]],2)</f>
        <v>3</v>
      </c>
      <c r="O366" t="str" cm="1">
        <f t="array" ref="O3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67" spans="1:15" x14ac:dyDescent="0.3">
      <c r="A367" t="s">
        <v>450</v>
      </c>
      <c r="B367" t="s">
        <v>41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24</v>
      </c>
      <c r="I367" t="s">
        <v>37</v>
      </c>
      <c r="J367">
        <v>3</v>
      </c>
      <c r="K367" t="s">
        <v>16</v>
      </c>
      <c r="L367" t="s">
        <v>59</v>
      </c>
      <c r="M367">
        <f>orders[[#This Row],[Ship Date]]-orders[[#This Row],[Order Date]]</f>
        <v>2</v>
      </c>
      <c r="N367">
        <f>WEEKNUM(orders[[#This Row],[Order Date]],2)</f>
        <v>3</v>
      </c>
      <c r="O367" t="str" cm="1">
        <f t="array" ref="O3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68" spans="1:15" x14ac:dyDescent="0.3">
      <c r="A368" t="s">
        <v>451</v>
      </c>
      <c r="B368" t="s">
        <v>23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14</v>
      </c>
      <c r="I368" t="s">
        <v>15</v>
      </c>
      <c r="J368">
        <v>4</v>
      </c>
      <c r="K368" t="s">
        <v>16</v>
      </c>
      <c r="L368" t="s">
        <v>59</v>
      </c>
      <c r="M368">
        <f>orders[[#This Row],[Ship Date]]-orders[[#This Row],[Order Date]]</f>
        <v>1</v>
      </c>
      <c r="N368">
        <f>WEEKNUM(orders[[#This Row],[Order Date]],2)</f>
        <v>3</v>
      </c>
      <c r="O368" t="str" cm="1">
        <f t="array" ref="O36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69" spans="1:15" x14ac:dyDescent="0.3">
      <c r="A369" t="s">
        <v>452</v>
      </c>
      <c r="B369" t="s">
        <v>27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24</v>
      </c>
      <c r="I369" t="s">
        <v>32</v>
      </c>
      <c r="J369">
        <v>4</v>
      </c>
      <c r="K369" t="s">
        <v>16</v>
      </c>
      <c r="L369" t="s">
        <v>69</v>
      </c>
      <c r="M369">
        <f>orders[[#This Row],[Ship Date]]-orders[[#This Row],[Order Date]]</f>
        <v>1</v>
      </c>
      <c r="N369">
        <f>WEEKNUM(orders[[#This Row],[Order Date]],2)</f>
        <v>3</v>
      </c>
      <c r="O369" t="str" cm="1">
        <f t="array" ref="O3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70" spans="1:15" x14ac:dyDescent="0.3">
      <c r="A370" t="s">
        <v>453</v>
      </c>
      <c r="B370" t="s">
        <v>132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20</v>
      </c>
      <c r="I370" t="s">
        <v>67</v>
      </c>
      <c r="J370">
        <v>2</v>
      </c>
      <c r="K370" t="s">
        <v>16</v>
      </c>
      <c r="L370" t="s">
        <v>71</v>
      </c>
      <c r="M370">
        <f>orders[[#This Row],[Ship Date]]-orders[[#This Row],[Order Date]]</f>
        <v>5</v>
      </c>
      <c r="N370">
        <f>WEEKNUM(orders[[#This Row],[Order Date]],2)</f>
        <v>3</v>
      </c>
      <c r="O370" t="str" cm="1">
        <f t="array" ref="O3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71" spans="1:15" x14ac:dyDescent="0.3">
      <c r="A371" t="s">
        <v>454</v>
      </c>
      <c r="B371" t="s">
        <v>19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24</v>
      </c>
      <c r="I371" t="s">
        <v>15</v>
      </c>
      <c r="J371">
        <v>5</v>
      </c>
      <c r="K371" t="s">
        <v>16</v>
      </c>
      <c r="L371" t="s">
        <v>74</v>
      </c>
      <c r="M371">
        <f>orders[[#This Row],[Ship Date]]-orders[[#This Row],[Order Date]]</f>
        <v>1</v>
      </c>
      <c r="N371">
        <f>WEEKNUM(orders[[#This Row],[Order Date]],2)</f>
        <v>3</v>
      </c>
      <c r="O371" t="str" cm="1">
        <f t="array" ref="O3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72" spans="1:15" x14ac:dyDescent="0.3">
      <c r="A372" t="s">
        <v>455</v>
      </c>
      <c r="B372" t="s">
        <v>41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24</v>
      </c>
      <c r="I372" t="s">
        <v>37</v>
      </c>
      <c r="J372">
        <v>4</v>
      </c>
      <c r="K372" t="s">
        <v>16</v>
      </c>
      <c r="L372" t="s">
        <v>105</v>
      </c>
      <c r="M372">
        <f>orders[[#This Row],[Ship Date]]-orders[[#This Row],[Order Date]]</f>
        <v>2</v>
      </c>
      <c r="N372">
        <f>WEEKNUM(orders[[#This Row],[Order Date]],2)</f>
        <v>3</v>
      </c>
      <c r="O372" t="str" cm="1">
        <f t="array" ref="O3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73" spans="1:15" x14ac:dyDescent="0.3">
      <c r="A373" t="s">
        <v>456</v>
      </c>
      <c r="B373" t="s">
        <v>29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20</v>
      </c>
      <c r="I373" t="s">
        <v>37</v>
      </c>
      <c r="J373">
        <v>5</v>
      </c>
      <c r="K373" t="s">
        <v>16</v>
      </c>
      <c r="L373" t="s">
        <v>112</v>
      </c>
      <c r="M373">
        <f>orders[[#This Row],[Ship Date]]-orders[[#This Row],[Order Date]]</f>
        <v>1</v>
      </c>
      <c r="N373">
        <f>WEEKNUM(orders[[#This Row],[Order Date]],2)</f>
        <v>3</v>
      </c>
      <c r="O373" t="str" cm="1">
        <f t="array" ref="O3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74" spans="1:15" x14ac:dyDescent="0.3">
      <c r="A374" t="s">
        <v>457</v>
      </c>
      <c r="B374" t="s">
        <v>23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20</v>
      </c>
      <c r="I374" t="s">
        <v>15</v>
      </c>
      <c r="J374">
        <v>4</v>
      </c>
      <c r="K374" t="s">
        <v>16</v>
      </c>
      <c r="L374" t="s">
        <v>21</v>
      </c>
      <c r="M374">
        <f>orders[[#This Row],[Ship Date]]-orders[[#This Row],[Order Date]]</f>
        <v>10</v>
      </c>
      <c r="N374">
        <f>WEEKNUM(orders[[#This Row],[Order Date]],2)</f>
        <v>3</v>
      </c>
      <c r="O374" t="str" cm="1">
        <f t="array" ref="O3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75" spans="1:15" x14ac:dyDescent="0.3">
      <c r="A375" t="s">
        <v>458</v>
      </c>
      <c r="B375" t="s">
        <v>143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14</v>
      </c>
      <c r="I375" t="s">
        <v>37</v>
      </c>
      <c r="J375">
        <v>4</v>
      </c>
      <c r="K375" t="s">
        <v>16</v>
      </c>
      <c r="L375" t="s">
        <v>30</v>
      </c>
      <c r="M375">
        <f>orders[[#This Row],[Ship Date]]-orders[[#This Row],[Order Date]]</f>
        <v>1</v>
      </c>
      <c r="N375">
        <f>WEEKNUM(orders[[#This Row],[Order Date]],2)</f>
        <v>3</v>
      </c>
      <c r="O375" t="str" cm="1">
        <f t="array" ref="O37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76" spans="1:15" x14ac:dyDescent="0.3">
      <c r="A376" t="s">
        <v>459</v>
      </c>
      <c r="B376" t="s">
        <v>73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20</v>
      </c>
      <c r="I376" t="s">
        <v>32</v>
      </c>
      <c r="J376">
        <v>4</v>
      </c>
      <c r="K376" t="s">
        <v>16</v>
      </c>
      <c r="L376" t="s">
        <v>30</v>
      </c>
      <c r="M376">
        <f>orders[[#This Row],[Ship Date]]-orders[[#This Row],[Order Date]]</f>
        <v>0</v>
      </c>
      <c r="N376">
        <f>WEEKNUM(orders[[#This Row],[Order Date]],2)</f>
        <v>3</v>
      </c>
      <c r="O376" t="str" cm="1">
        <f t="array" ref="O3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77" spans="1:15" x14ac:dyDescent="0.3">
      <c r="A377" t="s">
        <v>460</v>
      </c>
      <c r="B377" t="s">
        <v>36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24</v>
      </c>
      <c r="I377" t="s">
        <v>15</v>
      </c>
      <c r="J377">
        <v>4</v>
      </c>
      <c r="K377" t="s">
        <v>16</v>
      </c>
      <c r="L377" t="s">
        <v>30</v>
      </c>
      <c r="M377">
        <f>orders[[#This Row],[Ship Date]]-orders[[#This Row],[Order Date]]</f>
        <v>2</v>
      </c>
      <c r="N377">
        <f>WEEKNUM(orders[[#This Row],[Order Date]],2)</f>
        <v>3</v>
      </c>
      <c r="O377" t="str" cm="1">
        <f t="array" ref="O3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78" spans="1:15" x14ac:dyDescent="0.3">
      <c r="A378" t="s">
        <v>461</v>
      </c>
      <c r="B378" t="s">
        <v>19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86</v>
      </c>
      <c r="I378" t="s">
        <v>67</v>
      </c>
      <c r="J378">
        <v>4</v>
      </c>
      <c r="K378" t="s">
        <v>16</v>
      </c>
      <c r="L378" t="s">
        <v>30</v>
      </c>
      <c r="M378">
        <f>orders[[#This Row],[Ship Date]]-orders[[#This Row],[Order Date]]</f>
        <v>3</v>
      </c>
      <c r="N378">
        <f>WEEKNUM(orders[[#This Row],[Order Date]],2)</f>
        <v>3</v>
      </c>
      <c r="O378" t="str" cm="1">
        <f t="array" ref="O378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379" spans="1:15" x14ac:dyDescent="0.3">
      <c r="A379" t="s">
        <v>462</v>
      </c>
      <c r="B379" t="s">
        <v>34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24</v>
      </c>
      <c r="I379" t="s">
        <v>15</v>
      </c>
      <c r="J379">
        <v>4</v>
      </c>
      <c r="K379" t="s">
        <v>16</v>
      </c>
      <c r="L379" t="s">
        <v>30</v>
      </c>
      <c r="M379">
        <f>orders[[#This Row],[Ship Date]]-orders[[#This Row],[Order Date]]</f>
        <v>4</v>
      </c>
      <c r="N379">
        <f>WEEKNUM(orders[[#This Row],[Order Date]],2)</f>
        <v>3</v>
      </c>
      <c r="O379" t="str" cm="1">
        <f t="array" ref="O3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80" spans="1:15" x14ac:dyDescent="0.3">
      <c r="A380" t="s">
        <v>463</v>
      </c>
      <c r="B380" t="s">
        <v>23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24</v>
      </c>
      <c r="I380" t="s">
        <v>32</v>
      </c>
      <c r="J380">
        <v>2</v>
      </c>
      <c r="K380" t="s">
        <v>16</v>
      </c>
      <c r="L380" t="s">
        <v>30</v>
      </c>
      <c r="M380">
        <f>orders[[#This Row],[Ship Date]]-orders[[#This Row],[Order Date]]</f>
        <v>2</v>
      </c>
      <c r="N380">
        <f>WEEKNUM(orders[[#This Row],[Order Date]],2)</f>
        <v>3</v>
      </c>
      <c r="O380" t="str" cm="1">
        <f t="array" ref="O3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81" spans="1:15" x14ac:dyDescent="0.3">
      <c r="A381" t="s">
        <v>464</v>
      </c>
      <c r="B381" t="s">
        <v>36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24</v>
      </c>
      <c r="I381" t="s">
        <v>15</v>
      </c>
      <c r="J381">
        <v>4</v>
      </c>
      <c r="K381" t="s">
        <v>16</v>
      </c>
      <c r="L381" t="s">
        <v>30</v>
      </c>
      <c r="M381">
        <f>orders[[#This Row],[Ship Date]]-orders[[#This Row],[Order Date]]</f>
        <v>1</v>
      </c>
      <c r="N381">
        <f>WEEKNUM(orders[[#This Row],[Order Date]],2)</f>
        <v>3</v>
      </c>
      <c r="O381" t="str" cm="1">
        <f t="array" ref="O3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82" spans="1:15" x14ac:dyDescent="0.3">
      <c r="A382" t="s">
        <v>465</v>
      </c>
      <c r="B382" t="s">
        <v>64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20</v>
      </c>
      <c r="I382" t="s">
        <v>15</v>
      </c>
      <c r="J382">
        <v>4</v>
      </c>
      <c r="K382" t="s">
        <v>16</v>
      </c>
      <c r="L382" t="s">
        <v>30</v>
      </c>
      <c r="M382">
        <f>orders[[#This Row],[Ship Date]]-orders[[#This Row],[Order Date]]</f>
        <v>0</v>
      </c>
      <c r="N382">
        <f>WEEKNUM(orders[[#This Row],[Order Date]],2)</f>
        <v>3</v>
      </c>
      <c r="O382" t="str" cm="1">
        <f t="array" ref="O3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83" spans="1:15" x14ac:dyDescent="0.3">
      <c r="A383" t="s">
        <v>466</v>
      </c>
      <c r="B383" t="s">
        <v>78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86</v>
      </c>
      <c r="I383" t="s">
        <v>15</v>
      </c>
      <c r="J383">
        <v>3</v>
      </c>
      <c r="K383" t="s">
        <v>16</v>
      </c>
      <c r="L383" t="s">
        <v>30</v>
      </c>
      <c r="M383">
        <f>orders[[#This Row],[Ship Date]]-orders[[#This Row],[Order Date]]</f>
        <v>1</v>
      </c>
      <c r="N383">
        <f>WEEKNUM(orders[[#This Row],[Order Date]],2)</f>
        <v>3</v>
      </c>
      <c r="O383" t="str" cm="1">
        <f t="array" ref="O38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384" spans="1:15" x14ac:dyDescent="0.3">
      <c r="A384" t="s">
        <v>467</v>
      </c>
      <c r="B384" t="s">
        <v>36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20</v>
      </c>
      <c r="I384" t="s">
        <v>32</v>
      </c>
      <c r="J384">
        <v>4</v>
      </c>
      <c r="K384" t="s">
        <v>16</v>
      </c>
      <c r="L384" t="s">
        <v>52</v>
      </c>
      <c r="M384">
        <f>orders[[#This Row],[Ship Date]]-orders[[#This Row],[Order Date]]</f>
        <v>1</v>
      </c>
      <c r="N384">
        <f>WEEKNUM(orders[[#This Row],[Order Date]],2)</f>
        <v>3</v>
      </c>
      <c r="O384" t="str" cm="1">
        <f t="array" ref="O3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85" spans="1:15" x14ac:dyDescent="0.3">
      <c r="A385" t="s">
        <v>468</v>
      </c>
      <c r="B385" t="s">
        <v>43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24</v>
      </c>
      <c r="I385" t="s">
        <v>32</v>
      </c>
      <c r="J385">
        <v>4</v>
      </c>
      <c r="K385" t="s">
        <v>16</v>
      </c>
      <c r="L385" t="s">
        <v>52</v>
      </c>
      <c r="M385">
        <f>orders[[#This Row],[Ship Date]]-orders[[#This Row],[Order Date]]</f>
        <v>1</v>
      </c>
      <c r="N385">
        <f>WEEKNUM(orders[[#This Row],[Order Date]],2)</f>
        <v>3</v>
      </c>
      <c r="O385" t="str" cm="1">
        <f t="array" ref="O3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86" spans="1:15" x14ac:dyDescent="0.3">
      <c r="A386" t="s">
        <v>469</v>
      </c>
      <c r="B386" t="s">
        <v>29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24</v>
      </c>
      <c r="I386" t="s">
        <v>32</v>
      </c>
      <c r="J386">
        <v>4</v>
      </c>
      <c r="K386" t="s">
        <v>16</v>
      </c>
      <c r="L386" t="s">
        <v>56</v>
      </c>
      <c r="M386">
        <f>orders[[#This Row],[Ship Date]]-orders[[#This Row],[Order Date]]</f>
        <v>2</v>
      </c>
      <c r="N386">
        <f>WEEKNUM(orders[[#This Row],[Order Date]],2)</f>
        <v>3</v>
      </c>
      <c r="O386" t="str" cm="1">
        <f t="array" ref="O3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87" spans="1:15" x14ac:dyDescent="0.3">
      <c r="A387" t="s">
        <v>470</v>
      </c>
      <c r="B387" t="s">
        <v>36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14</v>
      </c>
      <c r="I387" t="s">
        <v>37</v>
      </c>
      <c r="J387">
        <v>4</v>
      </c>
      <c r="K387" t="s">
        <v>16</v>
      </c>
      <c r="L387" t="s">
        <v>56</v>
      </c>
      <c r="M387">
        <f>orders[[#This Row],[Ship Date]]-orders[[#This Row],[Order Date]]</f>
        <v>3</v>
      </c>
      <c r="N387">
        <f>WEEKNUM(orders[[#This Row],[Order Date]],2)</f>
        <v>3</v>
      </c>
      <c r="O387" t="str" cm="1">
        <f t="array" ref="O38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388" spans="1:15" x14ac:dyDescent="0.3">
      <c r="A388" t="s">
        <v>471</v>
      </c>
      <c r="B388" t="s">
        <v>23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20</v>
      </c>
      <c r="I388" t="s">
        <v>37</v>
      </c>
      <c r="J388">
        <v>3</v>
      </c>
      <c r="K388" t="s">
        <v>16</v>
      </c>
      <c r="L388" t="s">
        <v>56</v>
      </c>
      <c r="M388">
        <f>orders[[#This Row],[Ship Date]]-orders[[#This Row],[Order Date]]</f>
        <v>1</v>
      </c>
      <c r="N388">
        <f>WEEKNUM(orders[[#This Row],[Order Date]],2)</f>
        <v>3</v>
      </c>
      <c r="O388" t="str" cm="1">
        <f t="array" ref="O38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89" spans="1:15" x14ac:dyDescent="0.3">
      <c r="A389" t="s">
        <v>472</v>
      </c>
      <c r="B389" t="s">
        <v>23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20</v>
      </c>
      <c r="I389" t="s">
        <v>37</v>
      </c>
      <c r="J389">
        <v>4</v>
      </c>
      <c r="K389" t="s">
        <v>16</v>
      </c>
      <c r="L389" t="s">
        <v>59</v>
      </c>
      <c r="M389">
        <f>orders[[#This Row],[Ship Date]]-orders[[#This Row],[Order Date]]</f>
        <v>1</v>
      </c>
      <c r="N389">
        <f>WEEKNUM(orders[[#This Row],[Order Date]],2)</f>
        <v>3</v>
      </c>
      <c r="O389" t="str" cm="1">
        <f t="array" ref="O3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90" spans="1:15" x14ac:dyDescent="0.3">
      <c r="A390" t="s">
        <v>473</v>
      </c>
      <c r="B390" t="s">
        <v>29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24</v>
      </c>
      <c r="I390" t="s">
        <v>37</v>
      </c>
      <c r="J390">
        <v>4</v>
      </c>
      <c r="K390" t="s">
        <v>16</v>
      </c>
      <c r="L390" t="s">
        <v>59</v>
      </c>
      <c r="M390">
        <f>orders[[#This Row],[Ship Date]]-orders[[#This Row],[Order Date]]</f>
        <v>4</v>
      </c>
      <c r="N390">
        <f>WEEKNUM(orders[[#This Row],[Order Date]],2)</f>
        <v>3</v>
      </c>
      <c r="O390" t="str" cm="1">
        <f t="array" ref="O3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91" spans="1:15" x14ac:dyDescent="0.3">
      <c r="A391" t="s">
        <v>474</v>
      </c>
      <c r="B391" t="s">
        <v>51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20</v>
      </c>
      <c r="I391" t="s">
        <v>32</v>
      </c>
      <c r="J391">
        <v>4</v>
      </c>
      <c r="K391" t="s">
        <v>16</v>
      </c>
      <c r="L391" t="s">
        <v>59</v>
      </c>
      <c r="M391">
        <f>orders[[#This Row],[Ship Date]]-orders[[#This Row],[Order Date]]</f>
        <v>3</v>
      </c>
      <c r="N391">
        <f>WEEKNUM(orders[[#This Row],[Order Date]],2)</f>
        <v>3</v>
      </c>
      <c r="O391" t="str" cm="1">
        <f t="array" ref="O3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92" spans="1:15" x14ac:dyDescent="0.3">
      <c r="A392" t="s">
        <v>475</v>
      </c>
      <c r="B392" t="s">
        <v>34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24</v>
      </c>
      <c r="I392" t="s">
        <v>37</v>
      </c>
      <c r="J392">
        <v>3</v>
      </c>
      <c r="K392" t="s">
        <v>16</v>
      </c>
      <c r="L392" t="s">
        <v>100</v>
      </c>
      <c r="M392">
        <f>orders[[#This Row],[Ship Date]]-orders[[#This Row],[Order Date]]</f>
        <v>0</v>
      </c>
      <c r="N392">
        <f>WEEKNUM(orders[[#This Row],[Order Date]],2)</f>
        <v>3</v>
      </c>
      <c r="O392" t="str" cm="1">
        <f t="array" ref="O3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93" spans="1:15" x14ac:dyDescent="0.3">
      <c r="A393" t="s">
        <v>476</v>
      </c>
      <c r="B393" t="s">
        <v>23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20</v>
      </c>
      <c r="I393" t="s">
        <v>32</v>
      </c>
      <c r="J393">
        <v>4</v>
      </c>
      <c r="K393" t="s">
        <v>16</v>
      </c>
      <c r="L393" t="s">
        <v>74</v>
      </c>
      <c r="M393">
        <f>orders[[#This Row],[Ship Date]]-orders[[#This Row],[Order Date]]</f>
        <v>1</v>
      </c>
      <c r="N393">
        <f>WEEKNUM(orders[[#This Row],[Order Date]],2)</f>
        <v>3</v>
      </c>
      <c r="O393" t="str" cm="1">
        <f t="array" ref="O3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94" spans="1:15" x14ac:dyDescent="0.3">
      <c r="A394" t="s">
        <v>477</v>
      </c>
      <c r="B394" t="s">
        <v>23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24</v>
      </c>
      <c r="I394" t="s">
        <v>32</v>
      </c>
      <c r="J394">
        <v>2</v>
      </c>
      <c r="K394" t="s">
        <v>16</v>
      </c>
      <c r="L394" t="s">
        <v>105</v>
      </c>
      <c r="M394">
        <f>orders[[#This Row],[Ship Date]]-orders[[#This Row],[Order Date]]</f>
        <v>3</v>
      </c>
      <c r="N394">
        <f>WEEKNUM(orders[[#This Row],[Order Date]],2)</f>
        <v>3</v>
      </c>
      <c r="O394" t="str" cm="1">
        <f t="array" ref="O3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395" spans="1:15" x14ac:dyDescent="0.3">
      <c r="A395" t="s">
        <v>478</v>
      </c>
      <c r="B395" t="s">
        <v>66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20</v>
      </c>
      <c r="I395" t="s">
        <v>32</v>
      </c>
      <c r="J395">
        <v>3</v>
      </c>
      <c r="K395" t="s">
        <v>16</v>
      </c>
      <c r="L395" t="s">
        <v>79</v>
      </c>
      <c r="M395">
        <f>orders[[#This Row],[Ship Date]]-orders[[#This Row],[Order Date]]</f>
        <v>3</v>
      </c>
      <c r="N395">
        <f>WEEKNUM(orders[[#This Row],[Order Date]],2)</f>
        <v>3</v>
      </c>
      <c r="O395" t="str" cm="1">
        <f t="array" ref="O3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96" spans="1:15" x14ac:dyDescent="0.3">
      <c r="A396" t="s">
        <v>479</v>
      </c>
      <c r="B396" t="s">
        <v>34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20</v>
      </c>
      <c r="I396" t="s">
        <v>48</v>
      </c>
      <c r="J396">
        <v>4</v>
      </c>
      <c r="K396" t="s">
        <v>16</v>
      </c>
      <c r="L396" t="s">
        <v>112</v>
      </c>
      <c r="M396">
        <f>orders[[#This Row],[Ship Date]]-orders[[#This Row],[Order Date]]</f>
        <v>6</v>
      </c>
      <c r="N396">
        <f>WEEKNUM(orders[[#This Row],[Order Date]],2)</f>
        <v>3</v>
      </c>
      <c r="O396" t="str" cm="1">
        <f t="array" ref="O3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97" spans="1:15" x14ac:dyDescent="0.3">
      <c r="A397" t="s">
        <v>480</v>
      </c>
      <c r="B397" t="s">
        <v>120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86</v>
      </c>
      <c r="I397" t="s">
        <v>32</v>
      </c>
      <c r="J397">
        <v>4</v>
      </c>
      <c r="K397" t="s">
        <v>16</v>
      </c>
      <c r="L397" t="s">
        <v>112</v>
      </c>
      <c r="M397">
        <f>orders[[#This Row],[Ship Date]]-orders[[#This Row],[Order Date]]</f>
        <v>2</v>
      </c>
      <c r="N397">
        <f>WEEKNUM(orders[[#This Row],[Order Date]],2)</f>
        <v>3</v>
      </c>
      <c r="O397" t="str" cm="1">
        <f t="array" ref="O39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398" spans="1:15" x14ac:dyDescent="0.3">
      <c r="A398" t="s">
        <v>481</v>
      </c>
      <c r="B398" t="s">
        <v>143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20</v>
      </c>
      <c r="I398" t="s">
        <v>32</v>
      </c>
      <c r="J398">
        <v>4</v>
      </c>
      <c r="K398" t="s">
        <v>16</v>
      </c>
      <c r="L398" t="s">
        <v>112</v>
      </c>
      <c r="M398">
        <f>orders[[#This Row],[Ship Date]]-orders[[#This Row],[Order Date]]</f>
        <v>5</v>
      </c>
      <c r="N398">
        <f>WEEKNUM(orders[[#This Row],[Order Date]],2)</f>
        <v>3</v>
      </c>
      <c r="O398" t="str" cm="1">
        <f t="array" ref="O3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399" spans="1:15" x14ac:dyDescent="0.3">
      <c r="A399" t="s">
        <v>482</v>
      </c>
      <c r="B399" t="s">
        <v>23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24</v>
      </c>
      <c r="I399" t="s">
        <v>67</v>
      </c>
      <c r="J399">
        <v>4</v>
      </c>
      <c r="K399" t="s">
        <v>16</v>
      </c>
      <c r="L399" t="s">
        <v>21</v>
      </c>
      <c r="M399">
        <f>orders[[#This Row],[Ship Date]]-orders[[#This Row],[Order Date]]</f>
        <v>0</v>
      </c>
      <c r="N399">
        <f>WEEKNUM(orders[[#This Row],[Order Date]],2)</f>
        <v>3</v>
      </c>
      <c r="O399" t="str" cm="1">
        <f t="array" ref="O3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00" spans="1:15" x14ac:dyDescent="0.3">
      <c r="A400" t="s">
        <v>483</v>
      </c>
      <c r="B400" t="s">
        <v>41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20</v>
      </c>
      <c r="I400" t="s">
        <v>32</v>
      </c>
      <c r="J400">
        <v>2</v>
      </c>
      <c r="K400" t="s">
        <v>16</v>
      </c>
      <c r="L400" t="s">
        <v>331</v>
      </c>
      <c r="M400">
        <f>orders[[#This Row],[Ship Date]]-orders[[#This Row],[Order Date]]</f>
        <v>2</v>
      </c>
      <c r="N400">
        <f>WEEKNUM(orders[[#This Row],[Order Date]],2)</f>
        <v>3</v>
      </c>
      <c r="O400" t="str" cm="1">
        <f t="array" ref="O4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01" spans="1:15" x14ac:dyDescent="0.3">
      <c r="A401" t="s">
        <v>484</v>
      </c>
      <c r="B401" t="s">
        <v>41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20</v>
      </c>
      <c r="I401" t="s">
        <v>15</v>
      </c>
      <c r="J401">
        <v>4</v>
      </c>
      <c r="K401" t="s">
        <v>16</v>
      </c>
      <c r="L401" t="s">
        <v>30</v>
      </c>
      <c r="M401">
        <f>orders[[#This Row],[Ship Date]]-orders[[#This Row],[Order Date]]</f>
        <v>1</v>
      </c>
      <c r="N401">
        <f>WEEKNUM(orders[[#This Row],[Order Date]],2)</f>
        <v>3</v>
      </c>
      <c r="O401" t="str" cm="1">
        <f t="array" ref="O4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02" spans="1:15" x14ac:dyDescent="0.3">
      <c r="A402" t="s">
        <v>485</v>
      </c>
      <c r="B402" t="s">
        <v>41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20</v>
      </c>
      <c r="I402" t="s">
        <v>48</v>
      </c>
      <c r="J402">
        <v>5</v>
      </c>
      <c r="K402" t="s">
        <v>16</v>
      </c>
      <c r="L402" t="s">
        <v>30</v>
      </c>
      <c r="M402">
        <f>orders[[#This Row],[Ship Date]]-orders[[#This Row],[Order Date]]</f>
        <v>3</v>
      </c>
      <c r="N402">
        <f>WEEKNUM(orders[[#This Row],[Order Date]],2)</f>
        <v>3</v>
      </c>
      <c r="O402" t="str" cm="1">
        <f t="array" ref="O4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03" spans="1:15" x14ac:dyDescent="0.3">
      <c r="A403" t="s">
        <v>486</v>
      </c>
      <c r="B403" t="s">
        <v>51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24</v>
      </c>
      <c r="I403" t="s">
        <v>32</v>
      </c>
      <c r="J403">
        <v>3</v>
      </c>
      <c r="K403" t="s">
        <v>16</v>
      </c>
      <c r="L403" t="s">
        <v>30</v>
      </c>
      <c r="M403">
        <f>orders[[#This Row],[Ship Date]]-orders[[#This Row],[Order Date]]</f>
        <v>0</v>
      </c>
      <c r="N403">
        <f>WEEKNUM(orders[[#This Row],[Order Date]],2)</f>
        <v>3</v>
      </c>
      <c r="O403" t="str" cm="1">
        <f t="array" ref="O4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04" spans="1:15" x14ac:dyDescent="0.3">
      <c r="A404" t="s">
        <v>487</v>
      </c>
      <c r="B404" t="s">
        <v>13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24</v>
      </c>
      <c r="I404" t="s">
        <v>32</v>
      </c>
      <c r="J404">
        <v>5</v>
      </c>
      <c r="K404" t="s">
        <v>16</v>
      </c>
      <c r="L404" t="s">
        <v>30</v>
      </c>
      <c r="M404">
        <f>orders[[#This Row],[Ship Date]]-orders[[#This Row],[Order Date]]</f>
        <v>2</v>
      </c>
      <c r="N404">
        <f>WEEKNUM(orders[[#This Row],[Order Date]],2)</f>
        <v>3</v>
      </c>
      <c r="O404" t="str" cm="1">
        <f t="array" ref="O4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05" spans="1:15" x14ac:dyDescent="0.3">
      <c r="A405" t="s">
        <v>488</v>
      </c>
      <c r="B405" t="s">
        <v>41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86</v>
      </c>
      <c r="I405" t="s">
        <v>15</v>
      </c>
      <c r="J405">
        <v>4</v>
      </c>
      <c r="K405" t="s">
        <v>16</v>
      </c>
      <c r="L405" t="s">
        <v>30</v>
      </c>
      <c r="M405">
        <f>orders[[#This Row],[Ship Date]]-orders[[#This Row],[Order Date]]</f>
        <v>2</v>
      </c>
      <c r="N405">
        <f>WEEKNUM(orders[[#This Row],[Order Date]],2)</f>
        <v>3</v>
      </c>
      <c r="O405" t="str" cm="1">
        <f t="array" ref="O40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406" spans="1:15" x14ac:dyDescent="0.3">
      <c r="A406" t="s">
        <v>489</v>
      </c>
      <c r="B406" t="s">
        <v>51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24</v>
      </c>
      <c r="I406" t="s">
        <v>32</v>
      </c>
      <c r="J406">
        <v>4</v>
      </c>
      <c r="K406" t="s">
        <v>16</v>
      </c>
      <c r="L406" t="s">
        <v>52</v>
      </c>
      <c r="M406">
        <f>orders[[#This Row],[Ship Date]]-orders[[#This Row],[Order Date]]</f>
        <v>1</v>
      </c>
      <c r="N406">
        <f>WEEKNUM(orders[[#This Row],[Order Date]],2)</f>
        <v>3</v>
      </c>
      <c r="O406" t="str" cm="1">
        <f t="array" ref="O4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07" spans="1:15" x14ac:dyDescent="0.3">
      <c r="A407" t="s">
        <v>490</v>
      </c>
      <c r="B407" t="s">
        <v>41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24</v>
      </c>
      <c r="I407" t="s">
        <v>48</v>
      </c>
      <c r="J407">
        <v>5</v>
      </c>
      <c r="K407" t="s">
        <v>16</v>
      </c>
      <c r="L407" t="s">
        <v>52</v>
      </c>
      <c r="M407">
        <f>orders[[#This Row],[Ship Date]]-orders[[#This Row],[Order Date]]</f>
        <v>2</v>
      </c>
      <c r="N407">
        <f>WEEKNUM(orders[[#This Row],[Order Date]],2)</f>
        <v>3</v>
      </c>
      <c r="O407" t="str" cm="1">
        <f t="array" ref="O4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08" spans="1:15" x14ac:dyDescent="0.3">
      <c r="A408" t="s">
        <v>491</v>
      </c>
      <c r="B408" t="s">
        <v>39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24</v>
      </c>
      <c r="I408" t="s">
        <v>15</v>
      </c>
      <c r="J408">
        <v>4</v>
      </c>
      <c r="K408" t="s">
        <v>16</v>
      </c>
      <c r="L408" t="s">
        <v>59</v>
      </c>
      <c r="M408">
        <f>orders[[#This Row],[Ship Date]]-orders[[#This Row],[Order Date]]</f>
        <v>2</v>
      </c>
      <c r="N408">
        <f>WEEKNUM(orders[[#This Row],[Order Date]],2)</f>
        <v>3</v>
      </c>
      <c r="O408" t="str" cm="1">
        <f t="array" ref="O4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09" spans="1:15" x14ac:dyDescent="0.3">
      <c r="A409" t="s">
        <v>492</v>
      </c>
      <c r="B409" t="s">
        <v>13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20</v>
      </c>
      <c r="I409" t="s">
        <v>15</v>
      </c>
      <c r="J409">
        <v>5</v>
      </c>
      <c r="K409" t="s">
        <v>16</v>
      </c>
      <c r="L409" t="s">
        <v>59</v>
      </c>
      <c r="M409">
        <f>orders[[#This Row],[Ship Date]]-orders[[#This Row],[Order Date]]</f>
        <v>1</v>
      </c>
      <c r="N409">
        <f>WEEKNUM(orders[[#This Row],[Order Date]],2)</f>
        <v>3</v>
      </c>
      <c r="O409" t="str" cm="1">
        <f t="array" ref="O4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10" spans="1:15" x14ac:dyDescent="0.3">
      <c r="A410" t="s">
        <v>493</v>
      </c>
      <c r="B410" t="s">
        <v>27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20</v>
      </c>
      <c r="I410" t="s">
        <v>37</v>
      </c>
      <c r="J410">
        <v>3</v>
      </c>
      <c r="K410" t="s">
        <v>16</v>
      </c>
      <c r="L410" t="s">
        <v>59</v>
      </c>
      <c r="M410">
        <f>orders[[#This Row],[Ship Date]]-orders[[#This Row],[Order Date]]</f>
        <v>1</v>
      </c>
      <c r="N410">
        <f>WEEKNUM(orders[[#This Row],[Order Date]],2)</f>
        <v>3</v>
      </c>
      <c r="O410" t="str" cm="1">
        <f t="array" ref="O4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11" spans="1:15" x14ac:dyDescent="0.3">
      <c r="A411" t="s">
        <v>494</v>
      </c>
      <c r="B411" t="s">
        <v>51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20</v>
      </c>
      <c r="I411" t="s">
        <v>37</v>
      </c>
      <c r="J411">
        <v>4</v>
      </c>
      <c r="K411" t="s">
        <v>16</v>
      </c>
      <c r="L411" t="s">
        <v>69</v>
      </c>
      <c r="M411">
        <f>orders[[#This Row],[Ship Date]]-orders[[#This Row],[Order Date]]</f>
        <v>1</v>
      </c>
      <c r="N411">
        <f>WEEKNUM(orders[[#This Row],[Order Date]],2)</f>
        <v>3</v>
      </c>
      <c r="O411" t="str" cm="1">
        <f t="array" ref="O4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12" spans="1:15" x14ac:dyDescent="0.3">
      <c r="A412" t="s">
        <v>495</v>
      </c>
      <c r="B412" t="s">
        <v>43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24</v>
      </c>
      <c r="I412" t="s">
        <v>67</v>
      </c>
      <c r="J412">
        <v>3</v>
      </c>
      <c r="K412" t="s">
        <v>16</v>
      </c>
      <c r="L412" t="s">
        <v>74</v>
      </c>
      <c r="M412">
        <f>orders[[#This Row],[Ship Date]]-orders[[#This Row],[Order Date]]</f>
        <v>3</v>
      </c>
      <c r="N412">
        <f>WEEKNUM(orders[[#This Row],[Order Date]],2)</f>
        <v>3</v>
      </c>
      <c r="O412" t="str" cm="1">
        <f t="array" ref="O4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13" spans="1:15" x14ac:dyDescent="0.3">
      <c r="A413" t="s">
        <v>496</v>
      </c>
      <c r="B413" t="s">
        <v>13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20</v>
      </c>
      <c r="I413" t="s">
        <v>48</v>
      </c>
      <c r="J413">
        <v>5</v>
      </c>
      <c r="K413" t="s">
        <v>16</v>
      </c>
      <c r="L413" t="s">
        <v>306</v>
      </c>
      <c r="M413">
        <f>orders[[#This Row],[Ship Date]]-orders[[#This Row],[Order Date]]</f>
        <v>2</v>
      </c>
      <c r="N413">
        <f>WEEKNUM(orders[[#This Row],[Order Date]],2)</f>
        <v>3</v>
      </c>
      <c r="O413" t="str" cm="1">
        <f t="array" ref="O41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14" spans="1:15" x14ac:dyDescent="0.3">
      <c r="A414" t="s">
        <v>497</v>
      </c>
      <c r="B414" t="s">
        <v>29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20</v>
      </c>
      <c r="I414" t="s">
        <v>15</v>
      </c>
      <c r="J414">
        <v>4</v>
      </c>
      <c r="K414" t="s">
        <v>16</v>
      </c>
      <c r="L414" t="s">
        <v>79</v>
      </c>
      <c r="M414">
        <f>orders[[#This Row],[Ship Date]]-orders[[#This Row],[Order Date]]</f>
        <v>3</v>
      </c>
      <c r="N414">
        <f>WEEKNUM(orders[[#This Row],[Order Date]],2)</f>
        <v>3</v>
      </c>
      <c r="O414" t="str" cm="1">
        <f t="array" ref="O4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15" spans="1:15" x14ac:dyDescent="0.3">
      <c r="A415" t="s">
        <v>498</v>
      </c>
      <c r="B415" t="s">
        <v>41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24</v>
      </c>
      <c r="I415" t="s">
        <v>32</v>
      </c>
      <c r="J415">
        <v>4</v>
      </c>
      <c r="K415" t="s">
        <v>16</v>
      </c>
      <c r="L415" t="s">
        <v>25</v>
      </c>
      <c r="M415">
        <f>orders[[#This Row],[Ship Date]]-orders[[#This Row],[Order Date]]</f>
        <v>8</v>
      </c>
      <c r="N415">
        <f>WEEKNUM(orders[[#This Row],[Order Date]],2)</f>
        <v>3</v>
      </c>
      <c r="O415" t="str" cm="1">
        <f t="array" ref="O4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16" spans="1:15" x14ac:dyDescent="0.3">
      <c r="A416" t="s">
        <v>499</v>
      </c>
      <c r="B416" t="s">
        <v>36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14</v>
      </c>
      <c r="I416" t="s">
        <v>37</v>
      </c>
      <c r="J416">
        <v>5</v>
      </c>
      <c r="K416" t="s">
        <v>16</v>
      </c>
      <c r="L416" t="s">
        <v>144</v>
      </c>
      <c r="M416">
        <f>orders[[#This Row],[Ship Date]]-orders[[#This Row],[Order Date]]</f>
        <v>3</v>
      </c>
      <c r="N416">
        <f>WEEKNUM(orders[[#This Row],[Order Date]],2)</f>
        <v>3</v>
      </c>
      <c r="O416" t="str" cm="1">
        <f t="array" ref="O41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417" spans="1:15" x14ac:dyDescent="0.3">
      <c r="A417" t="s">
        <v>500</v>
      </c>
      <c r="B417" t="s">
        <v>143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24</v>
      </c>
      <c r="I417" t="s">
        <v>15</v>
      </c>
      <c r="J417">
        <v>4</v>
      </c>
      <c r="K417" t="s">
        <v>16</v>
      </c>
      <c r="L417" t="s">
        <v>30</v>
      </c>
      <c r="M417">
        <f>orders[[#This Row],[Ship Date]]-orders[[#This Row],[Order Date]]</f>
        <v>2</v>
      </c>
      <c r="N417">
        <f>WEEKNUM(orders[[#This Row],[Order Date]],2)</f>
        <v>3</v>
      </c>
      <c r="O417" t="str" cm="1">
        <f t="array" ref="O4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18" spans="1:15" x14ac:dyDescent="0.3">
      <c r="A418" t="s">
        <v>501</v>
      </c>
      <c r="B418" t="s">
        <v>125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86</v>
      </c>
      <c r="I418" t="s">
        <v>48</v>
      </c>
      <c r="J418">
        <v>5</v>
      </c>
      <c r="K418" t="s">
        <v>16</v>
      </c>
      <c r="L418" t="s">
        <v>30</v>
      </c>
      <c r="M418">
        <f>orders[[#This Row],[Ship Date]]-orders[[#This Row],[Order Date]]</f>
        <v>1</v>
      </c>
      <c r="N418">
        <f>WEEKNUM(orders[[#This Row],[Order Date]],2)</f>
        <v>3</v>
      </c>
      <c r="O418" t="str" cm="1">
        <f t="array" ref="O418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419" spans="1:15" x14ac:dyDescent="0.3">
      <c r="A419" t="s">
        <v>502</v>
      </c>
      <c r="B419" t="s">
        <v>36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20</v>
      </c>
      <c r="I419" t="s">
        <v>32</v>
      </c>
      <c r="J419">
        <v>5</v>
      </c>
      <c r="K419" t="s">
        <v>16</v>
      </c>
      <c r="L419" t="s">
        <v>30</v>
      </c>
      <c r="M419">
        <f>orders[[#This Row],[Ship Date]]-orders[[#This Row],[Order Date]]</f>
        <v>1</v>
      </c>
      <c r="N419">
        <f>WEEKNUM(orders[[#This Row],[Order Date]],2)</f>
        <v>3</v>
      </c>
      <c r="O419" t="str" cm="1">
        <f t="array" ref="O4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20" spans="1:15" x14ac:dyDescent="0.3">
      <c r="A420" t="s">
        <v>503</v>
      </c>
      <c r="B420" t="s">
        <v>43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24</v>
      </c>
      <c r="I420" t="s">
        <v>48</v>
      </c>
      <c r="J420">
        <v>4</v>
      </c>
      <c r="K420" t="s">
        <v>16</v>
      </c>
      <c r="L420" t="s">
        <v>30</v>
      </c>
      <c r="M420">
        <f>orders[[#This Row],[Ship Date]]-orders[[#This Row],[Order Date]]</f>
        <v>0</v>
      </c>
      <c r="N420">
        <f>WEEKNUM(orders[[#This Row],[Order Date]],2)</f>
        <v>3</v>
      </c>
      <c r="O420" t="str" cm="1">
        <f t="array" ref="O4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21" spans="1:15" x14ac:dyDescent="0.3">
      <c r="A421" t="s">
        <v>504</v>
      </c>
      <c r="B421" t="s">
        <v>19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20</v>
      </c>
      <c r="I421" t="s">
        <v>48</v>
      </c>
      <c r="J421">
        <v>2</v>
      </c>
      <c r="K421" t="s">
        <v>16</v>
      </c>
      <c r="L421" t="s">
        <v>30</v>
      </c>
      <c r="M421">
        <f>orders[[#This Row],[Ship Date]]-orders[[#This Row],[Order Date]]</f>
        <v>4</v>
      </c>
      <c r="N421">
        <f>WEEKNUM(orders[[#This Row],[Order Date]],2)</f>
        <v>3</v>
      </c>
      <c r="O421" t="str" cm="1">
        <f t="array" ref="O4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22" spans="1:15" x14ac:dyDescent="0.3">
      <c r="A422" t="s">
        <v>505</v>
      </c>
      <c r="B422" t="s">
        <v>132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20</v>
      </c>
      <c r="I422" t="s">
        <v>32</v>
      </c>
      <c r="J422">
        <v>4</v>
      </c>
      <c r="K422" t="s">
        <v>16</v>
      </c>
      <c r="L422" t="s">
        <v>30</v>
      </c>
      <c r="M422">
        <f>orders[[#This Row],[Ship Date]]-orders[[#This Row],[Order Date]]</f>
        <v>1</v>
      </c>
      <c r="N422">
        <f>WEEKNUM(orders[[#This Row],[Order Date]],2)</f>
        <v>3</v>
      </c>
      <c r="O422" t="str" cm="1">
        <f t="array" ref="O4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23" spans="1:15" x14ac:dyDescent="0.3">
      <c r="A423" t="s">
        <v>506</v>
      </c>
      <c r="B423" t="s">
        <v>23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24</v>
      </c>
      <c r="I423" t="s">
        <v>67</v>
      </c>
      <c r="J423">
        <v>5</v>
      </c>
      <c r="K423" t="s">
        <v>16</v>
      </c>
      <c r="L423" t="s">
        <v>30</v>
      </c>
      <c r="M423">
        <f>orders[[#This Row],[Ship Date]]-orders[[#This Row],[Order Date]]</f>
        <v>1</v>
      </c>
      <c r="N423">
        <f>WEEKNUM(orders[[#This Row],[Order Date]],2)</f>
        <v>3</v>
      </c>
      <c r="O423" t="str" cm="1">
        <f t="array" ref="O4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24" spans="1:15" x14ac:dyDescent="0.3">
      <c r="A424" t="s">
        <v>507</v>
      </c>
      <c r="B424" t="s">
        <v>143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20</v>
      </c>
      <c r="I424" t="s">
        <v>48</v>
      </c>
      <c r="J424">
        <v>5</v>
      </c>
      <c r="K424" t="s">
        <v>16</v>
      </c>
      <c r="L424" t="s">
        <v>30</v>
      </c>
      <c r="M424">
        <f>orders[[#This Row],[Ship Date]]-orders[[#This Row],[Order Date]]</f>
        <v>3</v>
      </c>
      <c r="N424">
        <f>WEEKNUM(orders[[#This Row],[Order Date]],2)</f>
        <v>3</v>
      </c>
      <c r="O424" t="str" cm="1">
        <f t="array" ref="O42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25" spans="1:15" x14ac:dyDescent="0.3">
      <c r="A425" t="s">
        <v>508</v>
      </c>
      <c r="B425" t="s">
        <v>23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86</v>
      </c>
      <c r="I425" t="s">
        <v>15</v>
      </c>
      <c r="J425">
        <v>4</v>
      </c>
      <c r="K425" t="s">
        <v>16</v>
      </c>
      <c r="L425" t="s">
        <v>30</v>
      </c>
      <c r="M425">
        <f>orders[[#This Row],[Ship Date]]-orders[[#This Row],[Order Date]]</f>
        <v>6</v>
      </c>
      <c r="N425">
        <f>WEEKNUM(orders[[#This Row],[Order Date]],2)</f>
        <v>3</v>
      </c>
      <c r="O425" t="str" cm="1">
        <f t="array" ref="O42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426" spans="1:15" x14ac:dyDescent="0.3">
      <c r="A426" t="s">
        <v>509</v>
      </c>
      <c r="B426" t="s">
        <v>51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24</v>
      </c>
      <c r="I426" t="s">
        <v>48</v>
      </c>
      <c r="J426">
        <v>3</v>
      </c>
      <c r="K426" t="s">
        <v>16</v>
      </c>
      <c r="L426" t="s">
        <v>30</v>
      </c>
      <c r="M426">
        <f>orders[[#This Row],[Ship Date]]-orders[[#This Row],[Order Date]]</f>
        <v>3</v>
      </c>
      <c r="N426">
        <f>WEEKNUM(orders[[#This Row],[Order Date]],2)</f>
        <v>3</v>
      </c>
      <c r="O426" t="str" cm="1">
        <f t="array" ref="O4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27" spans="1:15" x14ac:dyDescent="0.3">
      <c r="A427" t="s">
        <v>510</v>
      </c>
      <c r="B427" t="s">
        <v>41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24</v>
      </c>
      <c r="I427" t="s">
        <v>67</v>
      </c>
      <c r="J427">
        <v>4</v>
      </c>
      <c r="K427" t="s">
        <v>16</v>
      </c>
      <c r="L427" t="s">
        <v>30</v>
      </c>
      <c r="M427">
        <f>orders[[#This Row],[Ship Date]]-orders[[#This Row],[Order Date]]</f>
        <v>2</v>
      </c>
      <c r="N427">
        <f>WEEKNUM(orders[[#This Row],[Order Date]],2)</f>
        <v>3</v>
      </c>
      <c r="O427" t="str" cm="1">
        <f t="array" ref="O4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28" spans="1:15" x14ac:dyDescent="0.3">
      <c r="A428" t="s">
        <v>511</v>
      </c>
      <c r="B428" t="s">
        <v>36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24</v>
      </c>
      <c r="I428" t="s">
        <v>67</v>
      </c>
      <c r="J428">
        <v>4</v>
      </c>
      <c r="K428" t="s">
        <v>16</v>
      </c>
      <c r="L428" t="s">
        <v>30</v>
      </c>
      <c r="M428">
        <f>orders[[#This Row],[Ship Date]]-orders[[#This Row],[Order Date]]</f>
        <v>3</v>
      </c>
      <c r="N428">
        <f>WEEKNUM(orders[[#This Row],[Order Date]],2)</f>
        <v>3</v>
      </c>
      <c r="O428" t="str" cm="1">
        <f t="array" ref="O4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29" spans="1:15" x14ac:dyDescent="0.3">
      <c r="A429" t="s">
        <v>512</v>
      </c>
      <c r="B429" t="s">
        <v>143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20</v>
      </c>
      <c r="I429" t="s">
        <v>15</v>
      </c>
      <c r="J429">
        <v>5</v>
      </c>
      <c r="K429" t="s">
        <v>16</v>
      </c>
      <c r="L429" t="s">
        <v>30</v>
      </c>
      <c r="M429">
        <f>orders[[#This Row],[Ship Date]]-orders[[#This Row],[Order Date]]</f>
        <v>2</v>
      </c>
      <c r="N429">
        <f>WEEKNUM(orders[[#This Row],[Order Date]],2)</f>
        <v>3</v>
      </c>
      <c r="O429" t="str" cm="1">
        <f t="array" ref="O4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30" spans="1:15" x14ac:dyDescent="0.3">
      <c r="A430" t="s">
        <v>513</v>
      </c>
      <c r="B430" t="s">
        <v>13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24</v>
      </c>
      <c r="I430" t="s">
        <v>32</v>
      </c>
      <c r="J430">
        <v>3</v>
      </c>
      <c r="K430" t="s">
        <v>16</v>
      </c>
      <c r="L430" t="s">
        <v>30</v>
      </c>
      <c r="M430">
        <f>orders[[#This Row],[Ship Date]]-orders[[#This Row],[Order Date]]</f>
        <v>1</v>
      </c>
      <c r="N430">
        <f>WEEKNUM(orders[[#This Row],[Order Date]],2)</f>
        <v>3</v>
      </c>
      <c r="O430" t="str" cm="1">
        <f t="array" ref="O4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1" spans="1:15" x14ac:dyDescent="0.3">
      <c r="A431" t="s">
        <v>514</v>
      </c>
      <c r="B431" t="s">
        <v>13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24</v>
      </c>
      <c r="I431" t="s">
        <v>37</v>
      </c>
      <c r="J431">
        <v>5</v>
      </c>
      <c r="K431" t="s">
        <v>16</v>
      </c>
      <c r="L431" t="s">
        <v>30</v>
      </c>
      <c r="M431">
        <f>orders[[#This Row],[Ship Date]]-orders[[#This Row],[Order Date]]</f>
        <v>1</v>
      </c>
      <c r="N431">
        <f>WEEKNUM(orders[[#This Row],[Order Date]],2)</f>
        <v>3</v>
      </c>
      <c r="O431" t="str" cm="1">
        <f t="array" ref="O4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2" spans="1:15" x14ac:dyDescent="0.3">
      <c r="A432" t="s">
        <v>515</v>
      </c>
      <c r="B432" t="s">
        <v>41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24</v>
      </c>
      <c r="I432" t="s">
        <v>15</v>
      </c>
      <c r="J432">
        <v>3</v>
      </c>
      <c r="K432" t="s">
        <v>16</v>
      </c>
      <c r="L432" t="s">
        <v>30</v>
      </c>
      <c r="M432">
        <f>orders[[#This Row],[Ship Date]]-orders[[#This Row],[Order Date]]</f>
        <v>4</v>
      </c>
      <c r="N432">
        <f>WEEKNUM(orders[[#This Row],[Order Date]],2)</f>
        <v>3</v>
      </c>
      <c r="O432" t="str" cm="1">
        <f t="array" ref="O4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3" spans="1:15" x14ac:dyDescent="0.3">
      <c r="A433" t="s">
        <v>516</v>
      </c>
      <c r="B433" t="s">
        <v>66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24</v>
      </c>
      <c r="I433" t="s">
        <v>15</v>
      </c>
      <c r="J433">
        <v>5</v>
      </c>
      <c r="K433" t="s">
        <v>16</v>
      </c>
      <c r="L433" t="s">
        <v>361</v>
      </c>
      <c r="M433">
        <f>orders[[#This Row],[Ship Date]]-orders[[#This Row],[Order Date]]</f>
        <v>5</v>
      </c>
      <c r="N433">
        <f>WEEKNUM(orders[[#This Row],[Order Date]],2)</f>
        <v>3</v>
      </c>
      <c r="O433" t="str" cm="1">
        <f t="array" ref="O4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4" spans="1:15" x14ac:dyDescent="0.3">
      <c r="A434" t="s">
        <v>517</v>
      </c>
      <c r="B434" t="s">
        <v>51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24</v>
      </c>
      <c r="I434" t="s">
        <v>37</v>
      </c>
      <c r="J434">
        <v>4</v>
      </c>
      <c r="K434" t="s">
        <v>16</v>
      </c>
      <c r="L434" t="s">
        <v>183</v>
      </c>
      <c r="M434">
        <f>orders[[#This Row],[Ship Date]]-orders[[#This Row],[Order Date]]</f>
        <v>7</v>
      </c>
      <c r="N434">
        <f>WEEKNUM(orders[[#This Row],[Order Date]],2)</f>
        <v>3</v>
      </c>
      <c r="O434" t="str" cm="1">
        <f t="array" ref="O4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5" spans="1:15" x14ac:dyDescent="0.3">
      <c r="A435" t="s">
        <v>518</v>
      </c>
      <c r="B435" t="s">
        <v>34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20</v>
      </c>
      <c r="I435" t="s">
        <v>37</v>
      </c>
      <c r="J435">
        <v>2</v>
      </c>
      <c r="K435" t="s">
        <v>16</v>
      </c>
      <c r="L435" t="s">
        <v>185</v>
      </c>
      <c r="M435">
        <f>orders[[#This Row],[Ship Date]]-orders[[#This Row],[Order Date]]</f>
        <v>3</v>
      </c>
      <c r="N435">
        <f>WEEKNUM(orders[[#This Row],[Order Date]],2)</f>
        <v>3</v>
      </c>
      <c r="O435" t="str" cm="1">
        <f t="array" ref="O4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36" spans="1:15" x14ac:dyDescent="0.3">
      <c r="A436" t="s">
        <v>519</v>
      </c>
      <c r="B436" t="s">
        <v>43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24</v>
      </c>
      <c r="I436" t="s">
        <v>32</v>
      </c>
      <c r="J436">
        <v>5</v>
      </c>
      <c r="K436" t="s">
        <v>16</v>
      </c>
      <c r="L436" t="s">
        <v>52</v>
      </c>
      <c r="M436">
        <f>orders[[#This Row],[Ship Date]]-orders[[#This Row],[Order Date]]</f>
        <v>1</v>
      </c>
      <c r="N436">
        <f>WEEKNUM(orders[[#This Row],[Order Date]],2)</f>
        <v>3</v>
      </c>
      <c r="O436" t="str" cm="1">
        <f t="array" ref="O4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7" spans="1:15" x14ac:dyDescent="0.3">
      <c r="A437" t="s">
        <v>520</v>
      </c>
      <c r="B437" t="s">
        <v>41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20</v>
      </c>
      <c r="I437" t="s">
        <v>15</v>
      </c>
      <c r="J437">
        <v>4</v>
      </c>
      <c r="K437" t="s">
        <v>16</v>
      </c>
      <c r="L437" t="s">
        <v>52</v>
      </c>
      <c r="M437">
        <f>orders[[#This Row],[Ship Date]]-orders[[#This Row],[Order Date]]</f>
        <v>1</v>
      </c>
      <c r="N437">
        <f>WEEKNUM(orders[[#This Row],[Order Date]],2)</f>
        <v>3</v>
      </c>
      <c r="O437" t="str" cm="1">
        <f t="array" ref="O4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38" spans="1:15" x14ac:dyDescent="0.3">
      <c r="A438" t="s">
        <v>521</v>
      </c>
      <c r="B438" t="s">
        <v>41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24</v>
      </c>
      <c r="I438" t="s">
        <v>15</v>
      </c>
      <c r="J438">
        <v>5</v>
      </c>
      <c r="K438" t="s">
        <v>16</v>
      </c>
      <c r="L438" t="s">
        <v>59</v>
      </c>
      <c r="M438">
        <f>orders[[#This Row],[Ship Date]]-orders[[#This Row],[Order Date]]</f>
        <v>1</v>
      </c>
      <c r="N438">
        <f>WEEKNUM(orders[[#This Row],[Order Date]],2)</f>
        <v>3</v>
      </c>
      <c r="O438" t="str" cm="1">
        <f t="array" ref="O4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39" spans="1:15" x14ac:dyDescent="0.3">
      <c r="A439" t="s">
        <v>522</v>
      </c>
      <c r="B439" t="s">
        <v>51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20</v>
      </c>
      <c r="I439" t="s">
        <v>37</v>
      </c>
      <c r="J439">
        <v>4</v>
      </c>
      <c r="K439" t="s">
        <v>16</v>
      </c>
      <c r="L439" t="s">
        <v>59</v>
      </c>
      <c r="M439">
        <f>orders[[#This Row],[Ship Date]]-orders[[#This Row],[Order Date]]</f>
        <v>11</v>
      </c>
      <c r="N439">
        <f>WEEKNUM(orders[[#This Row],[Order Date]],2)</f>
        <v>3</v>
      </c>
      <c r="O439" t="str" cm="1">
        <f t="array" ref="O43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40" spans="1:15" x14ac:dyDescent="0.3">
      <c r="A440" t="s">
        <v>523</v>
      </c>
      <c r="B440" t="s">
        <v>41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24</v>
      </c>
      <c r="I440" t="s">
        <v>32</v>
      </c>
      <c r="J440">
        <v>4</v>
      </c>
      <c r="K440" t="s">
        <v>16</v>
      </c>
      <c r="L440" t="s">
        <v>59</v>
      </c>
      <c r="M440">
        <f>orders[[#This Row],[Ship Date]]-orders[[#This Row],[Order Date]]</f>
        <v>2</v>
      </c>
      <c r="N440">
        <f>WEEKNUM(orders[[#This Row],[Order Date]],2)</f>
        <v>4</v>
      </c>
      <c r="O440" t="str" cm="1">
        <f t="array" ref="O4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41" spans="1:15" x14ac:dyDescent="0.3">
      <c r="A441" t="s">
        <v>524</v>
      </c>
      <c r="B441" t="s">
        <v>36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24</v>
      </c>
      <c r="I441" t="s">
        <v>15</v>
      </c>
      <c r="J441">
        <v>5</v>
      </c>
      <c r="K441" t="s">
        <v>16</v>
      </c>
      <c r="L441" t="s">
        <v>59</v>
      </c>
      <c r="M441">
        <f>orders[[#This Row],[Ship Date]]-orders[[#This Row],[Order Date]]</f>
        <v>2</v>
      </c>
      <c r="N441">
        <f>WEEKNUM(orders[[#This Row],[Order Date]],2)</f>
        <v>4</v>
      </c>
      <c r="O441" t="str" cm="1">
        <f t="array" ref="O4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42" spans="1:15" x14ac:dyDescent="0.3">
      <c r="A442" t="s">
        <v>525</v>
      </c>
      <c r="B442" t="s">
        <v>43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20</v>
      </c>
      <c r="I442" t="s">
        <v>15</v>
      </c>
      <c r="J442">
        <v>3</v>
      </c>
      <c r="K442" t="s">
        <v>16</v>
      </c>
      <c r="L442" t="s">
        <v>100</v>
      </c>
      <c r="M442">
        <f>orders[[#This Row],[Ship Date]]-orders[[#This Row],[Order Date]]</f>
        <v>2</v>
      </c>
      <c r="N442">
        <f>WEEKNUM(orders[[#This Row],[Order Date]],2)</f>
        <v>4</v>
      </c>
      <c r="O442" t="str" cm="1">
        <f t="array" ref="O4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43" spans="1:15" x14ac:dyDescent="0.3">
      <c r="A443" t="s">
        <v>526</v>
      </c>
      <c r="B443" t="s">
        <v>23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24</v>
      </c>
      <c r="I443" t="s">
        <v>37</v>
      </c>
      <c r="J443">
        <v>3</v>
      </c>
      <c r="K443" t="s">
        <v>16</v>
      </c>
      <c r="L443" t="s">
        <v>100</v>
      </c>
      <c r="M443">
        <f>orders[[#This Row],[Ship Date]]-orders[[#This Row],[Order Date]]</f>
        <v>3</v>
      </c>
      <c r="N443">
        <f>WEEKNUM(orders[[#This Row],[Order Date]],2)</f>
        <v>4</v>
      </c>
      <c r="O443" t="str" cm="1">
        <f t="array" ref="O4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44" spans="1:15" x14ac:dyDescent="0.3">
      <c r="A444" t="s">
        <v>527</v>
      </c>
      <c r="B444" t="s">
        <v>41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86</v>
      </c>
      <c r="I444" t="s">
        <v>67</v>
      </c>
      <c r="J444">
        <v>3</v>
      </c>
      <c r="K444" t="s">
        <v>16</v>
      </c>
      <c r="L444" t="s">
        <v>198</v>
      </c>
      <c r="M444">
        <f>orders[[#This Row],[Ship Date]]-orders[[#This Row],[Order Date]]</f>
        <v>2</v>
      </c>
      <c r="N444">
        <f>WEEKNUM(orders[[#This Row],[Order Date]],2)</f>
        <v>4</v>
      </c>
      <c r="O444" t="str" cm="1">
        <f t="array" ref="O44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445" spans="1:15" x14ac:dyDescent="0.3">
      <c r="A445" t="s">
        <v>528</v>
      </c>
      <c r="B445" t="s">
        <v>132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20</v>
      </c>
      <c r="I445" t="s">
        <v>32</v>
      </c>
      <c r="J445">
        <v>4</v>
      </c>
      <c r="K445" t="s">
        <v>16</v>
      </c>
      <c r="L445" t="s">
        <v>74</v>
      </c>
      <c r="M445">
        <f>orders[[#This Row],[Ship Date]]-orders[[#This Row],[Order Date]]</f>
        <v>1</v>
      </c>
      <c r="N445">
        <f>WEEKNUM(orders[[#This Row],[Order Date]],2)</f>
        <v>4</v>
      </c>
      <c r="O445" t="str" cm="1">
        <f t="array" ref="O44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46" spans="1:15" x14ac:dyDescent="0.3">
      <c r="A446" t="s">
        <v>529</v>
      </c>
      <c r="B446" t="s">
        <v>19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24</v>
      </c>
      <c r="I446" t="s">
        <v>15</v>
      </c>
      <c r="J446">
        <v>5</v>
      </c>
      <c r="K446" t="s">
        <v>16</v>
      </c>
      <c r="L446" t="s">
        <v>74</v>
      </c>
      <c r="M446">
        <f>orders[[#This Row],[Ship Date]]-orders[[#This Row],[Order Date]]</f>
        <v>2</v>
      </c>
      <c r="N446">
        <f>WEEKNUM(orders[[#This Row],[Order Date]],2)</f>
        <v>4</v>
      </c>
      <c r="O446" t="str" cm="1">
        <f t="array" ref="O4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47" spans="1:15" x14ac:dyDescent="0.3">
      <c r="A447" t="s">
        <v>530</v>
      </c>
      <c r="B447" t="s">
        <v>23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24</v>
      </c>
      <c r="I447" t="s">
        <v>15</v>
      </c>
      <c r="J447">
        <v>3</v>
      </c>
      <c r="K447" t="s">
        <v>16</v>
      </c>
      <c r="L447" t="s">
        <v>74</v>
      </c>
      <c r="M447">
        <f>orders[[#This Row],[Ship Date]]-orders[[#This Row],[Order Date]]</f>
        <v>1</v>
      </c>
      <c r="N447">
        <f>WEEKNUM(orders[[#This Row],[Order Date]],2)</f>
        <v>4</v>
      </c>
      <c r="O447" t="str" cm="1">
        <f t="array" ref="O4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48" spans="1:15" x14ac:dyDescent="0.3">
      <c r="A448" t="s">
        <v>531</v>
      </c>
      <c r="B448" t="s">
        <v>29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24</v>
      </c>
      <c r="I448" t="s">
        <v>67</v>
      </c>
      <c r="J448">
        <v>4</v>
      </c>
      <c r="K448" t="s">
        <v>16</v>
      </c>
      <c r="L448" t="s">
        <v>79</v>
      </c>
      <c r="M448">
        <f>orders[[#This Row],[Ship Date]]-orders[[#This Row],[Order Date]]</f>
        <v>1</v>
      </c>
      <c r="N448">
        <f>WEEKNUM(orders[[#This Row],[Order Date]],2)</f>
        <v>4</v>
      </c>
      <c r="O448" t="str" cm="1">
        <f t="array" ref="O4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49" spans="1:15" x14ac:dyDescent="0.3">
      <c r="A449" t="s">
        <v>532</v>
      </c>
      <c r="B449" t="s">
        <v>36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20</v>
      </c>
      <c r="I449" t="s">
        <v>32</v>
      </c>
      <c r="J449">
        <v>5</v>
      </c>
      <c r="K449" t="s">
        <v>16</v>
      </c>
      <c r="L449" t="s">
        <v>79</v>
      </c>
      <c r="M449">
        <f>orders[[#This Row],[Ship Date]]-orders[[#This Row],[Order Date]]</f>
        <v>1</v>
      </c>
      <c r="N449">
        <f>WEEKNUM(orders[[#This Row],[Order Date]],2)</f>
        <v>4</v>
      </c>
      <c r="O449" t="str" cm="1">
        <f t="array" ref="O4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50" spans="1:15" x14ac:dyDescent="0.3">
      <c r="A450" t="s">
        <v>533</v>
      </c>
      <c r="B450" t="s">
        <v>36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24</v>
      </c>
      <c r="I450" t="s">
        <v>37</v>
      </c>
      <c r="J450">
        <v>5</v>
      </c>
      <c r="K450" t="s">
        <v>16</v>
      </c>
      <c r="L450" t="s">
        <v>112</v>
      </c>
      <c r="M450">
        <f>orders[[#This Row],[Ship Date]]-orders[[#This Row],[Order Date]]</f>
        <v>3</v>
      </c>
      <c r="N450">
        <f>WEEKNUM(orders[[#This Row],[Order Date]],2)</f>
        <v>4</v>
      </c>
      <c r="O450" t="str" cm="1">
        <f t="array" ref="O4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1" spans="1:15" x14ac:dyDescent="0.3">
      <c r="A451" t="s">
        <v>534</v>
      </c>
      <c r="B451" t="s">
        <v>41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24</v>
      </c>
      <c r="I451" t="s">
        <v>15</v>
      </c>
      <c r="J451">
        <v>4</v>
      </c>
      <c r="K451" t="s">
        <v>16</v>
      </c>
      <c r="L451" t="s">
        <v>21</v>
      </c>
      <c r="M451">
        <f>orders[[#This Row],[Ship Date]]-orders[[#This Row],[Order Date]]</f>
        <v>2</v>
      </c>
      <c r="N451">
        <f>WEEKNUM(orders[[#This Row],[Order Date]],2)</f>
        <v>4</v>
      </c>
      <c r="O451" t="str" cm="1">
        <f t="array" ref="O4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2" spans="1:15" x14ac:dyDescent="0.3">
      <c r="A452" t="s">
        <v>535</v>
      </c>
      <c r="B452" t="s">
        <v>41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14</v>
      </c>
      <c r="I452" t="s">
        <v>37</v>
      </c>
      <c r="J452">
        <v>3</v>
      </c>
      <c r="K452" t="s">
        <v>16</v>
      </c>
      <c r="L452" t="s">
        <v>30</v>
      </c>
      <c r="M452">
        <f>orders[[#This Row],[Ship Date]]-orders[[#This Row],[Order Date]]</f>
        <v>2</v>
      </c>
      <c r="N452">
        <f>WEEKNUM(orders[[#This Row],[Order Date]],2)</f>
        <v>4</v>
      </c>
      <c r="O452" t="str" cm="1">
        <f t="array" ref="O45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453" spans="1:15" x14ac:dyDescent="0.3">
      <c r="A453" t="s">
        <v>536</v>
      </c>
      <c r="B453" t="s">
        <v>143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24</v>
      </c>
      <c r="I453" t="s">
        <v>15</v>
      </c>
      <c r="J453">
        <v>5</v>
      </c>
      <c r="K453" t="s">
        <v>16</v>
      </c>
      <c r="L453" t="s">
        <v>30</v>
      </c>
      <c r="M453">
        <f>orders[[#This Row],[Ship Date]]-orders[[#This Row],[Order Date]]</f>
        <v>6</v>
      </c>
      <c r="N453">
        <f>WEEKNUM(orders[[#This Row],[Order Date]],2)</f>
        <v>4</v>
      </c>
      <c r="O453" t="str" cm="1">
        <f t="array" ref="O4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4" spans="1:15" x14ac:dyDescent="0.3">
      <c r="A454" t="s">
        <v>537</v>
      </c>
      <c r="B454" t="s">
        <v>39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24</v>
      </c>
      <c r="I454" t="s">
        <v>15</v>
      </c>
      <c r="J454">
        <v>3</v>
      </c>
      <c r="K454" t="s">
        <v>16</v>
      </c>
      <c r="L454" t="s">
        <v>30</v>
      </c>
      <c r="M454">
        <f>orders[[#This Row],[Ship Date]]-orders[[#This Row],[Order Date]]</f>
        <v>1</v>
      </c>
      <c r="N454">
        <f>WEEKNUM(orders[[#This Row],[Order Date]],2)</f>
        <v>4</v>
      </c>
      <c r="O454" t="str" cm="1">
        <f t="array" ref="O4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5" spans="1:15" x14ac:dyDescent="0.3">
      <c r="A455" t="s">
        <v>538</v>
      </c>
      <c r="B455" t="s">
        <v>36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24</v>
      </c>
      <c r="I455" t="s">
        <v>15</v>
      </c>
      <c r="J455">
        <v>4</v>
      </c>
      <c r="K455" t="s">
        <v>16</v>
      </c>
      <c r="L455" t="s">
        <v>30</v>
      </c>
      <c r="M455">
        <f>orders[[#This Row],[Ship Date]]-orders[[#This Row],[Order Date]]</f>
        <v>2</v>
      </c>
      <c r="N455">
        <f>WEEKNUM(orders[[#This Row],[Order Date]],2)</f>
        <v>4</v>
      </c>
      <c r="O455" t="str" cm="1">
        <f t="array" ref="O4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6" spans="1:15" x14ac:dyDescent="0.3">
      <c r="A456" t="s">
        <v>539</v>
      </c>
      <c r="B456" t="s">
        <v>41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24</v>
      </c>
      <c r="I456" t="s">
        <v>48</v>
      </c>
      <c r="J456">
        <v>4</v>
      </c>
      <c r="K456" t="s">
        <v>16</v>
      </c>
      <c r="L456" t="s">
        <v>30</v>
      </c>
      <c r="M456">
        <f>orders[[#This Row],[Ship Date]]-orders[[#This Row],[Order Date]]</f>
        <v>1</v>
      </c>
      <c r="N456">
        <f>WEEKNUM(orders[[#This Row],[Order Date]],2)</f>
        <v>4</v>
      </c>
      <c r="O456" t="str" cm="1">
        <f t="array" ref="O4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7" spans="1:15" x14ac:dyDescent="0.3">
      <c r="A457" t="s">
        <v>540</v>
      </c>
      <c r="B457" t="s">
        <v>36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24</v>
      </c>
      <c r="I457" t="s">
        <v>15</v>
      </c>
      <c r="J457">
        <v>2</v>
      </c>
      <c r="K457" t="s">
        <v>16</v>
      </c>
      <c r="L457" t="s">
        <v>30</v>
      </c>
      <c r="M457">
        <f>orders[[#This Row],[Ship Date]]-orders[[#This Row],[Order Date]]</f>
        <v>11</v>
      </c>
      <c r="N457">
        <f>WEEKNUM(orders[[#This Row],[Order Date]],2)</f>
        <v>4</v>
      </c>
      <c r="O457" t="str" cm="1">
        <f t="array" ref="O4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8" spans="1:15" x14ac:dyDescent="0.3">
      <c r="A458" t="s">
        <v>541</v>
      </c>
      <c r="B458" t="s">
        <v>66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24</v>
      </c>
      <c r="I458" t="s">
        <v>32</v>
      </c>
      <c r="J458">
        <v>3</v>
      </c>
      <c r="K458" t="s">
        <v>16</v>
      </c>
      <c r="L458" t="s">
        <v>542</v>
      </c>
      <c r="M458">
        <f>orders[[#This Row],[Ship Date]]-orders[[#This Row],[Order Date]]</f>
        <v>0</v>
      </c>
      <c r="N458">
        <f>WEEKNUM(orders[[#This Row],[Order Date]],2)</f>
        <v>4</v>
      </c>
      <c r="O458" t="str" cm="1">
        <f t="array" ref="O4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59" spans="1:15" x14ac:dyDescent="0.3">
      <c r="A459" t="s">
        <v>543</v>
      </c>
      <c r="B459" t="s">
        <v>13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24</v>
      </c>
      <c r="I459" t="s">
        <v>37</v>
      </c>
      <c r="J459">
        <v>4</v>
      </c>
      <c r="K459" t="s">
        <v>16</v>
      </c>
      <c r="L459" t="s">
        <v>49</v>
      </c>
      <c r="M459">
        <f>orders[[#This Row],[Ship Date]]-orders[[#This Row],[Order Date]]</f>
        <v>2</v>
      </c>
      <c r="N459">
        <f>WEEKNUM(orders[[#This Row],[Order Date]],2)</f>
        <v>4</v>
      </c>
      <c r="O459" t="str" cm="1">
        <f t="array" ref="O4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60" spans="1:15" x14ac:dyDescent="0.3">
      <c r="A460" t="s">
        <v>544</v>
      </c>
      <c r="B460" t="s">
        <v>36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24</v>
      </c>
      <c r="I460" t="s">
        <v>15</v>
      </c>
      <c r="J460">
        <v>5</v>
      </c>
      <c r="K460" t="s">
        <v>16</v>
      </c>
      <c r="L460" t="s">
        <v>52</v>
      </c>
      <c r="M460">
        <f>orders[[#This Row],[Ship Date]]-orders[[#This Row],[Order Date]]</f>
        <v>2</v>
      </c>
      <c r="N460">
        <f>WEEKNUM(orders[[#This Row],[Order Date]],2)</f>
        <v>4</v>
      </c>
      <c r="O460" t="str" cm="1">
        <f t="array" ref="O4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61" spans="1:15" x14ac:dyDescent="0.3">
      <c r="A461" t="s">
        <v>545</v>
      </c>
      <c r="B461" t="s">
        <v>51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20</v>
      </c>
      <c r="I461" t="s">
        <v>37</v>
      </c>
      <c r="J461">
        <v>4</v>
      </c>
      <c r="K461" t="s">
        <v>16</v>
      </c>
      <c r="L461" t="s">
        <v>59</v>
      </c>
      <c r="M461">
        <f>orders[[#This Row],[Ship Date]]-orders[[#This Row],[Order Date]]</f>
        <v>1</v>
      </c>
      <c r="N461">
        <f>WEEKNUM(orders[[#This Row],[Order Date]],2)</f>
        <v>4</v>
      </c>
      <c r="O461" t="str" cm="1">
        <f t="array" ref="O4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62" spans="1:15" x14ac:dyDescent="0.3">
      <c r="A462" t="s">
        <v>546</v>
      </c>
      <c r="B462" t="s">
        <v>23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24</v>
      </c>
      <c r="I462" t="s">
        <v>15</v>
      </c>
      <c r="J462">
        <v>5</v>
      </c>
      <c r="K462" t="s">
        <v>16</v>
      </c>
      <c r="L462" t="s">
        <v>69</v>
      </c>
      <c r="M462">
        <f>orders[[#This Row],[Ship Date]]-orders[[#This Row],[Order Date]]</f>
        <v>3</v>
      </c>
      <c r="N462">
        <f>WEEKNUM(orders[[#This Row],[Order Date]],2)</f>
        <v>4</v>
      </c>
      <c r="O462" t="str" cm="1">
        <f t="array" ref="O4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63" spans="1:15" x14ac:dyDescent="0.3">
      <c r="A463" t="s">
        <v>547</v>
      </c>
      <c r="B463" t="s">
        <v>36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20</v>
      </c>
      <c r="I463" t="s">
        <v>32</v>
      </c>
      <c r="J463">
        <v>4</v>
      </c>
      <c r="K463" t="s">
        <v>16</v>
      </c>
      <c r="L463" t="s">
        <v>69</v>
      </c>
      <c r="M463">
        <f>orders[[#This Row],[Ship Date]]-orders[[#This Row],[Order Date]]</f>
        <v>4</v>
      </c>
      <c r="N463">
        <f>WEEKNUM(orders[[#This Row],[Order Date]],2)</f>
        <v>4</v>
      </c>
      <c r="O463" t="str" cm="1">
        <f t="array" ref="O4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64" spans="1:15" x14ac:dyDescent="0.3">
      <c r="A464" t="s">
        <v>548</v>
      </c>
      <c r="B464" t="s">
        <v>19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20</v>
      </c>
      <c r="I464" t="s">
        <v>48</v>
      </c>
      <c r="J464">
        <v>4</v>
      </c>
      <c r="K464" t="s">
        <v>16</v>
      </c>
      <c r="L464" t="s">
        <v>71</v>
      </c>
      <c r="M464">
        <f>orders[[#This Row],[Ship Date]]-orders[[#This Row],[Order Date]]</f>
        <v>1</v>
      </c>
      <c r="N464">
        <f>WEEKNUM(orders[[#This Row],[Order Date]],2)</f>
        <v>4</v>
      </c>
      <c r="O464" t="str" cm="1">
        <f t="array" ref="O4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65" spans="1:15" x14ac:dyDescent="0.3">
      <c r="A465" t="s">
        <v>549</v>
      </c>
      <c r="B465" t="s">
        <v>23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20</v>
      </c>
      <c r="I465" t="s">
        <v>15</v>
      </c>
      <c r="J465">
        <v>4</v>
      </c>
      <c r="K465" t="s">
        <v>16</v>
      </c>
      <c r="L465" t="s">
        <v>74</v>
      </c>
      <c r="M465">
        <f>orders[[#This Row],[Ship Date]]-orders[[#This Row],[Order Date]]</f>
        <v>2</v>
      </c>
      <c r="N465">
        <f>WEEKNUM(orders[[#This Row],[Order Date]],2)</f>
        <v>4</v>
      </c>
      <c r="O465" t="str" cm="1">
        <f t="array" ref="O4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66" spans="1:15" x14ac:dyDescent="0.3">
      <c r="A466" t="s">
        <v>550</v>
      </c>
      <c r="B466" t="s">
        <v>29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14</v>
      </c>
      <c r="I466" t="s">
        <v>32</v>
      </c>
      <c r="J466">
        <v>5</v>
      </c>
      <c r="K466" t="s">
        <v>16</v>
      </c>
      <c r="L466" t="s">
        <v>79</v>
      </c>
      <c r="M466">
        <f>orders[[#This Row],[Ship Date]]-orders[[#This Row],[Order Date]]</f>
        <v>2</v>
      </c>
      <c r="N466">
        <f>WEEKNUM(orders[[#This Row],[Order Date]],2)</f>
        <v>4</v>
      </c>
      <c r="O466" t="str" cm="1">
        <f t="array" ref="O46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467" spans="1:15" x14ac:dyDescent="0.3">
      <c r="A467" t="s">
        <v>551</v>
      </c>
      <c r="B467" t="s">
        <v>19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20</v>
      </c>
      <c r="I467" t="s">
        <v>15</v>
      </c>
      <c r="J467">
        <v>4</v>
      </c>
      <c r="K467" t="s">
        <v>16</v>
      </c>
      <c r="L467" t="s">
        <v>112</v>
      </c>
      <c r="M467">
        <f>orders[[#This Row],[Ship Date]]-orders[[#This Row],[Order Date]]</f>
        <v>1</v>
      </c>
      <c r="N467">
        <f>WEEKNUM(orders[[#This Row],[Order Date]],2)</f>
        <v>4</v>
      </c>
      <c r="O467" t="str" cm="1">
        <f t="array" ref="O4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68" spans="1:15" x14ac:dyDescent="0.3">
      <c r="A468" t="s">
        <v>552</v>
      </c>
      <c r="B468" t="s">
        <v>36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24</v>
      </c>
      <c r="I468" t="s">
        <v>15</v>
      </c>
      <c r="J468">
        <v>3</v>
      </c>
      <c r="K468" t="s">
        <v>16</v>
      </c>
      <c r="L468" t="s">
        <v>112</v>
      </c>
      <c r="M468">
        <f>orders[[#This Row],[Ship Date]]-orders[[#This Row],[Order Date]]</f>
        <v>1</v>
      </c>
      <c r="N468">
        <f>WEEKNUM(orders[[#This Row],[Order Date]],2)</f>
        <v>4</v>
      </c>
      <c r="O468" t="str" cm="1">
        <f t="array" ref="O4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69" spans="1:15" x14ac:dyDescent="0.3">
      <c r="A469" t="s">
        <v>553</v>
      </c>
      <c r="B469" t="s">
        <v>36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24</v>
      </c>
      <c r="I469" t="s">
        <v>48</v>
      </c>
      <c r="J469">
        <v>4</v>
      </c>
      <c r="K469" t="s">
        <v>16</v>
      </c>
      <c r="L469" t="s">
        <v>21</v>
      </c>
      <c r="M469">
        <f>orders[[#This Row],[Ship Date]]-orders[[#This Row],[Order Date]]</f>
        <v>4</v>
      </c>
      <c r="N469">
        <f>WEEKNUM(orders[[#This Row],[Order Date]],2)</f>
        <v>4</v>
      </c>
      <c r="O469" t="str" cm="1">
        <f t="array" ref="O4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70" spans="1:15" x14ac:dyDescent="0.3">
      <c r="A470" t="s">
        <v>554</v>
      </c>
      <c r="B470" t="s">
        <v>34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20</v>
      </c>
      <c r="I470" t="s">
        <v>15</v>
      </c>
      <c r="J470">
        <v>4</v>
      </c>
      <c r="K470" t="s">
        <v>16</v>
      </c>
      <c r="L470" t="s">
        <v>144</v>
      </c>
      <c r="M470">
        <f>orders[[#This Row],[Ship Date]]-orders[[#This Row],[Order Date]]</f>
        <v>1</v>
      </c>
      <c r="N470">
        <f>WEEKNUM(orders[[#This Row],[Order Date]],2)</f>
        <v>4</v>
      </c>
      <c r="O470" t="str" cm="1">
        <f t="array" ref="O4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71" spans="1:15" x14ac:dyDescent="0.3">
      <c r="A471" t="s">
        <v>555</v>
      </c>
      <c r="B471" t="s">
        <v>41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20</v>
      </c>
      <c r="I471" t="s">
        <v>37</v>
      </c>
      <c r="J471">
        <v>3</v>
      </c>
      <c r="K471" t="s">
        <v>16</v>
      </c>
      <c r="L471" t="s">
        <v>30</v>
      </c>
      <c r="M471">
        <f>orders[[#This Row],[Ship Date]]-orders[[#This Row],[Order Date]]</f>
        <v>1</v>
      </c>
      <c r="N471">
        <f>WEEKNUM(orders[[#This Row],[Order Date]],2)</f>
        <v>4</v>
      </c>
      <c r="O471" t="str" cm="1">
        <f t="array" ref="O4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72" spans="1:15" x14ac:dyDescent="0.3">
      <c r="A472" t="s">
        <v>556</v>
      </c>
      <c r="B472" t="s">
        <v>23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24</v>
      </c>
      <c r="I472" t="s">
        <v>37</v>
      </c>
      <c r="J472">
        <v>4</v>
      </c>
      <c r="K472" t="s">
        <v>16</v>
      </c>
      <c r="L472" t="s">
        <v>30</v>
      </c>
      <c r="M472">
        <f>orders[[#This Row],[Ship Date]]-orders[[#This Row],[Order Date]]</f>
        <v>1</v>
      </c>
      <c r="N472">
        <f>WEEKNUM(orders[[#This Row],[Order Date]],2)</f>
        <v>4</v>
      </c>
      <c r="O472" t="str" cm="1">
        <f t="array" ref="O4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73" spans="1:15" x14ac:dyDescent="0.3">
      <c r="A473" t="s">
        <v>557</v>
      </c>
      <c r="B473" t="s">
        <v>41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86</v>
      </c>
      <c r="I473" t="s">
        <v>15</v>
      </c>
      <c r="J473">
        <v>5</v>
      </c>
      <c r="K473" t="s">
        <v>16</v>
      </c>
      <c r="L473" t="s">
        <v>30</v>
      </c>
      <c r="M473">
        <f>orders[[#This Row],[Ship Date]]-orders[[#This Row],[Order Date]]</f>
        <v>1</v>
      </c>
      <c r="N473">
        <f>WEEKNUM(orders[[#This Row],[Order Date]],2)</f>
        <v>4</v>
      </c>
      <c r="O473" t="str" cm="1">
        <f t="array" ref="O47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474" spans="1:15" x14ac:dyDescent="0.3">
      <c r="A474" t="s">
        <v>558</v>
      </c>
      <c r="B474" t="s">
        <v>34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20</v>
      </c>
      <c r="I474" t="s">
        <v>32</v>
      </c>
      <c r="J474">
        <v>5</v>
      </c>
      <c r="K474" t="s">
        <v>16</v>
      </c>
      <c r="L474" t="s">
        <v>30</v>
      </c>
      <c r="M474">
        <f>orders[[#This Row],[Ship Date]]-orders[[#This Row],[Order Date]]</f>
        <v>3</v>
      </c>
      <c r="N474">
        <f>WEEKNUM(orders[[#This Row],[Order Date]],2)</f>
        <v>4</v>
      </c>
      <c r="O474" t="str" cm="1">
        <f t="array" ref="O4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75" spans="1:15" x14ac:dyDescent="0.3">
      <c r="A475" t="s">
        <v>559</v>
      </c>
      <c r="B475" t="s">
        <v>23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14</v>
      </c>
      <c r="I475" t="s">
        <v>15</v>
      </c>
      <c r="J475">
        <v>4</v>
      </c>
      <c r="K475" t="s">
        <v>16</v>
      </c>
      <c r="L475" t="s">
        <v>30</v>
      </c>
      <c r="M475">
        <f>orders[[#This Row],[Ship Date]]-orders[[#This Row],[Order Date]]</f>
        <v>1</v>
      </c>
      <c r="N475">
        <f>WEEKNUM(orders[[#This Row],[Order Date]],2)</f>
        <v>4</v>
      </c>
      <c r="O475" t="str" cm="1">
        <f t="array" ref="O47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476" spans="1:15" x14ac:dyDescent="0.3">
      <c r="A476" t="s">
        <v>560</v>
      </c>
      <c r="B476" t="s">
        <v>41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24</v>
      </c>
      <c r="I476" t="s">
        <v>15</v>
      </c>
      <c r="J476">
        <v>2</v>
      </c>
      <c r="K476" t="s">
        <v>16</v>
      </c>
      <c r="L476" t="s">
        <v>30</v>
      </c>
      <c r="M476">
        <f>orders[[#This Row],[Ship Date]]-orders[[#This Row],[Order Date]]</f>
        <v>1</v>
      </c>
      <c r="N476">
        <f>WEEKNUM(orders[[#This Row],[Order Date]],2)</f>
        <v>4</v>
      </c>
      <c r="O476" t="str" cm="1">
        <f t="array" ref="O4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77" spans="1:15" x14ac:dyDescent="0.3">
      <c r="A477" t="s">
        <v>561</v>
      </c>
      <c r="B477" t="s">
        <v>36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20</v>
      </c>
      <c r="I477" t="s">
        <v>32</v>
      </c>
      <c r="J477">
        <v>3</v>
      </c>
      <c r="K477" t="s">
        <v>16</v>
      </c>
      <c r="L477" t="s">
        <v>30</v>
      </c>
      <c r="M477">
        <f>orders[[#This Row],[Ship Date]]-orders[[#This Row],[Order Date]]</f>
        <v>3</v>
      </c>
      <c r="N477">
        <f>WEEKNUM(orders[[#This Row],[Order Date]],2)</f>
        <v>4</v>
      </c>
      <c r="O477" t="str" cm="1">
        <f t="array" ref="O4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78" spans="1:15" x14ac:dyDescent="0.3">
      <c r="A478" t="s">
        <v>562</v>
      </c>
      <c r="B478" t="s">
        <v>51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24</v>
      </c>
      <c r="I478" t="s">
        <v>48</v>
      </c>
      <c r="J478">
        <v>3</v>
      </c>
      <c r="K478" t="s">
        <v>16</v>
      </c>
      <c r="L478" t="s">
        <v>30</v>
      </c>
      <c r="M478">
        <f>orders[[#This Row],[Ship Date]]-orders[[#This Row],[Order Date]]</f>
        <v>3</v>
      </c>
      <c r="N478">
        <f>WEEKNUM(orders[[#This Row],[Order Date]],2)</f>
        <v>4</v>
      </c>
      <c r="O478" t="str" cm="1">
        <f t="array" ref="O4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79" spans="1:15" x14ac:dyDescent="0.3">
      <c r="A479" t="s">
        <v>563</v>
      </c>
      <c r="B479" t="s">
        <v>43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24</v>
      </c>
      <c r="I479" t="s">
        <v>32</v>
      </c>
      <c r="J479">
        <v>2</v>
      </c>
      <c r="K479" t="s">
        <v>16</v>
      </c>
      <c r="L479" t="s">
        <v>30</v>
      </c>
      <c r="M479">
        <f>orders[[#This Row],[Ship Date]]-orders[[#This Row],[Order Date]]</f>
        <v>1</v>
      </c>
      <c r="N479">
        <f>WEEKNUM(orders[[#This Row],[Order Date]],2)</f>
        <v>4</v>
      </c>
      <c r="O479" t="str" cm="1">
        <f t="array" ref="O4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80" spans="1:15" x14ac:dyDescent="0.3">
      <c r="A480" t="s">
        <v>564</v>
      </c>
      <c r="B480" t="s">
        <v>120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24</v>
      </c>
      <c r="I480" t="s">
        <v>48</v>
      </c>
      <c r="J480">
        <v>4</v>
      </c>
      <c r="K480" t="s">
        <v>16</v>
      </c>
      <c r="L480" t="s">
        <v>30</v>
      </c>
      <c r="M480">
        <f>orders[[#This Row],[Ship Date]]-orders[[#This Row],[Order Date]]</f>
        <v>4</v>
      </c>
      <c r="N480">
        <f>WEEKNUM(orders[[#This Row],[Order Date]],2)</f>
        <v>4</v>
      </c>
      <c r="O480" t="str" cm="1">
        <f t="array" ref="O4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81" spans="1:15" x14ac:dyDescent="0.3">
      <c r="A481" t="s">
        <v>565</v>
      </c>
      <c r="B481" t="s">
        <v>13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20</v>
      </c>
      <c r="I481" t="s">
        <v>15</v>
      </c>
      <c r="J481">
        <v>4</v>
      </c>
      <c r="K481" t="s">
        <v>16</v>
      </c>
      <c r="L481" t="s">
        <v>30</v>
      </c>
      <c r="M481">
        <f>orders[[#This Row],[Ship Date]]-orders[[#This Row],[Order Date]]</f>
        <v>1</v>
      </c>
      <c r="N481">
        <f>WEEKNUM(orders[[#This Row],[Order Date]],2)</f>
        <v>4</v>
      </c>
      <c r="O481" t="str" cm="1">
        <f t="array" ref="O4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82" spans="1:15" x14ac:dyDescent="0.3">
      <c r="A482" t="s">
        <v>566</v>
      </c>
      <c r="B482" t="s">
        <v>29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20</v>
      </c>
      <c r="I482" t="s">
        <v>37</v>
      </c>
      <c r="J482">
        <v>5</v>
      </c>
      <c r="K482" t="s">
        <v>16</v>
      </c>
      <c r="L482" t="s">
        <v>30</v>
      </c>
      <c r="M482">
        <f>orders[[#This Row],[Ship Date]]-orders[[#This Row],[Order Date]]</f>
        <v>3</v>
      </c>
      <c r="N482">
        <f>WEEKNUM(orders[[#This Row],[Order Date]],2)</f>
        <v>4</v>
      </c>
      <c r="O482" t="str" cm="1">
        <f t="array" ref="O4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83" spans="1:15" x14ac:dyDescent="0.3">
      <c r="A483" t="s">
        <v>567</v>
      </c>
      <c r="B483" t="s">
        <v>120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20</v>
      </c>
      <c r="I483" t="s">
        <v>15</v>
      </c>
      <c r="J483">
        <v>4</v>
      </c>
      <c r="K483" t="s">
        <v>16</v>
      </c>
      <c r="L483" t="s">
        <v>361</v>
      </c>
      <c r="M483">
        <f>orders[[#This Row],[Ship Date]]-orders[[#This Row],[Order Date]]</f>
        <v>1</v>
      </c>
      <c r="N483">
        <f>WEEKNUM(orders[[#This Row],[Order Date]],2)</f>
        <v>4</v>
      </c>
      <c r="O483" t="str" cm="1">
        <f t="array" ref="O48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84" spans="1:15" x14ac:dyDescent="0.3">
      <c r="A484" t="s">
        <v>568</v>
      </c>
      <c r="B484" t="s">
        <v>36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24</v>
      </c>
      <c r="I484" t="s">
        <v>32</v>
      </c>
      <c r="J484">
        <v>3</v>
      </c>
      <c r="K484" t="s">
        <v>16</v>
      </c>
      <c r="L484" t="s">
        <v>185</v>
      </c>
      <c r="M484">
        <f>orders[[#This Row],[Ship Date]]-orders[[#This Row],[Order Date]]</f>
        <v>3</v>
      </c>
      <c r="N484">
        <f>WEEKNUM(orders[[#This Row],[Order Date]],2)</f>
        <v>4</v>
      </c>
      <c r="O484" t="str" cm="1">
        <f t="array" ref="O4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85" spans="1:15" x14ac:dyDescent="0.3">
      <c r="A485" t="s">
        <v>569</v>
      </c>
      <c r="B485" t="s">
        <v>120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20</v>
      </c>
      <c r="I485" t="s">
        <v>15</v>
      </c>
      <c r="J485">
        <v>4</v>
      </c>
      <c r="K485" t="s">
        <v>16</v>
      </c>
      <c r="L485" t="s">
        <v>185</v>
      </c>
      <c r="M485">
        <f>orders[[#This Row],[Ship Date]]-orders[[#This Row],[Order Date]]</f>
        <v>3</v>
      </c>
      <c r="N485">
        <f>WEEKNUM(orders[[#This Row],[Order Date]],2)</f>
        <v>4</v>
      </c>
      <c r="O485" t="str" cm="1">
        <f t="array" ref="O4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86" spans="1:15" x14ac:dyDescent="0.3">
      <c r="A486" t="s">
        <v>570</v>
      </c>
      <c r="B486" t="s">
        <v>41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24</v>
      </c>
      <c r="I486" t="s">
        <v>37</v>
      </c>
      <c r="J486">
        <v>5</v>
      </c>
      <c r="K486" t="s">
        <v>16</v>
      </c>
      <c r="L486" t="s">
        <v>155</v>
      </c>
      <c r="M486">
        <f>orders[[#This Row],[Ship Date]]-orders[[#This Row],[Order Date]]</f>
        <v>7</v>
      </c>
      <c r="N486">
        <f>WEEKNUM(orders[[#This Row],[Order Date]],2)</f>
        <v>4</v>
      </c>
      <c r="O486" t="str" cm="1">
        <f t="array" ref="O4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87" spans="1:15" x14ac:dyDescent="0.3">
      <c r="A487" t="s">
        <v>571</v>
      </c>
      <c r="B487" t="s">
        <v>13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24</v>
      </c>
      <c r="I487" t="s">
        <v>37</v>
      </c>
      <c r="J487">
        <v>5</v>
      </c>
      <c r="K487" t="s">
        <v>16</v>
      </c>
      <c r="L487" t="s">
        <v>59</v>
      </c>
      <c r="M487">
        <f>orders[[#This Row],[Ship Date]]-orders[[#This Row],[Order Date]]</f>
        <v>5</v>
      </c>
      <c r="N487">
        <f>WEEKNUM(orders[[#This Row],[Order Date]],2)</f>
        <v>4</v>
      </c>
      <c r="O487" t="str" cm="1">
        <f t="array" ref="O4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88" spans="1:15" x14ac:dyDescent="0.3">
      <c r="A488" t="s">
        <v>572</v>
      </c>
      <c r="B488" t="s">
        <v>34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20</v>
      </c>
      <c r="I488" t="s">
        <v>32</v>
      </c>
      <c r="J488">
        <v>4</v>
      </c>
      <c r="K488" t="s">
        <v>16</v>
      </c>
      <c r="L488" t="s">
        <v>100</v>
      </c>
      <c r="M488">
        <f>orders[[#This Row],[Ship Date]]-orders[[#This Row],[Order Date]]</f>
        <v>1</v>
      </c>
      <c r="N488">
        <f>WEEKNUM(orders[[#This Row],[Order Date]],2)</f>
        <v>4</v>
      </c>
      <c r="O488" t="str" cm="1">
        <f t="array" ref="O48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89" spans="1:15" x14ac:dyDescent="0.3">
      <c r="A489" t="s">
        <v>573</v>
      </c>
      <c r="B489" t="s">
        <v>143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20</v>
      </c>
      <c r="I489" t="s">
        <v>15</v>
      </c>
      <c r="J489">
        <v>3</v>
      </c>
      <c r="K489" t="s">
        <v>16</v>
      </c>
      <c r="L489" t="s">
        <v>100</v>
      </c>
      <c r="M489">
        <f>orders[[#This Row],[Ship Date]]-orders[[#This Row],[Order Date]]</f>
        <v>1</v>
      </c>
      <c r="N489">
        <f>WEEKNUM(orders[[#This Row],[Order Date]],2)</f>
        <v>4</v>
      </c>
      <c r="O489" t="str" cm="1">
        <f t="array" ref="O4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90" spans="1:15" x14ac:dyDescent="0.3">
      <c r="A490" t="s">
        <v>574</v>
      </c>
      <c r="B490" t="s">
        <v>143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14</v>
      </c>
      <c r="I490" t="s">
        <v>32</v>
      </c>
      <c r="J490">
        <v>4</v>
      </c>
      <c r="K490" t="s">
        <v>16</v>
      </c>
      <c r="L490" t="s">
        <v>69</v>
      </c>
      <c r="M490">
        <f>orders[[#This Row],[Ship Date]]-orders[[#This Row],[Order Date]]</f>
        <v>2</v>
      </c>
      <c r="N490">
        <f>WEEKNUM(orders[[#This Row],[Order Date]],2)</f>
        <v>4</v>
      </c>
      <c r="O490" t="str" cm="1">
        <f t="array" ref="O49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491" spans="1:15" x14ac:dyDescent="0.3">
      <c r="A491" t="s">
        <v>575</v>
      </c>
      <c r="B491" t="s">
        <v>143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24</v>
      </c>
      <c r="I491" t="s">
        <v>32</v>
      </c>
      <c r="J491">
        <v>4</v>
      </c>
      <c r="K491" t="s">
        <v>16</v>
      </c>
      <c r="L491" t="s">
        <v>71</v>
      </c>
      <c r="M491">
        <f>orders[[#This Row],[Ship Date]]-orders[[#This Row],[Order Date]]</f>
        <v>2</v>
      </c>
      <c r="N491">
        <f>WEEKNUM(orders[[#This Row],[Order Date]],2)</f>
        <v>4</v>
      </c>
      <c r="O491" t="str" cm="1">
        <f t="array" ref="O4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92" spans="1:15" x14ac:dyDescent="0.3">
      <c r="A492" t="s">
        <v>576</v>
      </c>
      <c r="B492" t="s">
        <v>29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24</v>
      </c>
      <c r="I492" t="s">
        <v>32</v>
      </c>
      <c r="J492">
        <v>4</v>
      </c>
      <c r="K492" t="s">
        <v>16</v>
      </c>
      <c r="L492" t="s">
        <v>71</v>
      </c>
      <c r="M492">
        <f>orders[[#This Row],[Ship Date]]-orders[[#This Row],[Order Date]]</f>
        <v>1</v>
      </c>
      <c r="N492">
        <f>WEEKNUM(orders[[#This Row],[Order Date]],2)</f>
        <v>4</v>
      </c>
      <c r="O492" t="str" cm="1">
        <f t="array" ref="O4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93" spans="1:15" x14ac:dyDescent="0.3">
      <c r="A493" t="s">
        <v>577</v>
      </c>
      <c r="B493" t="s">
        <v>43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24</v>
      </c>
      <c r="I493" t="s">
        <v>48</v>
      </c>
      <c r="J493">
        <v>1</v>
      </c>
      <c r="K493" t="s">
        <v>16</v>
      </c>
      <c r="L493" t="s">
        <v>74</v>
      </c>
      <c r="M493">
        <f>orders[[#This Row],[Ship Date]]-orders[[#This Row],[Order Date]]</f>
        <v>2</v>
      </c>
      <c r="N493">
        <f>WEEKNUM(orders[[#This Row],[Order Date]],2)</f>
        <v>4</v>
      </c>
      <c r="O493" t="str" cm="1">
        <f t="array" ref="O4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94" spans="1:15" x14ac:dyDescent="0.3">
      <c r="A494" t="s">
        <v>578</v>
      </c>
      <c r="B494" t="s">
        <v>41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24</v>
      </c>
      <c r="I494" t="s">
        <v>67</v>
      </c>
      <c r="J494">
        <v>4</v>
      </c>
      <c r="K494" t="s">
        <v>16</v>
      </c>
      <c r="L494" t="s">
        <v>74</v>
      </c>
      <c r="M494">
        <f>orders[[#This Row],[Ship Date]]-orders[[#This Row],[Order Date]]</f>
        <v>2</v>
      </c>
      <c r="N494">
        <f>WEEKNUM(orders[[#This Row],[Order Date]],2)</f>
        <v>4</v>
      </c>
      <c r="O494" t="str" cm="1">
        <f t="array" ref="O4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95" spans="1:15" x14ac:dyDescent="0.3">
      <c r="A495" t="s">
        <v>579</v>
      </c>
      <c r="B495" t="s">
        <v>41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24</v>
      </c>
      <c r="I495" t="s">
        <v>37</v>
      </c>
      <c r="J495">
        <v>4</v>
      </c>
      <c r="K495" t="s">
        <v>16</v>
      </c>
      <c r="L495" t="s">
        <v>74</v>
      </c>
      <c r="M495">
        <f>orders[[#This Row],[Ship Date]]-orders[[#This Row],[Order Date]]</f>
        <v>2</v>
      </c>
      <c r="N495">
        <f>WEEKNUM(orders[[#This Row],[Order Date]],2)</f>
        <v>4</v>
      </c>
      <c r="O495" t="str" cm="1">
        <f t="array" ref="O4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96" spans="1:15" x14ac:dyDescent="0.3">
      <c r="A496" t="s">
        <v>580</v>
      </c>
      <c r="B496" t="s">
        <v>39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24</v>
      </c>
      <c r="I496" t="s">
        <v>37</v>
      </c>
      <c r="J496">
        <v>3</v>
      </c>
      <c r="K496" t="s">
        <v>16</v>
      </c>
      <c r="L496" t="s">
        <v>105</v>
      </c>
      <c r="M496">
        <f>orders[[#This Row],[Ship Date]]-orders[[#This Row],[Order Date]]</f>
        <v>1</v>
      </c>
      <c r="N496">
        <f>WEEKNUM(orders[[#This Row],[Order Date]],2)</f>
        <v>4</v>
      </c>
      <c r="O496" t="str" cm="1">
        <f t="array" ref="O4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97" spans="1:15" x14ac:dyDescent="0.3">
      <c r="A497" t="s">
        <v>581</v>
      </c>
      <c r="B497" t="s">
        <v>168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24</v>
      </c>
      <c r="I497" t="s">
        <v>15</v>
      </c>
      <c r="J497">
        <v>3</v>
      </c>
      <c r="K497" t="s">
        <v>16</v>
      </c>
      <c r="L497" t="s">
        <v>79</v>
      </c>
      <c r="M497">
        <f>orders[[#This Row],[Ship Date]]-orders[[#This Row],[Order Date]]</f>
        <v>1</v>
      </c>
      <c r="N497">
        <f>WEEKNUM(orders[[#This Row],[Order Date]],2)</f>
        <v>4</v>
      </c>
      <c r="O497" t="str" cm="1">
        <f t="array" ref="O4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498" spans="1:15" x14ac:dyDescent="0.3">
      <c r="A498" t="s">
        <v>582</v>
      </c>
      <c r="B498" t="s">
        <v>51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20</v>
      </c>
      <c r="I498" t="s">
        <v>48</v>
      </c>
      <c r="J498">
        <v>4</v>
      </c>
      <c r="K498" t="s">
        <v>16</v>
      </c>
      <c r="L498" t="s">
        <v>79</v>
      </c>
      <c r="M498">
        <f>orders[[#This Row],[Ship Date]]-orders[[#This Row],[Order Date]]</f>
        <v>1</v>
      </c>
      <c r="N498">
        <f>WEEKNUM(orders[[#This Row],[Order Date]],2)</f>
        <v>4</v>
      </c>
      <c r="O498" t="str" cm="1">
        <f t="array" ref="O4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499" spans="1:15" x14ac:dyDescent="0.3">
      <c r="A499" t="s">
        <v>583</v>
      </c>
      <c r="B499" t="s">
        <v>64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24</v>
      </c>
      <c r="I499" t="s">
        <v>67</v>
      </c>
      <c r="J499">
        <v>5</v>
      </c>
      <c r="K499" t="s">
        <v>16</v>
      </c>
      <c r="L499" t="s">
        <v>584</v>
      </c>
      <c r="M499">
        <f>orders[[#This Row],[Ship Date]]-orders[[#This Row],[Order Date]]</f>
        <v>4</v>
      </c>
      <c r="N499">
        <f>WEEKNUM(orders[[#This Row],[Order Date]],2)</f>
        <v>4</v>
      </c>
      <c r="O499" t="str" cm="1">
        <f t="array" ref="O4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00" spans="1:15" x14ac:dyDescent="0.3">
      <c r="A500" t="s">
        <v>585</v>
      </c>
      <c r="B500" t="s">
        <v>51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20</v>
      </c>
      <c r="I500" t="s">
        <v>15</v>
      </c>
      <c r="J500">
        <v>5</v>
      </c>
      <c r="K500" t="s">
        <v>16</v>
      </c>
      <c r="L500" t="s">
        <v>144</v>
      </c>
      <c r="M500">
        <f>orders[[#This Row],[Ship Date]]-orders[[#This Row],[Order Date]]</f>
        <v>1</v>
      </c>
      <c r="N500">
        <f>WEEKNUM(orders[[#This Row],[Order Date]],2)</f>
        <v>4</v>
      </c>
      <c r="O500" t="str" cm="1">
        <f t="array" ref="O5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01" spans="1:15" x14ac:dyDescent="0.3">
      <c r="A501" t="s">
        <v>586</v>
      </c>
      <c r="B501" t="s">
        <v>41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86</v>
      </c>
      <c r="I501" t="s">
        <v>67</v>
      </c>
      <c r="J501">
        <v>1</v>
      </c>
      <c r="K501" t="s">
        <v>16</v>
      </c>
      <c r="L501" t="s">
        <v>30</v>
      </c>
      <c r="M501">
        <f>orders[[#This Row],[Ship Date]]-orders[[#This Row],[Order Date]]</f>
        <v>1</v>
      </c>
      <c r="N501">
        <f>WEEKNUM(orders[[#This Row],[Order Date]],2)</f>
        <v>4</v>
      </c>
      <c r="O501" t="str" cm="1">
        <f t="array" ref="O501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502" spans="1:15" x14ac:dyDescent="0.3">
      <c r="A502" t="s">
        <v>587</v>
      </c>
      <c r="B502" t="s">
        <v>51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14</v>
      </c>
      <c r="I502" t="s">
        <v>32</v>
      </c>
      <c r="J502">
        <v>3</v>
      </c>
      <c r="K502" t="s">
        <v>16</v>
      </c>
      <c r="L502" t="s">
        <v>30</v>
      </c>
      <c r="M502">
        <f>orders[[#This Row],[Ship Date]]-orders[[#This Row],[Order Date]]</f>
        <v>0</v>
      </c>
      <c r="N502">
        <f>WEEKNUM(orders[[#This Row],[Order Date]],2)</f>
        <v>4</v>
      </c>
      <c r="O502" t="str" cm="1">
        <f t="array" ref="O50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503" spans="1:15" x14ac:dyDescent="0.3">
      <c r="A503" t="s">
        <v>588</v>
      </c>
      <c r="B503" t="s">
        <v>43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20</v>
      </c>
      <c r="I503" t="s">
        <v>15</v>
      </c>
      <c r="J503">
        <v>3</v>
      </c>
      <c r="K503" t="s">
        <v>16</v>
      </c>
      <c r="L503" t="s">
        <v>30</v>
      </c>
      <c r="M503">
        <f>orders[[#This Row],[Ship Date]]-orders[[#This Row],[Order Date]]</f>
        <v>1</v>
      </c>
      <c r="N503">
        <f>WEEKNUM(orders[[#This Row],[Order Date]],2)</f>
        <v>4</v>
      </c>
      <c r="O503" t="str" cm="1">
        <f t="array" ref="O5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04" spans="1:15" x14ac:dyDescent="0.3">
      <c r="A504" t="s">
        <v>589</v>
      </c>
      <c r="B504" t="s">
        <v>64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24</v>
      </c>
      <c r="I504" t="s">
        <v>32</v>
      </c>
      <c r="J504">
        <v>4</v>
      </c>
      <c r="K504" t="s">
        <v>16</v>
      </c>
      <c r="L504" t="s">
        <v>30</v>
      </c>
      <c r="M504">
        <f>orders[[#This Row],[Ship Date]]-orders[[#This Row],[Order Date]]</f>
        <v>4</v>
      </c>
      <c r="N504">
        <f>WEEKNUM(orders[[#This Row],[Order Date]],2)</f>
        <v>4</v>
      </c>
      <c r="O504" t="str" cm="1">
        <f t="array" ref="O5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05" spans="1:15" x14ac:dyDescent="0.3">
      <c r="A505" t="s">
        <v>590</v>
      </c>
      <c r="B505" t="s">
        <v>132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24</v>
      </c>
      <c r="I505" t="s">
        <v>37</v>
      </c>
      <c r="J505">
        <v>3</v>
      </c>
      <c r="K505" t="s">
        <v>16</v>
      </c>
      <c r="L505" t="s">
        <v>30</v>
      </c>
      <c r="M505">
        <f>orders[[#This Row],[Ship Date]]-orders[[#This Row],[Order Date]]</f>
        <v>3</v>
      </c>
      <c r="N505">
        <f>WEEKNUM(orders[[#This Row],[Order Date]],2)</f>
        <v>4</v>
      </c>
      <c r="O505" t="str" cm="1">
        <f t="array" ref="O5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06" spans="1:15" x14ac:dyDescent="0.3">
      <c r="A506" t="s">
        <v>591</v>
      </c>
      <c r="B506" t="s">
        <v>36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24</v>
      </c>
      <c r="I506" t="s">
        <v>15</v>
      </c>
      <c r="J506">
        <v>5</v>
      </c>
      <c r="K506" t="s">
        <v>16</v>
      </c>
      <c r="L506" t="s">
        <v>30</v>
      </c>
      <c r="M506">
        <f>orders[[#This Row],[Ship Date]]-orders[[#This Row],[Order Date]]</f>
        <v>3</v>
      </c>
      <c r="N506">
        <f>WEEKNUM(orders[[#This Row],[Order Date]],2)</f>
        <v>4</v>
      </c>
      <c r="O506" t="str" cm="1">
        <f t="array" ref="O5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07" spans="1:15" x14ac:dyDescent="0.3">
      <c r="A507" t="s">
        <v>592</v>
      </c>
      <c r="B507" t="s">
        <v>125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24</v>
      </c>
      <c r="I507" t="s">
        <v>48</v>
      </c>
      <c r="J507">
        <v>4</v>
      </c>
      <c r="K507" t="s">
        <v>16</v>
      </c>
      <c r="L507" t="s">
        <v>30</v>
      </c>
      <c r="M507">
        <f>orders[[#This Row],[Ship Date]]-orders[[#This Row],[Order Date]]</f>
        <v>4</v>
      </c>
      <c r="N507">
        <f>WEEKNUM(orders[[#This Row],[Order Date]],2)</f>
        <v>4</v>
      </c>
      <c r="O507" t="str" cm="1">
        <f t="array" ref="O5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08" spans="1:15" x14ac:dyDescent="0.3">
      <c r="A508" t="s">
        <v>593</v>
      </c>
      <c r="B508" t="s">
        <v>23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24</v>
      </c>
      <c r="I508" t="s">
        <v>32</v>
      </c>
      <c r="J508">
        <v>4</v>
      </c>
      <c r="K508" t="s">
        <v>16</v>
      </c>
      <c r="L508" t="s">
        <v>30</v>
      </c>
      <c r="M508">
        <f>orders[[#This Row],[Ship Date]]-orders[[#This Row],[Order Date]]</f>
        <v>3</v>
      </c>
      <c r="N508">
        <f>WEEKNUM(orders[[#This Row],[Order Date]],2)</f>
        <v>4</v>
      </c>
      <c r="O508" t="str" cm="1">
        <f t="array" ref="O5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09" spans="1:15" x14ac:dyDescent="0.3">
      <c r="A509" t="s">
        <v>594</v>
      </c>
      <c r="B509" t="s">
        <v>36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20</v>
      </c>
      <c r="I509" t="s">
        <v>32</v>
      </c>
      <c r="J509">
        <v>4</v>
      </c>
      <c r="K509" t="s">
        <v>16</v>
      </c>
      <c r="L509" t="s">
        <v>30</v>
      </c>
      <c r="M509">
        <f>orders[[#This Row],[Ship Date]]-orders[[#This Row],[Order Date]]</f>
        <v>2</v>
      </c>
      <c r="N509">
        <f>WEEKNUM(orders[[#This Row],[Order Date]],2)</f>
        <v>4</v>
      </c>
      <c r="O509" t="str" cm="1">
        <f t="array" ref="O5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10" spans="1:15" x14ac:dyDescent="0.3">
      <c r="A510" t="s">
        <v>595</v>
      </c>
      <c r="B510" t="s">
        <v>41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20</v>
      </c>
      <c r="I510" t="s">
        <v>32</v>
      </c>
      <c r="J510">
        <v>4</v>
      </c>
      <c r="K510" t="s">
        <v>16</v>
      </c>
      <c r="L510" t="s">
        <v>52</v>
      </c>
      <c r="M510">
        <f>orders[[#This Row],[Ship Date]]-orders[[#This Row],[Order Date]]</f>
        <v>1</v>
      </c>
      <c r="N510">
        <f>WEEKNUM(orders[[#This Row],[Order Date]],2)</f>
        <v>4</v>
      </c>
      <c r="O510" t="str" cm="1">
        <f t="array" ref="O5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11" spans="1:15" x14ac:dyDescent="0.3">
      <c r="A511" t="s">
        <v>596</v>
      </c>
      <c r="B511" t="s">
        <v>19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24</v>
      </c>
      <c r="I511" t="s">
        <v>67</v>
      </c>
      <c r="J511">
        <v>3</v>
      </c>
      <c r="K511" t="s">
        <v>16</v>
      </c>
      <c r="L511" t="s">
        <v>59</v>
      </c>
      <c r="M511">
        <f>orders[[#This Row],[Ship Date]]-orders[[#This Row],[Order Date]]</f>
        <v>2</v>
      </c>
      <c r="N511">
        <f>WEEKNUM(orders[[#This Row],[Order Date]],2)</f>
        <v>4</v>
      </c>
      <c r="O511" t="str" cm="1">
        <f t="array" ref="O5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12" spans="1:15" x14ac:dyDescent="0.3">
      <c r="A512" t="s">
        <v>597</v>
      </c>
      <c r="B512" t="s">
        <v>73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24</v>
      </c>
      <c r="I512" t="s">
        <v>67</v>
      </c>
      <c r="J512">
        <v>3</v>
      </c>
      <c r="K512" t="s">
        <v>16</v>
      </c>
      <c r="L512" t="s">
        <v>59</v>
      </c>
      <c r="M512">
        <f>orders[[#This Row],[Ship Date]]-orders[[#This Row],[Order Date]]</f>
        <v>2</v>
      </c>
      <c r="N512">
        <f>WEEKNUM(orders[[#This Row],[Order Date]],2)</f>
        <v>4</v>
      </c>
      <c r="O512" t="str" cm="1">
        <f t="array" ref="O5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13" spans="1:15" x14ac:dyDescent="0.3">
      <c r="A513" t="s">
        <v>598</v>
      </c>
      <c r="B513" t="s">
        <v>27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14</v>
      </c>
      <c r="I513" t="s">
        <v>37</v>
      </c>
      <c r="J513">
        <v>4</v>
      </c>
      <c r="K513" t="s">
        <v>16</v>
      </c>
      <c r="L513" t="s">
        <v>59</v>
      </c>
      <c r="M513">
        <f>orders[[#This Row],[Ship Date]]-orders[[#This Row],[Order Date]]</f>
        <v>0</v>
      </c>
      <c r="N513">
        <f>WEEKNUM(orders[[#This Row],[Order Date]],2)</f>
        <v>4</v>
      </c>
      <c r="O513" t="str" cm="1">
        <f t="array" ref="O51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514" spans="1:15" x14ac:dyDescent="0.3">
      <c r="A514" t="s">
        <v>599</v>
      </c>
      <c r="B514" t="s">
        <v>120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24</v>
      </c>
      <c r="I514" t="s">
        <v>32</v>
      </c>
      <c r="J514">
        <v>4</v>
      </c>
      <c r="K514" t="s">
        <v>16</v>
      </c>
      <c r="L514" t="s">
        <v>59</v>
      </c>
      <c r="M514">
        <f>orders[[#This Row],[Ship Date]]-orders[[#This Row],[Order Date]]</f>
        <v>1</v>
      </c>
      <c r="N514">
        <f>WEEKNUM(orders[[#This Row],[Order Date]],2)</f>
        <v>4</v>
      </c>
      <c r="O514" t="str" cm="1">
        <f t="array" ref="O5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15" spans="1:15" x14ac:dyDescent="0.3">
      <c r="A515" t="s">
        <v>600</v>
      </c>
      <c r="B515" t="s">
        <v>41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20</v>
      </c>
      <c r="I515" t="s">
        <v>67</v>
      </c>
      <c r="J515">
        <v>3</v>
      </c>
      <c r="K515" t="s">
        <v>16</v>
      </c>
      <c r="L515" t="s">
        <v>69</v>
      </c>
      <c r="M515">
        <f>orders[[#This Row],[Ship Date]]-orders[[#This Row],[Order Date]]</f>
        <v>2</v>
      </c>
      <c r="N515">
        <f>WEEKNUM(orders[[#This Row],[Order Date]],2)</f>
        <v>4</v>
      </c>
      <c r="O515" t="str" cm="1">
        <f t="array" ref="O51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16" spans="1:15" x14ac:dyDescent="0.3">
      <c r="A516" t="s">
        <v>601</v>
      </c>
      <c r="B516" t="s">
        <v>51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20</v>
      </c>
      <c r="I516" t="s">
        <v>15</v>
      </c>
      <c r="J516">
        <v>5</v>
      </c>
      <c r="K516" t="s">
        <v>16</v>
      </c>
      <c r="L516" t="s">
        <v>74</v>
      </c>
      <c r="M516">
        <f>orders[[#This Row],[Ship Date]]-orders[[#This Row],[Order Date]]</f>
        <v>2</v>
      </c>
      <c r="N516">
        <f>WEEKNUM(orders[[#This Row],[Order Date]],2)</f>
        <v>4</v>
      </c>
      <c r="O516" t="str" cm="1">
        <f t="array" ref="O5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17" spans="1:15" x14ac:dyDescent="0.3">
      <c r="A517" t="s">
        <v>602</v>
      </c>
      <c r="B517" t="s">
        <v>41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14</v>
      </c>
      <c r="I517" t="s">
        <v>48</v>
      </c>
      <c r="J517">
        <v>5</v>
      </c>
      <c r="K517" t="s">
        <v>16</v>
      </c>
      <c r="L517" t="s">
        <v>74</v>
      </c>
      <c r="M517">
        <f>orders[[#This Row],[Ship Date]]-orders[[#This Row],[Order Date]]</f>
        <v>1</v>
      </c>
      <c r="N517">
        <f>WEEKNUM(orders[[#This Row],[Order Date]],2)</f>
        <v>4</v>
      </c>
      <c r="O517" t="str" cm="1">
        <f t="array" ref="O51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518" spans="1:15" x14ac:dyDescent="0.3">
      <c r="A518" t="s">
        <v>603</v>
      </c>
      <c r="B518" t="s">
        <v>51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24</v>
      </c>
      <c r="I518" t="s">
        <v>15</v>
      </c>
      <c r="J518">
        <v>4</v>
      </c>
      <c r="K518" t="s">
        <v>16</v>
      </c>
      <c r="L518" t="s">
        <v>105</v>
      </c>
      <c r="M518">
        <f>orders[[#This Row],[Ship Date]]-orders[[#This Row],[Order Date]]</f>
        <v>2</v>
      </c>
      <c r="N518">
        <f>WEEKNUM(orders[[#This Row],[Order Date]],2)</f>
        <v>4</v>
      </c>
      <c r="O518" t="str" cm="1">
        <f t="array" ref="O5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19" spans="1:15" x14ac:dyDescent="0.3">
      <c r="A519" t="s">
        <v>604</v>
      </c>
      <c r="B519" t="s">
        <v>13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24</v>
      </c>
      <c r="I519" t="s">
        <v>32</v>
      </c>
      <c r="J519">
        <v>5</v>
      </c>
      <c r="K519" t="s">
        <v>16</v>
      </c>
      <c r="L519" t="s">
        <v>605</v>
      </c>
      <c r="M519">
        <f>orders[[#This Row],[Ship Date]]-orders[[#This Row],[Order Date]]</f>
        <v>3</v>
      </c>
      <c r="N519">
        <f>WEEKNUM(orders[[#This Row],[Order Date]],2)</f>
        <v>4</v>
      </c>
      <c r="O519" t="str" cm="1">
        <f t="array" ref="O5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20" spans="1:15" x14ac:dyDescent="0.3">
      <c r="A520" t="s">
        <v>606</v>
      </c>
      <c r="B520" t="s">
        <v>29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24</v>
      </c>
      <c r="I520" t="s">
        <v>15</v>
      </c>
      <c r="J520">
        <v>4</v>
      </c>
      <c r="K520" t="s">
        <v>16</v>
      </c>
      <c r="L520" t="s">
        <v>112</v>
      </c>
      <c r="M520">
        <f>orders[[#This Row],[Ship Date]]-orders[[#This Row],[Order Date]]</f>
        <v>4</v>
      </c>
      <c r="N520">
        <f>WEEKNUM(orders[[#This Row],[Order Date]],2)</f>
        <v>4</v>
      </c>
      <c r="O520" t="str" cm="1">
        <f t="array" ref="O5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21" spans="1:15" x14ac:dyDescent="0.3">
      <c r="A521" t="s">
        <v>607</v>
      </c>
      <c r="B521" t="s">
        <v>29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24</v>
      </c>
      <c r="I521" t="s">
        <v>32</v>
      </c>
      <c r="J521">
        <v>3</v>
      </c>
      <c r="K521" t="s">
        <v>16</v>
      </c>
      <c r="L521" t="s">
        <v>25</v>
      </c>
      <c r="M521">
        <f>orders[[#This Row],[Ship Date]]-orders[[#This Row],[Order Date]]</f>
        <v>3</v>
      </c>
      <c r="N521">
        <f>WEEKNUM(orders[[#This Row],[Order Date]],2)</f>
        <v>4</v>
      </c>
      <c r="O521" t="str" cm="1">
        <f t="array" ref="O5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22" spans="1:15" x14ac:dyDescent="0.3">
      <c r="A522" t="s">
        <v>608</v>
      </c>
      <c r="B522" t="s">
        <v>29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20</v>
      </c>
      <c r="I522" t="s">
        <v>15</v>
      </c>
      <c r="J522">
        <v>3</v>
      </c>
      <c r="K522" t="s">
        <v>16</v>
      </c>
      <c r="L522" t="s">
        <v>25</v>
      </c>
      <c r="M522">
        <f>orders[[#This Row],[Ship Date]]-orders[[#This Row],[Order Date]]</f>
        <v>1</v>
      </c>
      <c r="N522">
        <f>WEEKNUM(orders[[#This Row],[Order Date]],2)</f>
        <v>4</v>
      </c>
      <c r="O522" t="str" cm="1">
        <f t="array" ref="O5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23" spans="1:15" x14ac:dyDescent="0.3">
      <c r="A523" t="s">
        <v>609</v>
      </c>
      <c r="B523" t="s">
        <v>39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24</v>
      </c>
      <c r="I523" t="s">
        <v>37</v>
      </c>
      <c r="J523">
        <v>3</v>
      </c>
      <c r="K523" t="s">
        <v>16</v>
      </c>
      <c r="L523" t="s">
        <v>30</v>
      </c>
      <c r="M523">
        <f>orders[[#This Row],[Ship Date]]-orders[[#This Row],[Order Date]]</f>
        <v>0</v>
      </c>
      <c r="N523">
        <f>WEEKNUM(orders[[#This Row],[Order Date]],2)</f>
        <v>4</v>
      </c>
      <c r="O523" t="str" cm="1">
        <f t="array" ref="O5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24" spans="1:15" x14ac:dyDescent="0.3">
      <c r="A524" t="s">
        <v>610</v>
      </c>
      <c r="B524" t="s">
        <v>23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14</v>
      </c>
      <c r="I524" t="s">
        <v>15</v>
      </c>
      <c r="J524">
        <v>4</v>
      </c>
      <c r="K524" t="s">
        <v>16</v>
      </c>
      <c r="L524" t="s">
        <v>30</v>
      </c>
      <c r="M524">
        <f>orders[[#This Row],[Ship Date]]-orders[[#This Row],[Order Date]]</f>
        <v>0</v>
      </c>
      <c r="N524">
        <f>WEEKNUM(orders[[#This Row],[Order Date]],2)</f>
        <v>4</v>
      </c>
      <c r="O524" t="str" cm="1">
        <f t="array" ref="O52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525" spans="1:15" x14ac:dyDescent="0.3">
      <c r="A525" t="s">
        <v>611</v>
      </c>
      <c r="B525" t="s">
        <v>43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24</v>
      </c>
      <c r="I525" t="s">
        <v>37</v>
      </c>
      <c r="J525">
        <v>5</v>
      </c>
      <c r="K525" t="s">
        <v>16</v>
      </c>
      <c r="L525" t="s">
        <v>30</v>
      </c>
      <c r="M525">
        <f>orders[[#This Row],[Ship Date]]-orders[[#This Row],[Order Date]]</f>
        <v>1</v>
      </c>
      <c r="N525">
        <f>WEEKNUM(orders[[#This Row],[Order Date]],2)</f>
        <v>4</v>
      </c>
      <c r="O525" t="str" cm="1">
        <f t="array" ref="O5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26" spans="1:15" x14ac:dyDescent="0.3">
      <c r="A526" t="s">
        <v>612</v>
      </c>
      <c r="B526" t="s">
        <v>66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24</v>
      </c>
      <c r="I526" t="s">
        <v>15</v>
      </c>
      <c r="J526">
        <v>4</v>
      </c>
      <c r="K526" t="s">
        <v>16</v>
      </c>
      <c r="L526" t="s">
        <v>30</v>
      </c>
      <c r="M526">
        <f>orders[[#This Row],[Ship Date]]-orders[[#This Row],[Order Date]]</f>
        <v>1</v>
      </c>
      <c r="N526">
        <f>WEEKNUM(orders[[#This Row],[Order Date]],2)</f>
        <v>4</v>
      </c>
      <c r="O526" t="str" cm="1">
        <f t="array" ref="O5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27" spans="1:15" x14ac:dyDescent="0.3">
      <c r="A527" t="s">
        <v>613</v>
      </c>
      <c r="B527" t="s">
        <v>41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20</v>
      </c>
      <c r="I527" t="s">
        <v>32</v>
      </c>
      <c r="J527">
        <v>4</v>
      </c>
      <c r="K527" t="s">
        <v>16</v>
      </c>
      <c r="L527" t="s">
        <v>30</v>
      </c>
      <c r="M527">
        <f>orders[[#This Row],[Ship Date]]-orders[[#This Row],[Order Date]]</f>
        <v>1</v>
      </c>
      <c r="N527">
        <f>WEEKNUM(orders[[#This Row],[Order Date]],2)</f>
        <v>4</v>
      </c>
      <c r="O527" t="str" cm="1">
        <f t="array" ref="O52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28" spans="1:15" x14ac:dyDescent="0.3">
      <c r="A528" t="s">
        <v>614</v>
      </c>
      <c r="B528" t="s">
        <v>143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20</v>
      </c>
      <c r="I528" t="s">
        <v>15</v>
      </c>
      <c r="J528">
        <v>5</v>
      </c>
      <c r="K528" t="s">
        <v>16</v>
      </c>
      <c r="L528" t="s">
        <v>30</v>
      </c>
      <c r="M528">
        <f>orders[[#This Row],[Ship Date]]-orders[[#This Row],[Order Date]]</f>
        <v>1</v>
      </c>
      <c r="N528">
        <f>WEEKNUM(orders[[#This Row],[Order Date]],2)</f>
        <v>4</v>
      </c>
      <c r="O528" t="str" cm="1">
        <f t="array" ref="O5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29" spans="1:15" x14ac:dyDescent="0.3">
      <c r="A529" t="s">
        <v>615</v>
      </c>
      <c r="B529" t="s">
        <v>78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24</v>
      </c>
      <c r="I529" t="s">
        <v>32</v>
      </c>
      <c r="J529">
        <v>4</v>
      </c>
      <c r="K529" t="s">
        <v>16</v>
      </c>
      <c r="L529" t="s">
        <v>30</v>
      </c>
      <c r="M529">
        <f>orders[[#This Row],[Ship Date]]-orders[[#This Row],[Order Date]]</f>
        <v>2</v>
      </c>
      <c r="N529">
        <f>WEEKNUM(orders[[#This Row],[Order Date]],2)</f>
        <v>4</v>
      </c>
      <c r="O529" t="str" cm="1">
        <f t="array" ref="O5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0" spans="1:15" x14ac:dyDescent="0.3">
      <c r="A530" t="s">
        <v>616</v>
      </c>
      <c r="B530" t="s">
        <v>29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24</v>
      </c>
      <c r="I530" t="s">
        <v>37</v>
      </c>
      <c r="J530">
        <v>3</v>
      </c>
      <c r="K530" t="s">
        <v>16</v>
      </c>
      <c r="L530" t="s">
        <v>30</v>
      </c>
      <c r="M530">
        <f>orders[[#This Row],[Ship Date]]-orders[[#This Row],[Order Date]]</f>
        <v>1</v>
      </c>
      <c r="N530">
        <f>WEEKNUM(orders[[#This Row],[Order Date]],2)</f>
        <v>4</v>
      </c>
      <c r="O530" t="str" cm="1">
        <f t="array" ref="O5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1" spans="1:15" x14ac:dyDescent="0.3">
      <c r="A531" t="s">
        <v>617</v>
      </c>
      <c r="B531" t="s">
        <v>51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24</v>
      </c>
      <c r="I531" t="s">
        <v>48</v>
      </c>
      <c r="J531">
        <v>4</v>
      </c>
      <c r="K531" t="s">
        <v>16</v>
      </c>
      <c r="L531" t="s">
        <v>30</v>
      </c>
      <c r="M531">
        <f>orders[[#This Row],[Ship Date]]-orders[[#This Row],[Order Date]]</f>
        <v>1</v>
      </c>
      <c r="N531">
        <f>WEEKNUM(orders[[#This Row],[Order Date]],2)</f>
        <v>4</v>
      </c>
      <c r="O531" t="str" cm="1">
        <f t="array" ref="O5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2" spans="1:15" x14ac:dyDescent="0.3">
      <c r="A532" t="s">
        <v>618</v>
      </c>
      <c r="B532" t="s">
        <v>13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24</v>
      </c>
      <c r="I532" t="s">
        <v>48</v>
      </c>
      <c r="J532">
        <v>3</v>
      </c>
      <c r="K532" t="s">
        <v>16</v>
      </c>
      <c r="L532" t="s">
        <v>30</v>
      </c>
      <c r="M532">
        <f>orders[[#This Row],[Ship Date]]-orders[[#This Row],[Order Date]]</f>
        <v>1</v>
      </c>
      <c r="N532">
        <f>WEEKNUM(orders[[#This Row],[Order Date]],2)</f>
        <v>4</v>
      </c>
      <c r="O532" t="str" cm="1">
        <f t="array" ref="O5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3" spans="1:15" x14ac:dyDescent="0.3">
      <c r="A533" t="s">
        <v>619</v>
      </c>
      <c r="B533" t="s">
        <v>41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24</v>
      </c>
      <c r="I533" t="s">
        <v>15</v>
      </c>
      <c r="J533">
        <v>4</v>
      </c>
      <c r="K533" t="s">
        <v>16</v>
      </c>
      <c r="L533" t="s">
        <v>52</v>
      </c>
      <c r="M533">
        <f>orders[[#This Row],[Ship Date]]-orders[[#This Row],[Order Date]]</f>
        <v>1</v>
      </c>
      <c r="N533">
        <f>WEEKNUM(orders[[#This Row],[Order Date]],2)</f>
        <v>4</v>
      </c>
      <c r="O533" t="str" cm="1">
        <f t="array" ref="O5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4" spans="1:15" x14ac:dyDescent="0.3">
      <c r="A534" t="s">
        <v>620</v>
      </c>
      <c r="B534" t="s">
        <v>19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24</v>
      </c>
      <c r="I534" t="s">
        <v>15</v>
      </c>
      <c r="J534">
        <v>4</v>
      </c>
      <c r="K534" t="s">
        <v>16</v>
      </c>
      <c r="L534" t="s">
        <v>52</v>
      </c>
      <c r="M534">
        <f>orders[[#This Row],[Ship Date]]-orders[[#This Row],[Order Date]]</f>
        <v>3</v>
      </c>
      <c r="N534">
        <f>WEEKNUM(orders[[#This Row],[Order Date]],2)</f>
        <v>4</v>
      </c>
      <c r="O534" t="str" cm="1">
        <f t="array" ref="O5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5" spans="1:15" x14ac:dyDescent="0.3">
      <c r="A535" t="s">
        <v>621</v>
      </c>
      <c r="B535" t="s">
        <v>36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24</v>
      </c>
      <c r="I535" t="s">
        <v>48</v>
      </c>
      <c r="J535">
        <v>5</v>
      </c>
      <c r="K535" t="s">
        <v>16</v>
      </c>
      <c r="L535" t="s">
        <v>52</v>
      </c>
      <c r="M535">
        <f>orders[[#This Row],[Ship Date]]-orders[[#This Row],[Order Date]]</f>
        <v>1</v>
      </c>
      <c r="N535">
        <f>WEEKNUM(orders[[#This Row],[Order Date]],2)</f>
        <v>4</v>
      </c>
      <c r="O535" t="str" cm="1">
        <f t="array" ref="O5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6" spans="1:15" x14ac:dyDescent="0.3">
      <c r="A536" t="s">
        <v>622</v>
      </c>
      <c r="B536" t="s">
        <v>41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24</v>
      </c>
      <c r="I536" t="s">
        <v>37</v>
      </c>
      <c r="J536">
        <v>4</v>
      </c>
      <c r="K536" t="s">
        <v>16</v>
      </c>
      <c r="L536" t="s">
        <v>56</v>
      </c>
      <c r="M536">
        <f>orders[[#This Row],[Ship Date]]-orders[[#This Row],[Order Date]]</f>
        <v>4</v>
      </c>
      <c r="N536">
        <f>WEEKNUM(orders[[#This Row],[Order Date]],2)</f>
        <v>4</v>
      </c>
      <c r="O536" t="str" cm="1">
        <f t="array" ref="O5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7" spans="1:15" x14ac:dyDescent="0.3">
      <c r="A537" t="s">
        <v>623</v>
      </c>
      <c r="B537" t="s">
        <v>43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24</v>
      </c>
      <c r="I537" t="s">
        <v>37</v>
      </c>
      <c r="J537">
        <v>4</v>
      </c>
      <c r="K537" t="s">
        <v>16</v>
      </c>
      <c r="L537" t="s">
        <v>56</v>
      </c>
      <c r="M537">
        <f>orders[[#This Row],[Ship Date]]-orders[[#This Row],[Order Date]]</f>
        <v>3</v>
      </c>
      <c r="N537">
        <f>WEEKNUM(orders[[#This Row],[Order Date]],2)</f>
        <v>4</v>
      </c>
      <c r="O537" t="str" cm="1">
        <f t="array" ref="O53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38" spans="1:15" x14ac:dyDescent="0.3">
      <c r="A538" t="s">
        <v>624</v>
      </c>
      <c r="B538" t="s">
        <v>125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20</v>
      </c>
      <c r="I538" t="s">
        <v>37</v>
      </c>
      <c r="J538">
        <v>3</v>
      </c>
      <c r="K538" t="s">
        <v>16</v>
      </c>
      <c r="L538" t="s">
        <v>56</v>
      </c>
      <c r="M538">
        <f>orders[[#This Row],[Ship Date]]-orders[[#This Row],[Order Date]]</f>
        <v>1</v>
      </c>
      <c r="N538">
        <f>WEEKNUM(orders[[#This Row],[Order Date]],2)</f>
        <v>4</v>
      </c>
      <c r="O538" t="str" cm="1">
        <f t="array" ref="O5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39" spans="1:15" x14ac:dyDescent="0.3">
      <c r="A539" t="s">
        <v>625</v>
      </c>
      <c r="B539" t="s">
        <v>13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24</v>
      </c>
      <c r="I539" t="s">
        <v>67</v>
      </c>
      <c r="J539">
        <v>2</v>
      </c>
      <c r="K539" t="s">
        <v>16</v>
      </c>
      <c r="L539" t="s">
        <v>59</v>
      </c>
      <c r="M539">
        <f>orders[[#This Row],[Ship Date]]-orders[[#This Row],[Order Date]]</f>
        <v>2</v>
      </c>
      <c r="N539">
        <f>WEEKNUM(orders[[#This Row],[Order Date]],2)</f>
        <v>4</v>
      </c>
      <c r="O539" t="str" cm="1">
        <f t="array" ref="O5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40" spans="1:15" x14ac:dyDescent="0.3">
      <c r="A540" t="s">
        <v>626</v>
      </c>
      <c r="B540" t="s">
        <v>120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20</v>
      </c>
      <c r="I540" t="s">
        <v>48</v>
      </c>
      <c r="J540">
        <v>3</v>
      </c>
      <c r="K540" t="s">
        <v>16</v>
      </c>
      <c r="L540" t="s">
        <v>59</v>
      </c>
      <c r="M540">
        <f>orders[[#This Row],[Ship Date]]-orders[[#This Row],[Order Date]]</f>
        <v>1</v>
      </c>
      <c r="N540">
        <f>WEEKNUM(orders[[#This Row],[Order Date]],2)</f>
        <v>4</v>
      </c>
      <c r="O540" t="str" cm="1">
        <f t="array" ref="O5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41" spans="1:15" x14ac:dyDescent="0.3">
      <c r="A541" t="s">
        <v>627</v>
      </c>
      <c r="B541" t="s">
        <v>39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24</v>
      </c>
      <c r="I541" t="s">
        <v>67</v>
      </c>
      <c r="J541">
        <v>4</v>
      </c>
      <c r="K541" t="s">
        <v>16</v>
      </c>
      <c r="L541" t="s">
        <v>59</v>
      </c>
      <c r="M541">
        <f>orders[[#This Row],[Ship Date]]-orders[[#This Row],[Order Date]]</f>
        <v>1</v>
      </c>
      <c r="N541">
        <f>WEEKNUM(orders[[#This Row],[Order Date]],2)</f>
        <v>4</v>
      </c>
      <c r="O541" t="str" cm="1">
        <f t="array" ref="O5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42" spans="1:15" x14ac:dyDescent="0.3">
      <c r="A542" t="s">
        <v>628</v>
      </c>
      <c r="B542" t="s">
        <v>41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20</v>
      </c>
      <c r="I542" t="s">
        <v>48</v>
      </c>
      <c r="J542">
        <v>5</v>
      </c>
      <c r="K542" t="s">
        <v>16</v>
      </c>
      <c r="L542" t="s">
        <v>59</v>
      </c>
      <c r="M542">
        <f>orders[[#This Row],[Ship Date]]-orders[[#This Row],[Order Date]]</f>
        <v>2</v>
      </c>
      <c r="N542">
        <f>WEEKNUM(orders[[#This Row],[Order Date]],2)</f>
        <v>4</v>
      </c>
      <c r="O542" t="str" cm="1">
        <f t="array" ref="O5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43" spans="1:15" x14ac:dyDescent="0.3">
      <c r="A543" t="s">
        <v>629</v>
      </c>
      <c r="B543" t="s">
        <v>41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20</v>
      </c>
      <c r="I543" t="s">
        <v>32</v>
      </c>
      <c r="J543">
        <v>4</v>
      </c>
      <c r="K543" t="s">
        <v>16</v>
      </c>
      <c r="L543" t="s">
        <v>71</v>
      </c>
      <c r="M543">
        <f>orders[[#This Row],[Ship Date]]-orders[[#This Row],[Order Date]]</f>
        <v>1</v>
      </c>
      <c r="N543">
        <f>WEEKNUM(orders[[#This Row],[Order Date]],2)</f>
        <v>4</v>
      </c>
      <c r="O543" t="str" cm="1">
        <f t="array" ref="O5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44" spans="1:15" x14ac:dyDescent="0.3">
      <c r="A544" t="s">
        <v>630</v>
      </c>
      <c r="B544" t="s">
        <v>43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24</v>
      </c>
      <c r="I544" t="s">
        <v>32</v>
      </c>
      <c r="J544">
        <v>3</v>
      </c>
      <c r="K544" t="s">
        <v>16</v>
      </c>
      <c r="L544" t="s">
        <v>71</v>
      </c>
      <c r="M544">
        <f>orders[[#This Row],[Ship Date]]-orders[[#This Row],[Order Date]]</f>
        <v>2</v>
      </c>
      <c r="N544">
        <f>WEEKNUM(orders[[#This Row],[Order Date]],2)</f>
        <v>4</v>
      </c>
      <c r="O544" t="str" cm="1">
        <f t="array" ref="O5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45" spans="1:15" x14ac:dyDescent="0.3">
      <c r="A545" t="s">
        <v>631</v>
      </c>
      <c r="B545" t="s">
        <v>64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24</v>
      </c>
      <c r="I545" t="s">
        <v>32</v>
      </c>
      <c r="J545">
        <v>5</v>
      </c>
      <c r="K545" t="s">
        <v>16</v>
      </c>
      <c r="L545" t="s">
        <v>74</v>
      </c>
      <c r="M545">
        <f>orders[[#This Row],[Ship Date]]-orders[[#This Row],[Order Date]]</f>
        <v>2</v>
      </c>
      <c r="N545">
        <f>WEEKNUM(orders[[#This Row],[Order Date]],2)</f>
        <v>4</v>
      </c>
      <c r="O545" t="str" cm="1">
        <f t="array" ref="O5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46" spans="1:15" x14ac:dyDescent="0.3">
      <c r="A546" t="s">
        <v>632</v>
      </c>
      <c r="B546" t="s">
        <v>23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24</v>
      </c>
      <c r="I546" t="s">
        <v>37</v>
      </c>
      <c r="J546">
        <v>5</v>
      </c>
      <c r="K546" t="s">
        <v>16</v>
      </c>
      <c r="L546" t="s">
        <v>306</v>
      </c>
      <c r="M546">
        <f>orders[[#This Row],[Ship Date]]-orders[[#This Row],[Order Date]]</f>
        <v>2</v>
      </c>
      <c r="N546">
        <f>WEEKNUM(orders[[#This Row],[Order Date]],2)</f>
        <v>4</v>
      </c>
      <c r="O546" t="str" cm="1">
        <f t="array" ref="O5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47" spans="1:15" x14ac:dyDescent="0.3">
      <c r="A547" t="s">
        <v>633</v>
      </c>
      <c r="B547" t="s">
        <v>36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24</v>
      </c>
      <c r="I547" t="s">
        <v>32</v>
      </c>
      <c r="J547">
        <v>5</v>
      </c>
      <c r="K547" t="s">
        <v>16</v>
      </c>
      <c r="L547" t="s">
        <v>374</v>
      </c>
      <c r="M547">
        <f>orders[[#This Row],[Ship Date]]-orders[[#This Row],[Order Date]]</f>
        <v>3</v>
      </c>
      <c r="N547">
        <f>WEEKNUM(orders[[#This Row],[Order Date]],2)</f>
        <v>4</v>
      </c>
      <c r="O547" t="str" cm="1">
        <f t="array" ref="O5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48" spans="1:15" x14ac:dyDescent="0.3">
      <c r="A548" t="s">
        <v>634</v>
      </c>
      <c r="B548" t="s">
        <v>39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14</v>
      </c>
      <c r="I548" t="s">
        <v>37</v>
      </c>
      <c r="J548">
        <v>4</v>
      </c>
      <c r="K548" t="s">
        <v>16</v>
      </c>
      <c r="L548" t="s">
        <v>107</v>
      </c>
      <c r="M548">
        <f>orders[[#This Row],[Ship Date]]-orders[[#This Row],[Order Date]]</f>
        <v>1</v>
      </c>
      <c r="N548">
        <f>WEEKNUM(orders[[#This Row],[Order Date]],2)</f>
        <v>4</v>
      </c>
      <c r="O548" t="str" cm="1">
        <f t="array" ref="O54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549" spans="1:15" x14ac:dyDescent="0.3">
      <c r="A549" t="s">
        <v>635</v>
      </c>
      <c r="B549" t="s">
        <v>43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20</v>
      </c>
      <c r="I549" t="s">
        <v>32</v>
      </c>
      <c r="J549">
        <v>5</v>
      </c>
      <c r="K549" t="s">
        <v>16</v>
      </c>
      <c r="L549" t="s">
        <v>76</v>
      </c>
      <c r="M549">
        <f>orders[[#This Row],[Ship Date]]-orders[[#This Row],[Order Date]]</f>
        <v>3</v>
      </c>
      <c r="N549">
        <f>WEEKNUM(orders[[#This Row],[Order Date]],2)</f>
        <v>4</v>
      </c>
      <c r="O549" t="str" cm="1">
        <f t="array" ref="O5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50" spans="1:15" x14ac:dyDescent="0.3">
      <c r="A550" t="s">
        <v>636</v>
      </c>
      <c r="B550" t="s">
        <v>13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24</v>
      </c>
      <c r="I550" t="s">
        <v>67</v>
      </c>
      <c r="J550">
        <v>4</v>
      </c>
      <c r="K550" t="s">
        <v>16</v>
      </c>
      <c r="L550" t="s">
        <v>79</v>
      </c>
      <c r="M550">
        <f>orders[[#This Row],[Ship Date]]-orders[[#This Row],[Order Date]]</f>
        <v>0</v>
      </c>
      <c r="N550">
        <f>WEEKNUM(orders[[#This Row],[Order Date]],2)</f>
        <v>4</v>
      </c>
      <c r="O550" t="str" cm="1">
        <f t="array" ref="O5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51" spans="1:15" x14ac:dyDescent="0.3">
      <c r="A551" t="s">
        <v>637</v>
      </c>
      <c r="B551" t="s">
        <v>19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86</v>
      </c>
      <c r="I551" t="s">
        <v>67</v>
      </c>
      <c r="J551">
        <v>3</v>
      </c>
      <c r="K551" t="s">
        <v>16</v>
      </c>
      <c r="L551" t="s">
        <v>638</v>
      </c>
      <c r="M551">
        <f>orders[[#This Row],[Ship Date]]-orders[[#This Row],[Order Date]]</f>
        <v>1</v>
      </c>
      <c r="N551">
        <f>WEEKNUM(orders[[#This Row],[Order Date]],2)</f>
        <v>4</v>
      </c>
      <c r="O551" t="str" cm="1">
        <f t="array" ref="O551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552" spans="1:15" x14ac:dyDescent="0.3">
      <c r="A552" t="s">
        <v>639</v>
      </c>
      <c r="B552" t="s">
        <v>36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20</v>
      </c>
      <c r="I552" t="s">
        <v>48</v>
      </c>
      <c r="J552">
        <v>3</v>
      </c>
      <c r="K552" t="s">
        <v>16</v>
      </c>
      <c r="L552" t="s">
        <v>21</v>
      </c>
      <c r="M552">
        <f>orders[[#This Row],[Ship Date]]-orders[[#This Row],[Order Date]]</f>
        <v>1</v>
      </c>
      <c r="N552">
        <f>WEEKNUM(orders[[#This Row],[Order Date]],2)</f>
        <v>4</v>
      </c>
      <c r="O552" t="str" cm="1">
        <f t="array" ref="O5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53" spans="1:15" x14ac:dyDescent="0.3">
      <c r="A553" t="s">
        <v>640</v>
      </c>
      <c r="B553" t="s">
        <v>41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24</v>
      </c>
      <c r="I553" t="s">
        <v>15</v>
      </c>
      <c r="J553">
        <v>4</v>
      </c>
      <c r="K553" t="s">
        <v>16</v>
      </c>
      <c r="L553" t="s">
        <v>584</v>
      </c>
      <c r="M553">
        <f>orders[[#This Row],[Ship Date]]-orders[[#This Row],[Order Date]]</f>
        <v>1</v>
      </c>
      <c r="N553">
        <f>WEEKNUM(orders[[#This Row],[Order Date]],2)</f>
        <v>4</v>
      </c>
      <c r="O553" t="str" cm="1">
        <f t="array" ref="O5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54" spans="1:15" x14ac:dyDescent="0.3">
      <c r="A554" t="s">
        <v>641</v>
      </c>
      <c r="B554" t="s">
        <v>36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24</v>
      </c>
      <c r="I554" t="s">
        <v>15</v>
      </c>
      <c r="J554">
        <v>4</v>
      </c>
      <c r="K554" t="s">
        <v>16</v>
      </c>
      <c r="L554" t="s">
        <v>30</v>
      </c>
      <c r="M554">
        <f>orders[[#This Row],[Ship Date]]-orders[[#This Row],[Order Date]]</f>
        <v>1</v>
      </c>
      <c r="N554">
        <f>WEEKNUM(orders[[#This Row],[Order Date]],2)</f>
        <v>4</v>
      </c>
      <c r="O554" t="str" cm="1">
        <f t="array" ref="O5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55" spans="1:15" x14ac:dyDescent="0.3">
      <c r="A555" t="s">
        <v>642</v>
      </c>
      <c r="B555" t="s">
        <v>66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24</v>
      </c>
      <c r="I555" t="s">
        <v>32</v>
      </c>
      <c r="J555">
        <v>3</v>
      </c>
      <c r="K555" t="s">
        <v>16</v>
      </c>
      <c r="L555" t="s">
        <v>30</v>
      </c>
      <c r="M555">
        <f>orders[[#This Row],[Ship Date]]-orders[[#This Row],[Order Date]]</f>
        <v>0</v>
      </c>
      <c r="N555">
        <f>WEEKNUM(orders[[#This Row],[Order Date]],2)</f>
        <v>4</v>
      </c>
      <c r="O555" t="str" cm="1">
        <f t="array" ref="O5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56" spans="1:15" x14ac:dyDescent="0.3">
      <c r="A556" t="s">
        <v>643</v>
      </c>
      <c r="B556" t="s">
        <v>41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24</v>
      </c>
      <c r="I556" t="s">
        <v>32</v>
      </c>
      <c r="J556">
        <v>5</v>
      </c>
      <c r="K556" t="s">
        <v>16</v>
      </c>
      <c r="L556" t="s">
        <v>30</v>
      </c>
      <c r="M556">
        <f>orders[[#This Row],[Ship Date]]-orders[[#This Row],[Order Date]]</f>
        <v>1</v>
      </c>
      <c r="N556">
        <f>WEEKNUM(orders[[#This Row],[Order Date]],2)</f>
        <v>4</v>
      </c>
      <c r="O556" t="str" cm="1">
        <f t="array" ref="O5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57" spans="1:15" x14ac:dyDescent="0.3">
      <c r="A557" t="s">
        <v>644</v>
      </c>
      <c r="B557" t="s">
        <v>36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24</v>
      </c>
      <c r="I557" t="s">
        <v>48</v>
      </c>
      <c r="J557">
        <v>4</v>
      </c>
      <c r="K557" t="s">
        <v>16</v>
      </c>
      <c r="L557" t="s">
        <v>30</v>
      </c>
      <c r="M557">
        <f>orders[[#This Row],[Ship Date]]-orders[[#This Row],[Order Date]]</f>
        <v>1</v>
      </c>
      <c r="N557">
        <f>WEEKNUM(orders[[#This Row],[Order Date]],2)</f>
        <v>4</v>
      </c>
      <c r="O557" t="str" cm="1">
        <f t="array" ref="O5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58" spans="1:15" x14ac:dyDescent="0.3">
      <c r="A558" t="s">
        <v>645</v>
      </c>
      <c r="B558" t="s">
        <v>34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24</v>
      </c>
      <c r="I558" t="s">
        <v>67</v>
      </c>
      <c r="J558">
        <v>4</v>
      </c>
      <c r="K558" t="s">
        <v>16</v>
      </c>
      <c r="L558" t="s">
        <v>30</v>
      </c>
      <c r="M558">
        <f>orders[[#This Row],[Ship Date]]-orders[[#This Row],[Order Date]]</f>
        <v>3</v>
      </c>
      <c r="N558">
        <f>WEEKNUM(orders[[#This Row],[Order Date]],2)</f>
        <v>4</v>
      </c>
      <c r="O558" t="str" cm="1">
        <f t="array" ref="O5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59" spans="1:15" x14ac:dyDescent="0.3">
      <c r="A559" t="s">
        <v>646</v>
      </c>
      <c r="B559" t="s">
        <v>36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24</v>
      </c>
      <c r="I559" t="s">
        <v>48</v>
      </c>
      <c r="J559">
        <v>4</v>
      </c>
      <c r="K559" t="s">
        <v>16</v>
      </c>
      <c r="L559" t="s">
        <v>30</v>
      </c>
      <c r="M559">
        <f>orders[[#This Row],[Ship Date]]-orders[[#This Row],[Order Date]]</f>
        <v>2</v>
      </c>
      <c r="N559">
        <f>WEEKNUM(orders[[#This Row],[Order Date]],2)</f>
        <v>4</v>
      </c>
      <c r="O559" t="str" cm="1">
        <f t="array" ref="O5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60" spans="1:15" x14ac:dyDescent="0.3">
      <c r="A560" t="s">
        <v>647</v>
      </c>
      <c r="B560" t="s">
        <v>19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20</v>
      </c>
      <c r="I560" t="s">
        <v>15</v>
      </c>
      <c r="J560">
        <v>3</v>
      </c>
      <c r="K560" t="s">
        <v>16</v>
      </c>
      <c r="L560" t="s">
        <v>30</v>
      </c>
      <c r="M560">
        <f>orders[[#This Row],[Ship Date]]-orders[[#This Row],[Order Date]]</f>
        <v>1</v>
      </c>
      <c r="N560">
        <f>WEEKNUM(orders[[#This Row],[Order Date]],2)</f>
        <v>4</v>
      </c>
      <c r="O560" t="str" cm="1">
        <f t="array" ref="O5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61" spans="1:15" x14ac:dyDescent="0.3">
      <c r="A561" t="s">
        <v>648</v>
      </c>
      <c r="B561" t="s">
        <v>23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20</v>
      </c>
      <c r="I561" t="s">
        <v>15</v>
      </c>
      <c r="J561">
        <v>5</v>
      </c>
      <c r="K561" t="s">
        <v>16</v>
      </c>
      <c r="L561" t="s">
        <v>52</v>
      </c>
      <c r="M561">
        <f>orders[[#This Row],[Ship Date]]-orders[[#This Row],[Order Date]]</f>
        <v>5</v>
      </c>
      <c r="N561">
        <f>WEEKNUM(orders[[#This Row],[Order Date]],2)</f>
        <v>4</v>
      </c>
      <c r="O561" t="str" cm="1">
        <f t="array" ref="O5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62" spans="1:15" x14ac:dyDescent="0.3">
      <c r="A562" t="s">
        <v>649</v>
      </c>
      <c r="B562" t="s">
        <v>13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24</v>
      </c>
      <c r="I562" t="s">
        <v>15</v>
      </c>
      <c r="J562">
        <v>3</v>
      </c>
      <c r="K562" t="s">
        <v>16</v>
      </c>
      <c r="L562" t="s">
        <v>52</v>
      </c>
      <c r="M562">
        <f>orders[[#This Row],[Ship Date]]-orders[[#This Row],[Order Date]]</f>
        <v>1</v>
      </c>
      <c r="N562">
        <f>WEEKNUM(orders[[#This Row],[Order Date]],2)</f>
        <v>4</v>
      </c>
      <c r="O562" t="str" cm="1">
        <f t="array" ref="O5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63" spans="1:15" x14ac:dyDescent="0.3">
      <c r="A563" t="s">
        <v>650</v>
      </c>
      <c r="B563" t="s">
        <v>23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20</v>
      </c>
      <c r="I563" t="s">
        <v>32</v>
      </c>
      <c r="J563">
        <v>4</v>
      </c>
      <c r="K563" t="s">
        <v>16</v>
      </c>
      <c r="L563" t="s">
        <v>52</v>
      </c>
      <c r="M563">
        <f>orders[[#This Row],[Ship Date]]-orders[[#This Row],[Order Date]]</f>
        <v>2</v>
      </c>
      <c r="N563">
        <f>WEEKNUM(orders[[#This Row],[Order Date]],2)</f>
        <v>4</v>
      </c>
      <c r="O563" t="str" cm="1">
        <f t="array" ref="O5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64" spans="1:15" x14ac:dyDescent="0.3">
      <c r="A564" t="s">
        <v>651</v>
      </c>
      <c r="B564" t="s">
        <v>29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20</v>
      </c>
      <c r="I564" t="s">
        <v>37</v>
      </c>
      <c r="J564">
        <v>5</v>
      </c>
      <c r="K564" t="s">
        <v>16</v>
      </c>
      <c r="L564" t="s">
        <v>52</v>
      </c>
      <c r="M564">
        <f>orders[[#This Row],[Ship Date]]-orders[[#This Row],[Order Date]]</f>
        <v>3</v>
      </c>
      <c r="N564">
        <f>WEEKNUM(orders[[#This Row],[Order Date]],2)</f>
        <v>4</v>
      </c>
      <c r="O564" t="str" cm="1">
        <f t="array" ref="O5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65" spans="1:15" x14ac:dyDescent="0.3">
      <c r="A565" t="s">
        <v>652</v>
      </c>
      <c r="B565" t="s">
        <v>19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20</v>
      </c>
      <c r="I565" t="s">
        <v>32</v>
      </c>
      <c r="J565">
        <v>3</v>
      </c>
      <c r="K565" t="s">
        <v>16</v>
      </c>
      <c r="L565" t="s">
        <v>56</v>
      </c>
      <c r="M565">
        <f>orders[[#This Row],[Ship Date]]-orders[[#This Row],[Order Date]]</f>
        <v>3</v>
      </c>
      <c r="N565">
        <f>WEEKNUM(orders[[#This Row],[Order Date]],2)</f>
        <v>4</v>
      </c>
      <c r="O565" t="str" cm="1">
        <f t="array" ref="O5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66" spans="1:15" x14ac:dyDescent="0.3">
      <c r="A566" t="s">
        <v>653</v>
      </c>
      <c r="B566" t="s">
        <v>27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24</v>
      </c>
      <c r="I566" t="s">
        <v>32</v>
      </c>
      <c r="J566">
        <v>4</v>
      </c>
      <c r="K566" t="s">
        <v>16</v>
      </c>
      <c r="L566" t="s">
        <v>59</v>
      </c>
      <c r="M566">
        <f>orders[[#This Row],[Ship Date]]-orders[[#This Row],[Order Date]]</f>
        <v>2</v>
      </c>
      <c r="N566">
        <f>WEEKNUM(orders[[#This Row],[Order Date]],2)</f>
        <v>4</v>
      </c>
      <c r="O566" t="str" cm="1">
        <f t="array" ref="O5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67" spans="1:15" x14ac:dyDescent="0.3">
      <c r="A567" t="s">
        <v>654</v>
      </c>
      <c r="B567" t="s">
        <v>41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20</v>
      </c>
      <c r="I567" t="s">
        <v>15</v>
      </c>
      <c r="J567">
        <v>4</v>
      </c>
      <c r="K567" t="s">
        <v>16</v>
      </c>
      <c r="L567" t="s">
        <v>59</v>
      </c>
      <c r="M567">
        <f>orders[[#This Row],[Ship Date]]-orders[[#This Row],[Order Date]]</f>
        <v>7</v>
      </c>
      <c r="N567">
        <f>WEEKNUM(orders[[#This Row],[Order Date]],2)</f>
        <v>4</v>
      </c>
      <c r="O567" t="str" cm="1">
        <f t="array" ref="O5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68" spans="1:15" x14ac:dyDescent="0.3">
      <c r="A568" t="s">
        <v>655</v>
      </c>
      <c r="B568" t="s">
        <v>13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24</v>
      </c>
      <c r="I568" t="s">
        <v>15</v>
      </c>
      <c r="J568">
        <v>3</v>
      </c>
      <c r="K568" t="s">
        <v>16</v>
      </c>
      <c r="L568" t="s">
        <v>100</v>
      </c>
      <c r="M568">
        <f>orders[[#This Row],[Ship Date]]-orders[[#This Row],[Order Date]]</f>
        <v>1</v>
      </c>
      <c r="N568">
        <f>WEEKNUM(orders[[#This Row],[Order Date]],2)</f>
        <v>4</v>
      </c>
      <c r="O568" t="str" cm="1">
        <f t="array" ref="O5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69" spans="1:15" x14ac:dyDescent="0.3">
      <c r="A569" t="s">
        <v>656</v>
      </c>
      <c r="B569" t="s">
        <v>23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24</v>
      </c>
      <c r="I569" t="s">
        <v>48</v>
      </c>
      <c r="J569">
        <v>3</v>
      </c>
      <c r="K569" t="s">
        <v>16</v>
      </c>
      <c r="L569" t="s">
        <v>74</v>
      </c>
      <c r="M569">
        <f>orders[[#This Row],[Ship Date]]-orders[[#This Row],[Order Date]]</f>
        <v>13</v>
      </c>
      <c r="N569">
        <f>WEEKNUM(orders[[#This Row],[Order Date]],2)</f>
        <v>4</v>
      </c>
      <c r="O569" t="str" cm="1">
        <f t="array" ref="O5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70" spans="1:15" x14ac:dyDescent="0.3">
      <c r="A570" t="s">
        <v>657</v>
      </c>
      <c r="B570" t="s">
        <v>19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24</v>
      </c>
      <c r="I570" t="s">
        <v>15</v>
      </c>
      <c r="J570">
        <v>3</v>
      </c>
      <c r="K570" t="s">
        <v>16</v>
      </c>
      <c r="L570" t="s">
        <v>74</v>
      </c>
      <c r="M570">
        <f>orders[[#This Row],[Ship Date]]-orders[[#This Row],[Order Date]]</f>
        <v>3</v>
      </c>
      <c r="N570">
        <f>WEEKNUM(orders[[#This Row],[Order Date]],2)</f>
        <v>4</v>
      </c>
      <c r="O570" t="str" cm="1">
        <f t="array" ref="O5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71" spans="1:15" x14ac:dyDescent="0.3">
      <c r="A571" t="s">
        <v>658</v>
      </c>
      <c r="B571" t="s">
        <v>36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20</v>
      </c>
      <c r="I571" t="s">
        <v>15</v>
      </c>
      <c r="J571">
        <v>4</v>
      </c>
      <c r="K571" t="s">
        <v>16</v>
      </c>
      <c r="L571" t="s">
        <v>79</v>
      </c>
      <c r="M571">
        <f>orders[[#This Row],[Ship Date]]-orders[[#This Row],[Order Date]]</f>
        <v>2</v>
      </c>
      <c r="N571">
        <f>WEEKNUM(orders[[#This Row],[Order Date]],2)</f>
        <v>4</v>
      </c>
      <c r="O571" t="str" cm="1">
        <f t="array" ref="O5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72" spans="1:15" x14ac:dyDescent="0.3">
      <c r="A572" t="s">
        <v>659</v>
      </c>
      <c r="B572" t="s">
        <v>23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20</v>
      </c>
      <c r="I572" t="s">
        <v>15</v>
      </c>
      <c r="J572">
        <v>4</v>
      </c>
      <c r="K572" t="s">
        <v>16</v>
      </c>
      <c r="L572" t="s">
        <v>112</v>
      </c>
      <c r="M572">
        <f>orders[[#This Row],[Ship Date]]-orders[[#This Row],[Order Date]]</f>
        <v>2</v>
      </c>
      <c r="N572">
        <f>WEEKNUM(orders[[#This Row],[Order Date]],2)</f>
        <v>4</v>
      </c>
      <c r="O572" t="str" cm="1">
        <f t="array" ref="O5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73" spans="1:15" x14ac:dyDescent="0.3">
      <c r="A573" t="s">
        <v>660</v>
      </c>
      <c r="B573" t="s">
        <v>36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24</v>
      </c>
      <c r="I573" t="s">
        <v>32</v>
      </c>
      <c r="J573">
        <v>3</v>
      </c>
      <c r="K573" t="s">
        <v>16</v>
      </c>
      <c r="L573" t="s">
        <v>112</v>
      </c>
      <c r="M573">
        <f>orders[[#This Row],[Ship Date]]-orders[[#This Row],[Order Date]]</f>
        <v>1</v>
      </c>
      <c r="N573">
        <f>WEEKNUM(orders[[#This Row],[Order Date]],2)</f>
        <v>4</v>
      </c>
      <c r="O573" t="str" cm="1">
        <f t="array" ref="O5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74" spans="1:15" x14ac:dyDescent="0.3">
      <c r="A574" t="s">
        <v>661</v>
      </c>
      <c r="B574" t="s">
        <v>23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20</v>
      </c>
      <c r="I574" t="s">
        <v>15</v>
      </c>
      <c r="J574">
        <v>4</v>
      </c>
      <c r="K574" t="s">
        <v>16</v>
      </c>
      <c r="L574" t="s">
        <v>21</v>
      </c>
      <c r="M574">
        <f>orders[[#This Row],[Ship Date]]-orders[[#This Row],[Order Date]]</f>
        <v>1</v>
      </c>
      <c r="N574">
        <f>WEEKNUM(orders[[#This Row],[Order Date]],2)</f>
        <v>4</v>
      </c>
      <c r="O574" t="str" cm="1">
        <f t="array" ref="O5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75" spans="1:15" x14ac:dyDescent="0.3">
      <c r="A575" t="s">
        <v>662</v>
      </c>
      <c r="B575" t="s">
        <v>29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24</v>
      </c>
      <c r="I575" t="s">
        <v>32</v>
      </c>
      <c r="J575">
        <v>3</v>
      </c>
      <c r="K575" t="s">
        <v>16</v>
      </c>
      <c r="L575" t="s">
        <v>144</v>
      </c>
      <c r="M575">
        <f>orders[[#This Row],[Ship Date]]-orders[[#This Row],[Order Date]]</f>
        <v>5</v>
      </c>
      <c r="N575">
        <f>WEEKNUM(orders[[#This Row],[Order Date]],2)</f>
        <v>4</v>
      </c>
      <c r="O575" t="str" cm="1">
        <f t="array" ref="O5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76" spans="1:15" x14ac:dyDescent="0.3">
      <c r="A576" t="s">
        <v>663</v>
      </c>
      <c r="B576" t="s">
        <v>23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24</v>
      </c>
      <c r="I576" t="s">
        <v>32</v>
      </c>
      <c r="J576">
        <v>3</v>
      </c>
      <c r="K576" t="s">
        <v>16</v>
      </c>
      <c r="L576" t="s">
        <v>30</v>
      </c>
      <c r="M576">
        <f>orders[[#This Row],[Ship Date]]-orders[[#This Row],[Order Date]]</f>
        <v>0</v>
      </c>
      <c r="N576">
        <f>WEEKNUM(orders[[#This Row],[Order Date]],2)</f>
        <v>4</v>
      </c>
      <c r="O576" t="str" cm="1">
        <f t="array" ref="O5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77" spans="1:15" x14ac:dyDescent="0.3">
      <c r="A577" t="s">
        <v>664</v>
      </c>
      <c r="B577" t="s">
        <v>13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20</v>
      </c>
      <c r="I577" t="s">
        <v>67</v>
      </c>
      <c r="J577">
        <v>4</v>
      </c>
      <c r="K577" t="s">
        <v>16</v>
      </c>
      <c r="L577" t="s">
        <v>30</v>
      </c>
      <c r="M577">
        <f>orders[[#This Row],[Ship Date]]-orders[[#This Row],[Order Date]]</f>
        <v>3</v>
      </c>
      <c r="N577">
        <f>WEEKNUM(orders[[#This Row],[Order Date]],2)</f>
        <v>4</v>
      </c>
      <c r="O577" t="str" cm="1">
        <f t="array" ref="O5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78" spans="1:15" x14ac:dyDescent="0.3">
      <c r="A578" t="s">
        <v>665</v>
      </c>
      <c r="B578" t="s">
        <v>51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20</v>
      </c>
      <c r="I578" t="s">
        <v>15</v>
      </c>
      <c r="J578">
        <v>2</v>
      </c>
      <c r="K578" t="s">
        <v>16</v>
      </c>
      <c r="L578" t="s">
        <v>30</v>
      </c>
      <c r="M578">
        <f>orders[[#This Row],[Ship Date]]-orders[[#This Row],[Order Date]]</f>
        <v>2</v>
      </c>
      <c r="N578">
        <f>WEEKNUM(orders[[#This Row],[Order Date]],2)</f>
        <v>4</v>
      </c>
      <c r="O578" t="str" cm="1">
        <f t="array" ref="O57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79" spans="1:15" x14ac:dyDescent="0.3">
      <c r="A579" t="s">
        <v>666</v>
      </c>
      <c r="B579" t="s">
        <v>66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24</v>
      </c>
      <c r="I579" t="s">
        <v>48</v>
      </c>
      <c r="J579">
        <v>4</v>
      </c>
      <c r="K579" t="s">
        <v>16</v>
      </c>
      <c r="L579" t="s">
        <v>667</v>
      </c>
      <c r="M579">
        <f>orders[[#This Row],[Ship Date]]-orders[[#This Row],[Order Date]]</f>
        <v>1</v>
      </c>
      <c r="N579">
        <f>WEEKNUM(orders[[#This Row],[Order Date]],2)</f>
        <v>4</v>
      </c>
      <c r="O579" t="str" cm="1">
        <f t="array" ref="O5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0" spans="1:15" x14ac:dyDescent="0.3">
      <c r="A580" t="s">
        <v>668</v>
      </c>
      <c r="B580" t="s">
        <v>13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24</v>
      </c>
      <c r="I580" t="s">
        <v>15</v>
      </c>
      <c r="J580">
        <v>4</v>
      </c>
      <c r="K580" t="s">
        <v>16</v>
      </c>
      <c r="L580" t="s">
        <v>59</v>
      </c>
      <c r="M580">
        <f>orders[[#This Row],[Ship Date]]-orders[[#This Row],[Order Date]]</f>
        <v>4</v>
      </c>
      <c r="N580">
        <f>WEEKNUM(orders[[#This Row],[Order Date]],2)</f>
        <v>4</v>
      </c>
      <c r="O580" t="str" cm="1">
        <f t="array" ref="O5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1" spans="1:15" x14ac:dyDescent="0.3">
      <c r="A581" t="s">
        <v>669</v>
      </c>
      <c r="B581" t="s">
        <v>36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24</v>
      </c>
      <c r="I581" t="s">
        <v>67</v>
      </c>
      <c r="J581">
        <v>4</v>
      </c>
      <c r="K581" t="s">
        <v>16</v>
      </c>
      <c r="L581" t="s">
        <v>59</v>
      </c>
      <c r="M581">
        <f>orders[[#This Row],[Ship Date]]-orders[[#This Row],[Order Date]]</f>
        <v>3</v>
      </c>
      <c r="N581">
        <f>WEEKNUM(orders[[#This Row],[Order Date]],2)</f>
        <v>4</v>
      </c>
      <c r="O581" t="str" cm="1">
        <f t="array" ref="O5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2" spans="1:15" x14ac:dyDescent="0.3">
      <c r="A582" t="s">
        <v>670</v>
      </c>
      <c r="B582" t="s">
        <v>66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24</v>
      </c>
      <c r="I582" t="s">
        <v>15</v>
      </c>
      <c r="J582">
        <v>5</v>
      </c>
      <c r="K582" t="s">
        <v>16</v>
      </c>
      <c r="L582" t="s">
        <v>59</v>
      </c>
      <c r="M582">
        <f>orders[[#This Row],[Ship Date]]-orders[[#This Row],[Order Date]]</f>
        <v>0</v>
      </c>
      <c r="N582">
        <f>WEEKNUM(orders[[#This Row],[Order Date]],2)</f>
        <v>4</v>
      </c>
      <c r="O582" t="str" cm="1">
        <f t="array" ref="O5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3" spans="1:15" x14ac:dyDescent="0.3">
      <c r="A583" t="s">
        <v>671</v>
      </c>
      <c r="B583" t="s">
        <v>51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24</v>
      </c>
      <c r="I583" t="s">
        <v>32</v>
      </c>
      <c r="J583">
        <v>2</v>
      </c>
      <c r="K583" t="s">
        <v>16</v>
      </c>
      <c r="L583" t="s">
        <v>59</v>
      </c>
      <c r="M583">
        <f>orders[[#This Row],[Ship Date]]-orders[[#This Row],[Order Date]]</f>
        <v>2</v>
      </c>
      <c r="N583">
        <f>WEEKNUM(orders[[#This Row],[Order Date]],2)</f>
        <v>4</v>
      </c>
      <c r="O583" t="str" cm="1">
        <f t="array" ref="O5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4" spans="1:15" x14ac:dyDescent="0.3">
      <c r="A584" t="s">
        <v>672</v>
      </c>
      <c r="B584" t="s">
        <v>41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24</v>
      </c>
      <c r="I584" t="s">
        <v>67</v>
      </c>
      <c r="J584">
        <v>3</v>
      </c>
      <c r="K584" t="s">
        <v>16</v>
      </c>
      <c r="L584" t="s">
        <v>198</v>
      </c>
      <c r="M584">
        <f>orders[[#This Row],[Ship Date]]-orders[[#This Row],[Order Date]]</f>
        <v>0</v>
      </c>
      <c r="N584">
        <f>WEEKNUM(orders[[#This Row],[Order Date]],2)</f>
        <v>4</v>
      </c>
      <c r="O584" t="str" cm="1">
        <f t="array" ref="O5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5" spans="1:15" x14ac:dyDescent="0.3">
      <c r="A585" t="s">
        <v>673</v>
      </c>
      <c r="B585" t="s">
        <v>51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20</v>
      </c>
      <c r="I585" t="s">
        <v>15</v>
      </c>
      <c r="J585">
        <v>3</v>
      </c>
      <c r="K585" t="s">
        <v>16</v>
      </c>
      <c r="L585" t="s">
        <v>69</v>
      </c>
      <c r="M585">
        <f>orders[[#This Row],[Ship Date]]-orders[[#This Row],[Order Date]]</f>
        <v>0</v>
      </c>
      <c r="N585">
        <f>WEEKNUM(orders[[#This Row],[Order Date]],2)</f>
        <v>4</v>
      </c>
      <c r="O585" t="str" cm="1">
        <f t="array" ref="O5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86" spans="1:15" x14ac:dyDescent="0.3">
      <c r="A586" t="s">
        <v>674</v>
      </c>
      <c r="B586" t="s">
        <v>132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24</v>
      </c>
      <c r="I586" t="s">
        <v>15</v>
      </c>
      <c r="J586">
        <v>3</v>
      </c>
      <c r="K586" t="s">
        <v>16</v>
      </c>
      <c r="L586" t="s">
        <v>69</v>
      </c>
      <c r="M586">
        <f>orders[[#This Row],[Ship Date]]-orders[[#This Row],[Order Date]]</f>
        <v>2</v>
      </c>
      <c r="N586">
        <f>WEEKNUM(orders[[#This Row],[Order Date]],2)</f>
        <v>4</v>
      </c>
      <c r="O586" t="str" cm="1">
        <f t="array" ref="O5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7" spans="1:15" x14ac:dyDescent="0.3">
      <c r="A587" t="s">
        <v>675</v>
      </c>
      <c r="B587" t="s">
        <v>51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24</v>
      </c>
      <c r="I587" t="s">
        <v>67</v>
      </c>
      <c r="J587">
        <v>3</v>
      </c>
      <c r="K587" t="s">
        <v>16</v>
      </c>
      <c r="L587" t="s">
        <v>74</v>
      </c>
      <c r="M587">
        <f>orders[[#This Row],[Ship Date]]-orders[[#This Row],[Order Date]]</f>
        <v>3</v>
      </c>
      <c r="N587">
        <f>WEEKNUM(orders[[#This Row],[Order Date]],2)</f>
        <v>4</v>
      </c>
      <c r="O587" t="str" cm="1">
        <f t="array" ref="O5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8" spans="1:15" x14ac:dyDescent="0.3">
      <c r="A588" t="s">
        <v>676</v>
      </c>
      <c r="B588" t="s">
        <v>36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24</v>
      </c>
      <c r="I588" t="s">
        <v>32</v>
      </c>
      <c r="J588">
        <v>5</v>
      </c>
      <c r="K588" t="s">
        <v>16</v>
      </c>
      <c r="L588" t="s">
        <v>74</v>
      </c>
      <c r="M588">
        <f>orders[[#This Row],[Ship Date]]-orders[[#This Row],[Order Date]]</f>
        <v>5</v>
      </c>
      <c r="N588">
        <f>WEEKNUM(orders[[#This Row],[Order Date]],2)</f>
        <v>4</v>
      </c>
      <c r="O588" t="str" cm="1">
        <f t="array" ref="O5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89" spans="1:15" x14ac:dyDescent="0.3">
      <c r="A589" t="s">
        <v>677</v>
      </c>
      <c r="B589" t="s">
        <v>19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20</v>
      </c>
      <c r="I589" t="s">
        <v>32</v>
      </c>
      <c r="J589">
        <v>4</v>
      </c>
      <c r="K589" t="s">
        <v>16</v>
      </c>
      <c r="L589" t="s">
        <v>74</v>
      </c>
      <c r="M589">
        <f>orders[[#This Row],[Ship Date]]-orders[[#This Row],[Order Date]]</f>
        <v>1</v>
      </c>
      <c r="N589">
        <f>WEEKNUM(orders[[#This Row],[Order Date]],2)</f>
        <v>4</v>
      </c>
      <c r="O589" t="str" cm="1">
        <f t="array" ref="O5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90" spans="1:15" x14ac:dyDescent="0.3">
      <c r="A590" t="s">
        <v>678</v>
      </c>
      <c r="B590" t="s">
        <v>23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24</v>
      </c>
      <c r="I590" t="s">
        <v>15</v>
      </c>
      <c r="J590">
        <v>3</v>
      </c>
      <c r="K590" t="s">
        <v>16</v>
      </c>
      <c r="L590" t="s">
        <v>110</v>
      </c>
      <c r="M590">
        <f>orders[[#This Row],[Ship Date]]-orders[[#This Row],[Order Date]]</f>
        <v>1</v>
      </c>
      <c r="N590">
        <f>WEEKNUM(orders[[#This Row],[Order Date]],2)</f>
        <v>4</v>
      </c>
      <c r="O590" t="str" cm="1">
        <f t="array" ref="O5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91" spans="1:15" x14ac:dyDescent="0.3">
      <c r="A591" t="s">
        <v>679</v>
      </c>
      <c r="B591" t="s">
        <v>23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24</v>
      </c>
      <c r="I591" t="s">
        <v>37</v>
      </c>
      <c r="J591">
        <v>3</v>
      </c>
      <c r="K591" t="s">
        <v>16</v>
      </c>
      <c r="L591" t="s">
        <v>79</v>
      </c>
      <c r="M591">
        <f>orders[[#This Row],[Ship Date]]-orders[[#This Row],[Order Date]]</f>
        <v>1</v>
      </c>
      <c r="N591">
        <f>WEEKNUM(orders[[#This Row],[Order Date]],2)</f>
        <v>4</v>
      </c>
      <c r="O591" t="str" cm="1">
        <f t="array" ref="O5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92" spans="1:15" x14ac:dyDescent="0.3">
      <c r="A592" t="s">
        <v>680</v>
      </c>
      <c r="B592" t="s">
        <v>41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20</v>
      </c>
      <c r="I592" t="s">
        <v>15</v>
      </c>
      <c r="J592">
        <v>4</v>
      </c>
      <c r="K592" t="s">
        <v>16</v>
      </c>
      <c r="L592" t="s">
        <v>21</v>
      </c>
      <c r="M592">
        <f>orders[[#This Row],[Ship Date]]-orders[[#This Row],[Order Date]]</f>
        <v>1</v>
      </c>
      <c r="N592">
        <f>WEEKNUM(orders[[#This Row],[Order Date]],2)</f>
        <v>4</v>
      </c>
      <c r="O592" t="str" cm="1">
        <f t="array" ref="O5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93" spans="1:15" x14ac:dyDescent="0.3">
      <c r="A593" t="s">
        <v>681</v>
      </c>
      <c r="B593" t="s">
        <v>23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24</v>
      </c>
      <c r="I593" t="s">
        <v>48</v>
      </c>
      <c r="J593">
        <v>4</v>
      </c>
      <c r="K593" t="s">
        <v>16</v>
      </c>
      <c r="L593" t="s">
        <v>25</v>
      </c>
      <c r="M593">
        <f>orders[[#This Row],[Ship Date]]-orders[[#This Row],[Order Date]]</f>
        <v>1</v>
      </c>
      <c r="N593">
        <f>WEEKNUM(orders[[#This Row],[Order Date]],2)</f>
        <v>4</v>
      </c>
      <c r="O593" t="str" cm="1">
        <f t="array" ref="O5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94" spans="1:15" x14ac:dyDescent="0.3">
      <c r="A594" t="s">
        <v>682</v>
      </c>
      <c r="B594" t="s">
        <v>27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24</v>
      </c>
      <c r="I594" t="s">
        <v>37</v>
      </c>
      <c r="J594">
        <v>5</v>
      </c>
      <c r="K594" t="s">
        <v>16</v>
      </c>
      <c r="L594" t="s">
        <v>144</v>
      </c>
      <c r="M594">
        <f>orders[[#This Row],[Ship Date]]-orders[[#This Row],[Order Date]]</f>
        <v>0</v>
      </c>
      <c r="N594">
        <f>WEEKNUM(orders[[#This Row],[Order Date]],2)</f>
        <v>4</v>
      </c>
      <c r="O594" t="str" cm="1">
        <f t="array" ref="O5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95" spans="1:15" x14ac:dyDescent="0.3">
      <c r="A595" t="s">
        <v>683</v>
      </c>
      <c r="B595" t="s">
        <v>41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24</v>
      </c>
      <c r="I595" t="s">
        <v>32</v>
      </c>
      <c r="J595">
        <v>4</v>
      </c>
      <c r="K595" t="s">
        <v>16</v>
      </c>
      <c r="L595" t="s">
        <v>30</v>
      </c>
      <c r="M595">
        <f>orders[[#This Row],[Ship Date]]-orders[[#This Row],[Order Date]]</f>
        <v>1</v>
      </c>
      <c r="N595">
        <f>WEEKNUM(orders[[#This Row],[Order Date]],2)</f>
        <v>4</v>
      </c>
      <c r="O595" t="str" cm="1">
        <f t="array" ref="O5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96" spans="1:15" x14ac:dyDescent="0.3">
      <c r="A596" t="s">
        <v>684</v>
      </c>
      <c r="B596" t="s">
        <v>29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20</v>
      </c>
      <c r="I596" t="s">
        <v>37</v>
      </c>
      <c r="J596">
        <v>5</v>
      </c>
      <c r="K596" t="s">
        <v>16</v>
      </c>
      <c r="L596" t="s">
        <v>30</v>
      </c>
      <c r="M596">
        <f>orders[[#This Row],[Ship Date]]-orders[[#This Row],[Order Date]]</f>
        <v>4</v>
      </c>
      <c r="N596">
        <f>WEEKNUM(orders[[#This Row],[Order Date]],2)</f>
        <v>4</v>
      </c>
      <c r="O596" t="str" cm="1">
        <f t="array" ref="O5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97" spans="1:15" x14ac:dyDescent="0.3">
      <c r="A597" t="s">
        <v>685</v>
      </c>
      <c r="B597" t="s">
        <v>51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20</v>
      </c>
      <c r="I597" t="s">
        <v>67</v>
      </c>
      <c r="J597">
        <v>5</v>
      </c>
      <c r="K597" t="s">
        <v>16</v>
      </c>
      <c r="L597" t="s">
        <v>30</v>
      </c>
      <c r="M597">
        <f>orders[[#This Row],[Ship Date]]-orders[[#This Row],[Order Date]]</f>
        <v>2</v>
      </c>
      <c r="N597">
        <f>WEEKNUM(orders[[#This Row],[Order Date]],2)</f>
        <v>4</v>
      </c>
      <c r="O597" t="str" cm="1">
        <f t="array" ref="O5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598" spans="1:15" x14ac:dyDescent="0.3">
      <c r="A598" t="s">
        <v>686</v>
      </c>
      <c r="B598" t="s">
        <v>34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24</v>
      </c>
      <c r="I598" t="s">
        <v>37</v>
      </c>
      <c r="J598">
        <v>4</v>
      </c>
      <c r="K598" t="s">
        <v>16</v>
      </c>
      <c r="L598" t="s">
        <v>30</v>
      </c>
      <c r="M598">
        <f>orders[[#This Row],[Ship Date]]-orders[[#This Row],[Order Date]]</f>
        <v>1</v>
      </c>
      <c r="N598">
        <f>WEEKNUM(orders[[#This Row],[Order Date]],2)</f>
        <v>4</v>
      </c>
      <c r="O598" t="str" cm="1">
        <f t="array" ref="O5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599" spans="1:15" x14ac:dyDescent="0.3">
      <c r="A599" t="s">
        <v>687</v>
      </c>
      <c r="B599" t="s">
        <v>23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24</v>
      </c>
      <c r="I599" t="s">
        <v>37</v>
      </c>
      <c r="J599">
        <v>5</v>
      </c>
      <c r="K599" t="s">
        <v>16</v>
      </c>
      <c r="L599" t="s">
        <v>30</v>
      </c>
      <c r="M599">
        <f>orders[[#This Row],[Ship Date]]-orders[[#This Row],[Order Date]]</f>
        <v>0</v>
      </c>
      <c r="N599">
        <f>WEEKNUM(orders[[#This Row],[Order Date]],2)</f>
        <v>4</v>
      </c>
      <c r="O599" t="str" cm="1">
        <f t="array" ref="O5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00" spans="1:15" x14ac:dyDescent="0.3">
      <c r="A600" t="s">
        <v>688</v>
      </c>
      <c r="B600" t="s">
        <v>29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20</v>
      </c>
      <c r="I600" t="s">
        <v>32</v>
      </c>
      <c r="J600">
        <v>4</v>
      </c>
      <c r="K600" t="s">
        <v>16</v>
      </c>
      <c r="L600" t="s">
        <v>30</v>
      </c>
      <c r="M600">
        <f>orders[[#This Row],[Ship Date]]-orders[[#This Row],[Order Date]]</f>
        <v>2</v>
      </c>
      <c r="N600">
        <f>WEEKNUM(orders[[#This Row],[Order Date]],2)</f>
        <v>4</v>
      </c>
      <c r="O600" t="str" cm="1">
        <f t="array" ref="O6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01" spans="1:15" x14ac:dyDescent="0.3">
      <c r="A601" t="s">
        <v>689</v>
      </c>
      <c r="B601" t="s">
        <v>36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24</v>
      </c>
      <c r="I601" t="s">
        <v>15</v>
      </c>
      <c r="J601">
        <v>3</v>
      </c>
      <c r="K601" t="s">
        <v>16</v>
      </c>
      <c r="L601" t="s">
        <v>30</v>
      </c>
      <c r="M601">
        <f>orders[[#This Row],[Ship Date]]-orders[[#This Row],[Order Date]]</f>
        <v>1</v>
      </c>
      <c r="N601">
        <f>WEEKNUM(orders[[#This Row],[Order Date]],2)</f>
        <v>4</v>
      </c>
      <c r="O601" t="str" cm="1">
        <f t="array" ref="O6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02" spans="1:15" x14ac:dyDescent="0.3">
      <c r="A602" t="s">
        <v>690</v>
      </c>
      <c r="B602" t="s">
        <v>41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20</v>
      </c>
      <c r="I602" t="s">
        <v>15</v>
      </c>
      <c r="J602">
        <v>5</v>
      </c>
      <c r="K602" t="s">
        <v>16</v>
      </c>
      <c r="L602" t="s">
        <v>30</v>
      </c>
      <c r="M602">
        <f>orders[[#This Row],[Ship Date]]-orders[[#This Row],[Order Date]]</f>
        <v>3</v>
      </c>
      <c r="N602">
        <f>WEEKNUM(orders[[#This Row],[Order Date]],2)</f>
        <v>4</v>
      </c>
      <c r="O602" t="str" cm="1">
        <f t="array" ref="O6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03" spans="1:15" x14ac:dyDescent="0.3">
      <c r="A603" t="s">
        <v>691</v>
      </c>
      <c r="B603" t="s">
        <v>39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24</v>
      </c>
      <c r="I603" t="s">
        <v>32</v>
      </c>
      <c r="J603">
        <v>3</v>
      </c>
      <c r="K603" t="s">
        <v>16</v>
      </c>
      <c r="L603" t="s">
        <v>361</v>
      </c>
      <c r="M603">
        <f>orders[[#This Row],[Ship Date]]-orders[[#This Row],[Order Date]]</f>
        <v>1</v>
      </c>
      <c r="N603">
        <f>WEEKNUM(orders[[#This Row],[Order Date]],2)</f>
        <v>4</v>
      </c>
      <c r="O603" t="str" cm="1">
        <f t="array" ref="O6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04" spans="1:15" x14ac:dyDescent="0.3">
      <c r="A604" t="s">
        <v>692</v>
      </c>
      <c r="B604" t="s">
        <v>19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24</v>
      </c>
      <c r="I604" t="s">
        <v>15</v>
      </c>
      <c r="J604">
        <v>4</v>
      </c>
      <c r="K604" t="s">
        <v>16</v>
      </c>
      <c r="L604" t="s">
        <v>95</v>
      </c>
      <c r="M604">
        <f>orders[[#This Row],[Ship Date]]-orders[[#This Row],[Order Date]]</f>
        <v>1</v>
      </c>
      <c r="N604">
        <f>WEEKNUM(orders[[#This Row],[Order Date]],2)</f>
        <v>4</v>
      </c>
      <c r="O604" t="str" cm="1">
        <f t="array" ref="O6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05" spans="1:15" x14ac:dyDescent="0.3">
      <c r="A605" t="s">
        <v>693</v>
      </c>
      <c r="B605" t="s">
        <v>19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20</v>
      </c>
      <c r="I605" t="s">
        <v>15</v>
      </c>
      <c r="J605">
        <v>5</v>
      </c>
      <c r="K605" t="s">
        <v>16</v>
      </c>
      <c r="L605" t="s">
        <v>59</v>
      </c>
      <c r="M605">
        <f>orders[[#This Row],[Ship Date]]-orders[[#This Row],[Order Date]]</f>
        <v>2</v>
      </c>
      <c r="N605">
        <f>WEEKNUM(orders[[#This Row],[Order Date]],2)</f>
        <v>4</v>
      </c>
      <c r="O605" t="str" cm="1">
        <f t="array" ref="O6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06" spans="1:15" x14ac:dyDescent="0.3">
      <c r="A606" t="s">
        <v>694</v>
      </c>
      <c r="B606" t="s">
        <v>23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20</v>
      </c>
      <c r="I606" t="s">
        <v>48</v>
      </c>
      <c r="J606">
        <v>5</v>
      </c>
      <c r="K606" t="s">
        <v>16</v>
      </c>
      <c r="L606" t="s">
        <v>59</v>
      </c>
      <c r="M606">
        <f>orders[[#This Row],[Ship Date]]-orders[[#This Row],[Order Date]]</f>
        <v>1</v>
      </c>
      <c r="N606">
        <f>WEEKNUM(orders[[#This Row],[Order Date]],2)</f>
        <v>4</v>
      </c>
      <c r="O606" t="str" cm="1">
        <f t="array" ref="O6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07" spans="1:15" x14ac:dyDescent="0.3">
      <c r="A607" t="s">
        <v>695</v>
      </c>
      <c r="B607" t="s">
        <v>78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24</v>
      </c>
      <c r="I607" t="s">
        <v>32</v>
      </c>
      <c r="J607">
        <v>4</v>
      </c>
      <c r="K607" t="s">
        <v>16</v>
      </c>
      <c r="L607" t="s">
        <v>69</v>
      </c>
      <c r="M607">
        <f>orders[[#This Row],[Ship Date]]-orders[[#This Row],[Order Date]]</f>
        <v>2</v>
      </c>
      <c r="N607">
        <f>WEEKNUM(orders[[#This Row],[Order Date]],2)</f>
        <v>4</v>
      </c>
      <c r="O607" t="str" cm="1">
        <f t="array" ref="O6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08" spans="1:15" x14ac:dyDescent="0.3">
      <c r="A608" t="s">
        <v>696</v>
      </c>
      <c r="B608" t="s">
        <v>13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24</v>
      </c>
      <c r="I608" t="s">
        <v>48</v>
      </c>
      <c r="J608">
        <v>4</v>
      </c>
      <c r="K608" t="s">
        <v>16</v>
      </c>
      <c r="L608" t="s">
        <v>697</v>
      </c>
      <c r="M608">
        <f>orders[[#This Row],[Ship Date]]-orders[[#This Row],[Order Date]]</f>
        <v>0</v>
      </c>
      <c r="N608">
        <f>WEEKNUM(orders[[#This Row],[Order Date]],2)</f>
        <v>4</v>
      </c>
      <c r="O608" t="str" cm="1">
        <f t="array" ref="O6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09" spans="1:15" x14ac:dyDescent="0.3">
      <c r="A609" t="s">
        <v>698</v>
      </c>
      <c r="B609" t="s">
        <v>27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20</v>
      </c>
      <c r="I609" t="s">
        <v>48</v>
      </c>
      <c r="J609">
        <v>4</v>
      </c>
      <c r="K609" t="s">
        <v>16</v>
      </c>
      <c r="L609" t="s">
        <v>105</v>
      </c>
      <c r="M609">
        <f>orders[[#This Row],[Ship Date]]-orders[[#This Row],[Order Date]]</f>
        <v>3</v>
      </c>
      <c r="N609">
        <f>WEEKNUM(orders[[#This Row],[Order Date]],2)</f>
        <v>4</v>
      </c>
      <c r="O609" t="str" cm="1">
        <f t="array" ref="O6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10" spans="1:15" x14ac:dyDescent="0.3">
      <c r="A610" t="s">
        <v>699</v>
      </c>
      <c r="B610" t="s">
        <v>19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24</v>
      </c>
      <c r="I610" t="s">
        <v>32</v>
      </c>
      <c r="J610">
        <v>4</v>
      </c>
      <c r="K610" t="s">
        <v>16</v>
      </c>
      <c r="L610" t="s">
        <v>107</v>
      </c>
      <c r="M610">
        <f>orders[[#This Row],[Ship Date]]-orders[[#This Row],[Order Date]]</f>
        <v>2</v>
      </c>
      <c r="N610">
        <f>WEEKNUM(orders[[#This Row],[Order Date]],2)</f>
        <v>4</v>
      </c>
      <c r="O610" t="str" cm="1">
        <f t="array" ref="O6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11" spans="1:15" x14ac:dyDescent="0.3">
      <c r="A611" t="s">
        <v>700</v>
      </c>
      <c r="B611" t="s">
        <v>19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24</v>
      </c>
      <c r="I611" t="s">
        <v>67</v>
      </c>
      <c r="J611">
        <v>3</v>
      </c>
      <c r="K611" t="s">
        <v>16</v>
      </c>
      <c r="L611" t="s">
        <v>107</v>
      </c>
      <c r="M611">
        <f>orders[[#This Row],[Ship Date]]-orders[[#This Row],[Order Date]]</f>
        <v>4</v>
      </c>
      <c r="N611">
        <f>WEEKNUM(orders[[#This Row],[Order Date]],2)</f>
        <v>4</v>
      </c>
      <c r="O611" t="str" cm="1">
        <f t="array" ref="O6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12" spans="1:15" x14ac:dyDescent="0.3">
      <c r="A612" t="s">
        <v>701</v>
      </c>
      <c r="B612" t="s">
        <v>13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24</v>
      </c>
      <c r="I612" t="s">
        <v>48</v>
      </c>
      <c r="J612">
        <v>4</v>
      </c>
      <c r="K612" t="s">
        <v>16</v>
      </c>
      <c r="L612" t="s">
        <v>112</v>
      </c>
      <c r="M612">
        <f>orders[[#This Row],[Ship Date]]-orders[[#This Row],[Order Date]]</f>
        <v>1</v>
      </c>
      <c r="N612">
        <f>WEEKNUM(orders[[#This Row],[Order Date]],2)</f>
        <v>4</v>
      </c>
      <c r="O612" t="str" cm="1">
        <f t="array" ref="O6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13" spans="1:15" x14ac:dyDescent="0.3">
      <c r="A613" t="s">
        <v>702</v>
      </c>
      <c r="B613" t="s">
        <v>39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24</v>
      </c>
      <c r="I613" t="s">
        <v>15</v>
      </c>
      <c r="J613">
        <v>5</v>
      </c>
      <c r="K613" t="s">
        <v>16</v>
      </c>
      <c r="L613" t="s">
        <v>21</v>
      </c>
      <c r="M613">
        <f>orders[[#This Row],[Ship Date]]-orders[[#This Row],[Order Date]]</f>
        <v>1</v>
      </c>
      <c r="N613">
        <f>WEEKNUM(orders[[#This Row],[Order Date]],2)</f>
        <v>4</v>
      </c>
      <c r="O613" t="str" cm="1">
        <f t="array" ref="O6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14" spans="1:15" x14ac:dyDescent="0.3">
      <c r="A614" t="s">
        <v>703</v>
      </c>
      <c r="B614" t="s">
        <v>41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24</v>
      </c>
      <c r="I614" t="s">
        <v>32</v>
      </c>
      <c r="J614">
        <v>4</v>
      </c>
      <c r="K614" t="s">
        <v>16</v>
      </c>
      <c r="L614" t="s">
        <v>144</v>
      </c>
      <c r="M614">
        <f>orders[[#This Row],[Ship Date]]-orders[[#This Row],[Order Date]]</f>
        <v>1</v>
      </c>
      <c r="N614">
        <f>WEEKNUM(orders[[#This Row],[Order Date]],2)</f>
        <v>4</v>
      </c>
      <c r="O614" t="str" cm="1">
        <f t="array" ref="O6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15" spans="1:15" x14ac:dyDescent="0.3">
      <c r="A615" t="s">
        <v>704</v>
      </c>
      <c r="B615" t="s">
        <v>51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24</v>
      </c>
      <c r="I615" t="s">
        <v>67</v>
      </c>
      <c r="J615">
        <v>3</v>
      </c>
      <c r="K615" t="s">
        <v>16</v>
      </c>
      <c r="L615" t="s">
        <v>30</v>
      </c>
      <c r="M615">
        <f>orders[[#This Row],[Ship Date]]-orders[[#This Row],[Order Date]]</f>
        <v>2</v>
      </c>
      <c r="N615">
        <f>WEEKNUM(orders[[#This Row],[Order Date]],2)</f>
        <v>4</v>
      </c>
      <c r="O615" t="str" cm="1">
        <f t="array" ref="O6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16" spans="1:15" x14ac:dyDescent="0.3">
      <c r="A616" t="s">
        <v>705</v>
      </c>
      <c r="B616" t="s">
        <v>43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20</v>
      </c>
      <c r="I616" t="s">
        <v>15</v>
      </c>
      <c r="J616">
        <v>2</v>
      </c>
      <c r="K616" t="s">
        <v>16</v>
      </c>
      <c r="L616" t="s">
        <v>30</v>
      </c>
      <c r="M616">
        <f>orders[[#This Row],[Ship Date]]-orders[[#This Row],[Order Date]]</f>
        <v>2</v>
      </c>
      <c r="N616">
        <f>WEEKNUM(orders[[#This Row],[Order Date]],2)</f>
        <v>4</v>
      </c>
      <c r="O616" t="str" cm="1">
        <f t="array" ref="O6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17" spans="1:15" x14ac:dyDescent="0.3">
      <c r="A617" t="s">
        <v>706</v>
      </c>
      <c r="B617" t="s">
        <v>13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20</v>
      </c>
      <c r="I617" t="s">
        <v>67</v>
      </c>
      <c r="J617">
        <v>3</v>
      </c>
      <c r="K617" t="s">
        <v>16</v>
      </c>
      <c r="L617" t="s">
        <v>30</v>
      </c>
      <c r="M617">
        <f>orders[[#This Row],[Ship Date]]-orders[[#This Row],[Order Date]]</f>
        <v>1</v>
      </c>
      <c r="N617">
        <f>WEEKNUM(orders[[#This Row],[Order Date]],2)</f>
        <v>4</v>
      </c>
      <c r="O617" t="str" cm="1">
        <f t="array" ref="O61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18" spans="1:15" x14ac:dyDescent="0.3">
      <c r="A618" t="s">
        <v>707</v>
      </c>
      <c r="B618" t="s">
        <v>41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20</v>
      </c>
      <c r="I618" t="s">
        <v>37</v>
      </c>
      <c r="J618">
        <v>5</v>
      </c>
      <c r="K618" t="s">
        <v>16</v>
      </c>
      <c r="L618" t="s">
        <v>30</v>
      </c>
      <c r="M618">
        <f>orders[[#This Row],[Ship Date]]-orders[[#This Row],[Order Date]]</f>
        <v>1</v>
      </c>
      <c r="N618">
        <f>WEEKNUM(orders[[#This Row],[Order Date]],2)</f>
        <v>4</v>
      </c>
      <c r="O618" t="str" cm="1">
        <f t="array" ref="O61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19" spans="1:15" x14ac:dyDescent="0.3">
      <c r="A619" t="s">
        <v>708</v>
      </c>
      <c r="B619" t="s">
        <v>39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24</v>
      </c>
      <c r="I619" t="s">
        <v>37</v>
      </c>
      <c r="J619">
        <v>3</v>
      </c>
      <c r="K619" t="s">
        <v>16</v>
      </c>
      <c r="L619" t="s">
        <v>30</v>
      </c>
      <c r="M619">
        <f>orders[[#This Row],[Ship Date]]-orders[[#This Row],[Order Date]]</f>
        <v>1</v>
      </c>
      <c r="N619">
        <f>WEEKNUM(orders[[#This Row],[Order Date]],2)</f>
        <v>5</v>
      </c>
      <c r="O619" t="str" cm="1">
        <f t="array" ref="O6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20" spans="1:15" x14ac:dyDescent="0.3">
      <c r="A620" t="s">
        <v>709</v>
      </c>
      <c r="B620" t="s">
        <v>19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20</v>
      </c>
      <c r="I620" t="s">
        <v>15</v>
      </c>
      <c r="J620">
        <v>5</v>
      </c>
      <c r="K620" t="s">
        <v>16</v>
      </c>
      <c r="L620" t="s">
        <v>49</v>
      </c>
      <c r="M620">
        <f>orders[[#This Row],[Ship Date]]-orders[[#This Row],[Order Date]]</f>
        <v>1</v>
      </c>
      <c r="N620">
        <f>WEEKNUM(orders[[#This Row],[Order Date]],2)</f>
        <v>5</v>
      </c>
      <c r="O620" t="str" cm="1">
        <f t="array" ref="O6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21" spans="1:15" x14ac:dyDescent="0.3">
      <c r="A621" t="s">
        <v>710</v>
      </c>
      <c r="B621" t="s">
        <v>66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20</v>
      </c>
      <c r="I621" t="s">
        <v>32</v>
      </c>
      <c r="J621">
        <v>5</v>
      </c>
      <c r="K621" t="s">
        <v>16</v>
      </c>
      <c r="L621" t="s">
        <v>49</v>
      </c>
      <c r="M621">
        <f>orders[[#This Row],[Ship Date]]-orders[[#This Row],[Order Date]]</f>
        <v>0</v>
      </c>
      <c r="N621">
        <f>WEEKNUM(orders[[#This Row],[Order Date]],2)</f>
        <v>5</v>
      </c>
      <c r="O621" t="str" cm="1">
        <f t="array" ref="O6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22" spans="1:15" x14ac:dyDescent="0.3">
      <c r="A622" t="s">
        <v>711</v>
      </c>
      <c r="B622" t="s">
        <v>19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24</v>
      </c>
      <c r="I622" t="s">
        <v>32</v>
      </c>
      <c r="J622">
        <v>5</v>
      </c>
      <c r="K622" t="s">
        <v>16</v>
      </c>
      <c r="L622" t="s">
        <v>155</v>
      </c>
      <c r="M622">
        <f>orders[[#This Row],[Ship Date]]-orders[[#This Row],[Order Date]]</f>
        <v>4</v>
      </c>
      <c r="N622">
        <f>WEEKNUM(orders[[#This Row],[Order Date]],2)</f>
        <v>5</v>
      </c>
      <c r="O622" t="str" cm="1">
        <f t="array" ref="O6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23" spans="1:15" x14ac:dyDescent="0.3">
      <c r="A623" t="s">
        <v>712</v>
      </c>
      <c r="B623" t="s">
        <v>39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20</v>
      </c>
      <c r="I623" t="s">
        <v>15</v>
      </c>
      <c r="J623">
        <v>2</v>
      </c>
      <c r="K623" t="s">
        <v>16</v>
      </c>
      <c r="L623" t="s">
        <v>59</v>
      </c>
      <c r="M623">
        <f>orders[[#This Row],[Ship Date]]-orders[[#This Row],[Order Date]]</f>
        <v>0</v>
      </c>
      <c r="N623">
        <f>WEEKNUM(orders[[#This Row],[Order Date]],2)</f>
        <v>5</v>
      </c>
      <c r="O623" t="str" cm="1">
        <f t="array" ref="O6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24" spans="1:15" x14ac:dyDescent="0.3">
      <c r="A624" t="s">
        <v>713</v>
      </c>
      <c r="B624" t="s">
        <v>120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24</v>
      </c>
      <c r="I624" t="s">
        <v>15</v>
      </c>
      <c r="J624">
        <v>4</v>
      </c>
      <c r="K624" t="s">
        <v>16</v>
      </c>
      <c r="L624" t="s">
        <v>100</v>
      </c>
      <c r="M624">
        <f>orders[[#This Row],[Ship Date]]-orders[[#This Row],[Order Date]]</f>
        <v>5</v>
      </c>
      <c r="N624">
        <f>WEEKNUM(orders[[#This Row],[Order Date]],2)</f>
        <v>5</v>
      </c>
      <c r="O624" t="str" cm="1">
        <f t="array" ref="O6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25" spans="1:15" x14ac:dyDescent="0.3">
      <c r="A625" t="s">
        <v>714</v>
      </c>
      <c r="B625" t="s">
        <v>36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14</v>
      </c>
      <c r="I625" t="s">
        <v>15</v>
      </c>
      <c r="J625">
        <v>5</v>
      </c>
      <c r="K625" t="s">
        <v>16</v>
      </c>
      <c r="L625" t="s">
        <v>74</v>
      </c>
      <c r="M625">
        <f>orders[[#This Row],[Ship Date]]-orders[[#This Row],[Order Date]]</f>
        <v>1</v>
      </c>
      <c r="N625">
        <f>WEEKNUM(orders[[#This Row],[Order Date]],2)</f>
        <v>5</v>
      </c>
      <c r="O625" t="str" cm="1">
        <f t="array" ref="O62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626" spans="1:15" x14ac:dyDescent="0.3">
      <c r="A626" t="s">
        <v>715</v>
      </c>
      <c r="B626" t="s">
        <v>13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24</v>
      </c>
      <c r="I626" t="s">
        <v>48</v>
      </c>
      <c r="J626">
        <v>5</v>
      </c>
      <c r="K626" t="s">
        <v>16</v>
      </c>
      <c r="L626" t="s">
        <v>105</v>
      </c>
      <c r="M626">
        <f>orders[[#This Row],[Ship Date]]-orders[[#This Row],[Order Date]]</f>
        <v>2</v>
      </c>
      <c r="N626">
        <f>WEEKNUM(orders[[#This Row],[Order Date]],2)</f>
        <v>5</v>
      </c>
      <c r="O626" t="str" cm="1">
        <f t="array" ref="O6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27" spans="1:15" x14ac:dyDescent="0.3">
      <c r="A627" t="s">
        <v>716</v>
      </c>
      <c r="B627" t="s">
        <v>51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24</v>
      </c>
      <c r="I627" t="s">
        <v>37</v>
      </c>
      <c r="J627">
        <v>5</v>
      </c>
      <c r="K627" t="s">
        <v>16</v>
      </c>
      <c r="L627" t="s">
        <v>105</v>
      </c>
      <c r="M627">
        <f>orders[[#This Row],[Ship Date]]-orders[[#This Row],[Order Date]]</f>
        <v>2</v>
      </c>
      <c r="N627">
        <f>WEEKNUM(orders[[#This Row],[Order Date]],2)</f>
        <v>5</v>
      </c>
      <c r="O627" t="str" cm="1">
        <f t="array" ref="O6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28" spans="1:15" x14ac:dyDescent="0.3">
      <c r="A628" t="s">
        <v>717</v>
      </c>
      <c r="B628" t="s">
        <v>41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24</v>
      </c>
      <c r="I628" t="s">
        <v>37</v>
      </c>
      <c r="J628">
        <v>4</v>
      </c>
      <c r="K628" t="s">
        <v>16</v>
      </c>
      <c r="L628" t="s">
        <v>105</v>
      </c>
      <c r="M628">
        <f>orders[[#This Row],[Ship Date]]-orders[[#This Row],[Order Date]]</f>
        <v>1</v>
      </c>
      <c r="N628">
        <f>WEEKNUM(orders[[#This Row],[Order Date]],2)</f>
        <v>5</v>
      </c>
      <c r="O628" t="str" cm="1">
        <f t="array" ref="O6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29" spans="1:15" x14ac:dyDescent="0.3">
      <c r="A629" t="s">
        <v>718</v>
      </c>
      <c r="B629" t="s">
        <v>41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24</v>
      </c>
      <c r="I629" t="s">
        <v>37</v>
      </c>
      <c r="J629">
        <v>4</v>
      </c>
      <c r="K629" t="s">
        <v>16</v>
      </c>
      <c r="L629" t="s">
        <v>112</v>
      </c>
      <c r="M629">
        <f>orders[[#This Row],[Ship Date]]-orders[[#This Row],[Order Date]]</f>
        <v>1</v>
      </c>
      <c r="N629">
        <f>WEEKNUM(orders[[#This Row],[Order Date]],2)</f>
        <v>5</v>
      </c>
      <c r="O629" t="str" cm="1">
        <f t="array" ref="O6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30" spans="1:15" x14ac:dyDescent="0.3">
      <c r="A630" t="s">
        <v>719</v>
      </c>
      <c r="B630" t="s">
        <v>29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24</v>
      </c>
      <c r="I630" t="s">
        <v>15</v>
      </c>
      <c r="J630">
        <v>3</v>
      </c>
      <c r="K630" t="s">
        <v>16</v>
      </c>
      <c r="L630" t="s">
        <v>112</v>
      </c>
      <c r="M630">
        <f>orders[[#This Row],[Ship Date]]-orders[[#This Row],[Order Date]]</f>
        <v>2</v>
      </c>
      <c r="N630">
        <f>WEEKNUM(orders[[#This Row],[Order Date]],2)</f>
        <v>5</v>
      </c>
      <c r="O630" t="str" cm="1">
        <f t="array" ref="O6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31" spans="1:15" x14ac:dyDescent="0.3">
      <c r="A631" t="s">
        <v>720</v>
      </c>
      <c r="B631" t="s">
        <v>41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20</v>
      </c>
      <c r="I631" t="s">
        <v>32</v>
      </c>
      <c r="J631">
        <v>5</v>
      </c>
      <c r="K631" t="s">
        <v>16</v>
      </c>
      <c r="L631" t="s">
        <v>112</v>
      </c>
      <c r="M631">
        <f>orders[[#This Row],[Ship Date]]-orders[[#This Row],[Order Date]]</f>
        <v>3</v>
      </c>
      <c r="N631">
        <f>WEEKNUM(orders[[#This Row],[Order Date]],2)</f>
        <v>5</v>
      </c>
      <c r="O631" t="str" cm="1">
        <f t="array" ref="O6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32" spans="1:15" x14ac:dyDescent="0.3">
      <c r="A632" t="s">
        <v>721</v>
      </c>
      <c r="B632" t="s">
        <v>23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24</v>
      </c>
      <c r="I632" t="s">
        <v>32</v>
      </c>
      <c r="J632">
        <v>3</v>
      </c>
      <c r="K632" t="s">
        <v>16</v>
      </c>
      <c r="L632" t="s">
        <v>144</v>
      </c>
      <c r="M632">
        <f>orders[[#This Row],[Ship Date]]-orders[[#This Row],[Order Date]]</f>
        <v>1</v>
      </c>
      <c r="N632">
        <f>WEEKNUM(orders[[#This Row],[Order Date]],2)</f>
        <v>5</v>
      </c>
      <c r="O632" t="str" cm="1">
        <f t="array" ref="O6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33" spans="1:15" x14ac:dyDescent="0.3">
      <c r="A633" t="s">
        <v>722</v>
      </c>
      <c r="B633" t="s">
        <v>43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20</v>
      </c>
      <c r="I633" t="s">
        <v>15</v>
      </c>
      <c r="J633">
        <v>5</v>
      </c>
      <c r="K633" t="s">
        <v>16</v>
      </c>
      <c r="L633" t="s">
        <v>30</v>
      </c>
      <c r="M633">
        <f>orders[[#This Row],[Ship Date]]-orders[[#This Row],[Order Date]]</f>
        <v>1</v>
      </c>
      <c r="N633">
        <f>WEEKNUM(orders[[#This Row],[Order Date]],2)</f>
        <v>5</v>
      </c>
      <c r="O633" t="str" cm="1">
        <f t="array" ref="O6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34" spans="1:15" x14ac:dyDescent="0.3">
      <c r="A634" t="s">
        <v>723</v>
      </c>
      <c r="B634" t="s">
        <v>78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20</v>
      </c>
      <c r="I634" t="s">
        <v>37</v>
      </c>
      <c r="J634">
        <v>5</v>
      </c>
      <c r="K634" t="s">
        <v>16</v>
      </c>
      <c r="L634" t="s">
        <v>30</v>
      </c>
      <c r="M634">
        <f>orders[[#This Row],[Ship Date]]-orders[[#This Row],[Order Date]]</f>
        <v>1</v>
      </c>
      <c r="N634">
        <f>WEEKNUM(orders[[#This Row],[Order Date]],2)</f>
        <v>5</v>
      </c>
      <c r="O634" t="str" cm="1">
        <f t="array" ref="O6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35" spans="1:15" x14ac:dyDescent="0.3">
      <c r="A635" t="s">
        <v>724</v>
      </c>
      <c r="B635" t="s">
        <v>132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24</v>
      </c>
      <c r="I635" t="s">
        <v>32</v>
      </c>
      <c r="J635">
        <v>3</v>
      </c>
      <c r="K635" t="s">
        <v>16</v>
      </c>
      <c r="L635" t="s">
        <v>30</v>
      </c>
      <c r="M635">
        <f>orders[[#This Row],[Ship Date]]-orders[[#This Row],[Order Date]]</f>
        <v>1</v>
      </c>
      <c r="N635">
        <f>WEEKNUM(orders[[#This Row],[Order Date]],2)</f>
        <v>5</v>
      </c>
      <c r="O635" t="str" cm="1">
        <f t="array" ref="O6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36" spans="1:15" x14ac:dyDescent="0.3">
      <c r="A636" t="s">
        <v>725</v>
      </c>
      <c r="B636" t="s">
        <v>13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24</v>
      </c>
      <c r="I636" t="s">
        <v>15</v>
      </c>
      <c r="J636">
        <v>5</v>
      </c>
      <c r="K636" t="s">
        <v>16</v>
      </c>
      <c r="L636" t="s">
        <v>30</v>
      </c>
      <c r="M636">
        <f>orders[[#This Row],[Ship Date]]-orders[[#This Row],[Order Date]]</f>
        <v>7</v>
      </c>
      <c r="N636">
        <f>WEEKNUM(orders[[#This Row],[Order Date]],2)</f>
        <v>5</v>
      </c>
      <c r="O636" t="str" cm="1">
        <f t="array" ref="O6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37" spans="1:15" x14ac:dyDescent="0.3">
      <c r="A637" t="s">
        <v>726</v>
      </c>
      <c r="B637" t="s">
        <v>73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20</v>
      </c>
      <c r="I637" t="s">
        <v>15</v>
      </c>
      <c r="J637">
        <v>3</v>
      </c>
      <c r="K637" t="s">
        <v>16</v>
      </c>
      <c r="L637" t="s">
        <v>30</v>
      </c>
      <c r="M637">
        <f>orders[[#This Row],[Ship Date]]-orders[[#This Row],[Order Date]]</f>
        <v>0</v>
      </c>
      <c r="N637">
        <f>WEEKNUM(orders[[#This Row],[Order Date]],2)</f>
        <v>5</v>
      </c>
      <c r="O637" t="str" cm="1">
        <f t="array" ref="O6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38" spans="1:15" x14ac:dyDescent="0.3">
      <c r="A638" t="s">
        <v>727</v>
      </c>
      <c r="B638" t="s">
        <v>29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20</v>
      </c>
      <c r="I638" t="s">
        <v>15</v>
      </c>
      <c r="J638">
        <v>4</v>
      </c>
      <c r="K638" t="s">
        <v>16</v>
      </c>
      <c r="L638" t="s">
        <v>30</v>
      </c>
      <c r="M638">
        <f>orders[[#This Row],[Ship Date]]-orders[[#This Row],[Order Date]]</f>
        <v>5</v>
      </c>
      <c r="N638">
        <f>WEEKNUM(orders[[#This Row],[Order Date]],2)</f>
        <v>5</v>
      </c>
      <c r="O638" t="str" cm="1">
        <f t="array" ref="O6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39" spans="1:15" x14ac:dyDescent="0.3">
      <c r="A639" t="s">
        <v>728</v>
      </c>
      <c r="B639" t="s">
        <v>41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24</v>
      </c>
      <c r="I639" t="s">
        <v>15</v>
      </c>
      <c r="J639">
        <v>4</v>
      </c>
      <c r="K639" t="s">
        <v>16</v>
      </c>
      <c r="L639" t="s">
        <v>30</v>
      </c>
      <c r="M639">
        <f>orders[[#This Row],[Ship Date]]-orders[[#This Row],[Order Date]]</f>
        <v>2</v>
      </c>
      <c r="N639">
        <f>WEEKNUM(orders[[#This Row],[Order Date]],2)</f>
        <v>5</v>
      </c>
      <c r="O639" t="str" cm="1">
        <f t="array" ref="O6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0" spans="1:15" x14ac:dyDescent="0.3">
      <c r="A640" t="s">
        <v>729</v>
      </c>
      <c r="B640" t="s">
        <v>19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24</v>
      </c>
      <c r="I640" t="s">
        <v>37</v>
      </c>
      <c r="J640">
        <v>4</v>
      </c>
      <c r="K640" t="s">
        <v>16</v>
      </c>
      <c r="L640" t="s">
        <v>30</v>
      </c>
      <c r="M640">
        <f>orders[[#This Row],[Ship Date]]-orders[[#This Row],[Order Date]]</f>
        <v>2</v>
      </c>
      <c r="N640">
        <f>WEEKNUM(orders[[#This Row],[Order Date]],2)</f>
        <v>5</v>
      </c>
      <c r="O640" t="str" cm="1">
        <f t="array" ref="O6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1" spans="1:15" x14ac:dyDescent="0.3">
      <c r="A641" t="s">
        <v>730</v>
      </c>
      <c r="B641" t="s">
        <v>73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24</v>
      </c>
      <c r="I641" t="s">
        <v>15</v>
      </c>
      <c r="J641">
        <v>5</v>
      </c>
      <c r="K641" t="s">
        <v>16</v>
      </c>
      <c r="L641" t="s">
        <v>30</v>
      </c>
      <c r="M641">
        <f>orders[[#This Row],[Ship Date]]-orders[[#This Row],[Order Date]]</f>
        <v>2</v>
      </c>
      <c r="N641">
        <f>WEEKNUM(orders[[#This Row],[Order Date]],2)</f>
        <v>5</v>
      </c>
      <c r="O641" t="str" cm="1">
        <f t="array" ref="O6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2" spans="1:15" x14ac:dyDescent="0.3">
      <c r="A642" t="s">
        <v>731</v>
      </c>
      <c r="B642" t="s">
        <v>13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20</v>
      </c>
      <c r="I642" t="s">
        <v>15</v>
      </c>
      <c r="J642">
        <v>4</v>
      </c>
      <c r="K642" t="s">
        <v>16</v>
      </c>
      <c r="L642" t="s">
        <v>30</v>
      </c>
      <c r="M642">
        <f>orders[[#This Row],[Ship Date]]-orders[[#This Row],[Order Date]]</f>
        <v>3</v>
      </c>
      <c r="N642">
        <f>WEEKNUM(orders[[#This Row],[Order Date]],2)</f>
        <v>5</v>
      </c>
      <c r="O642" t="str" cm="1">
        <f t="array" ref="O6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43" spans="1:15" x14ac:dyDescent="0.3">
      <c r="A643" t="s">
        <v>732</v>
      </c>
      <c r="B643" t="s">
        <v>36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24</v>
      </c>
      <c r="I643" t="s">
        <v>67</v>
      </c>
      <c r="J643">
        <v>4</v>
      </c>
      <c r="K643" t="s">
        <v>16</v>
      </c>
      <c r="L643" t="s">
        <v>30</v>
      </c>
      <c r="M643">
        <f>orders[[#This Row],[Ship Date]]-orders[[#This Row],[Order Date]]</f>
        <v>2</v>
      </c>
      <c r="N643">
        <f>WEEKNUM(orders[[#This Row],[Order Date]],2)</f>
        <v>5</v>
      </c>
      <c r="O643" t="str" cm="1">
        <f t="array" ref="O6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4" spans="1:15" x14ac:dyDescent="0.3">
      <c r="A644" t="s">
        <v>733</v>
      </c>
      <c r="B644" t="s">
        <v>36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20</v>
      </c>
      <c r="I644" t="s">
        <v>15</v>
      </c>
      <c r="J644">
        <v>3</v>
      </c>
      <c r="K644" t="s">
        <v>16</v>
      </c>
      <c r="L644" t="s">
        <v>46</v>
      </c>
      <c r="M644">
        <f>orders[[#This Row],[Ship Date]]-orders[[#This Row],[Order Date]]</f>
        <v>2</v>
      </c>
      <c r="N644">
        <f>WEEKNUM(orders[[#This Row],[Order Date]],2)</f>
        <v>5</v>
      </c>
      <c r="O644" t="str" cm="1">
        <f t="array" ref="O6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45" spans="1:15" x14ac:dyDescent="0.3">
      <c r="A645" t="s">
        <v>734</v>
      </c>
      <c r="B645" t="s">
        <v>36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24</v>
      </c>
      <c r="I645" t="s">
        <v>15</v>
      </c>
      <c r="J645">
        <v>4</v>
      </c>
      <c r="K645" t="s">
        <v>16</v>
      </c>
      <c r="L645" t="s">
        <v>52</v>
      </c>
      <c r="M645">
        <f>orders[[#This Row],[Ship Date]]-orders[[#This Row],[Order Date]]</f>
        <v>1</v>
      </c>
      <c r="N645">
        <f>WEEKNUM(orders[[#This Row],[Order Date]],2)</f>
        <v>5</v>
      </c>
      <c r="O645" t="str" cm="1">
        <f t="array" ref="O6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6" spans="1:15" x14ac:dyDescent="0.3">
      <c r="A646" t="s">
        <v>735</v>
      </c>
      <c r="B646" t="s">
        <v>36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24</v>
      </c>
      <c r="I646" t="s">
        <v>32</v>
      </c>
      <c r="J646">
        <v>4</v>
      </c>
      <c r="K646" t="s">
        <v>16</v>
      </c>
      <c r="L646" t="s">
        <v>52</v>
      </c>
      <c r="M646">
        <f>orders[[#This Row],[Ship Date]]-orders[[#This Row],[Order Date]]</f>
        <v>2</v>
      </c>
      <c r="N646">
        <f>WEEKNUM(orders[[#This Row],[Order Date]],2)</f>
        <v>5</v>
      </c>
      <c r="O646" t="str" cm="1">
        <f t="array" ref="O6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7" spans="1:15" x14ac:dyDescent="0.3">
      <c r="A647" t="s">
        <v>736</v>
      </c>
      <c r="B647" t="s">
        <v>23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24</v>
      </c>
      <c r="I647" t="s">
        <v>15</v>
      </c>
      <c r="J647">
        <v>5</v>
      </c>
      <c r="K647" t="s">
        <v>16</v>
      </c>
      <c r="L647" t="s">
        <v>52</v>
      </c>
      <c r="M647">
        <f>orders[[#This Row],[Ship Date]]-orders[[#This Row],[Order Date]]</f>
        <v>5</v>
      </c>
      <c r="N647">
        <f>WEEKNUM(orders[[#This Row],[Order Date]],2)</f>
        <v>5</v>
      </c>
      <c r="O647" t="str" cm="1">
        <f t="array" ref="O6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48" spans="1:15" x14ac:dyDescent="0.3">
      <c r="A648" t="s">
        <v>737</v>
      </c>
      <c r="B648" t="s">
        <v>23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14</v>
      </c>
      <c r="I648" t="s">
        <v>32</v>
      </c>
      <c r="J648">
        <v>5</v>
      </c>
      <c r="K648" t="s">
        <v>16</v>
      </c>
      <c r="L648" t="s">
        <v>56</v>
      </c>
      <c r="M648">
        <f>orders[[#This Row],[Ship Date]]-orders[[#This Row],[Order Date]]</f>
        <v>0</v>
      </c>
      <c r="N648">
        <f>WEEKNUM(orders[[#This Row],[Order Date]],2)</f>
        <v>5</v>
      </c>
      <c r="O648" t="str" cm="1">
        <f t="array" ref="O64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649" spans="1:15" x14ac:dyDescent="0.3">
      <c r="A649" t="s">
        <v>738</v>
      </c>
      <c r="B649" t="s">
        <v>27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24</v>
      </c>
      <c r="I649" t="s">
        <v>48</v>
      </c>
      <c r="J649">
        <v>5</v>
      </c>
      <c r="K649" t="s">
        <v>16</v>
      </c>
      <c r="L649" t="s">
        <v>56</v>
      </c>
      <c r="M649">
        <f>orders[[#This Row],[Ship Date]]-orders[[#This Row],[Order Date]]</f>
        <v>4</v>
      </c>
      <c r="N649">
        <f>WEEKNUM(orders[[#This Row],[Order Date]],2)</f>
        <v>5</v>
      </c>
      <c r="O649" t="str" cm="1">
        <f t="array" ref="O6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50" spans="1:15" x14ac:dyDescent="0.3">
      <c r="A650" t="s">
        <v>739</v>
      </c>
      <c r="B650" t="s">
        <v>78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24</v>
      </c>
      <c r="I650" t="s">
        <v>48</v>
      </c>
      <c r="J650">
        <v>4</v>
      </c>
      <c r="K650" t="s">
        <v>16</v>
      </c>
      <c r="L650" t="s">
        <v>59</v>
      </c>
      <c r="M650">
        <f>orders[[#This Row],[Ship Date]]-orders[[#This Row],[Order Date]]</f>
        <v>5</v>
      </c>
      <c r="N650">
        <f>WEEKNUM(orders[[#This Row],[Order Date]],2)</f>
        <v>5</v>
      </c>
      <c r="O650" t="str" cm="1">
        <f t="array" ref="O6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51" spans="1:15" x14ac:dyDescent="0.3">
      <c r="A651" t="s">
        <v>740</v>
      </c>
      <c r="B651" t="s">
        <v>66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20</v>
      </c>
      <c r="I651" t="s">
        <v>37</v>
      </c>
      <c r="J651">
        <v>3</v>
      </c>
      <c r="K651" t="s">
        <v>16</v>
      </c>
      <c r="L651" t="s">
        <v>59</v>
      </c>
      <c r="M651">
        <f>orders[[#This Row],[Ship Date]]-orders[[#This Row],[Order Date]]</f>
        <v>1</v>
      </c>
      <c r="N651">
        <f>WEEKNUM(orders[[#This Row],[Order Date]],2)</f>
        <v>5</v>
      </c>
      <c r="O651" t="str" cm="1">
        <f t="array" ref="O6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52" spans="1:15" x14ac:dyDescent="0.3">
      <c r="A652" t="s">
        <v>741</v>
      </c>
      <c r="B652" t="s">
        <v>13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24</v>
      </c>
      <c r="I652" t="s">
        <v>15</v>
      </c>
      <c r="J652">
        <v>5</v>
      </c>
      <c r="K652" t="s">
        <v>16</v>
      </c>
      <c r="L652" t="s">
        <v>59</v>
      </c>
      <c r="M652">
        <f>orders[[#This Row],[Ship Date]]-orders[[#This Row],[Order Date]]</f>
        <v>11</v>
      </c>
      <c r="N652">
        <f>WEEKNUM(orders[[#This Row],[Order Date]],2)</f>
        <v>5</v>
      </c>
      <c r="O652" t="str" cm="1">
        <f t="array" ref="O6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53" spans="1:15" x14ac:dyDescent="0.3">
      <c r="A653" t="s">
        <v>742</v>
      </c>
      <c r="B653" t="s">
        <v>39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24</v>
      </c>
      <c r="I653" t="s">
        <v>37</v>
      </c>
      <c r="J653">
        <v>4</v>
      </c>
      <c r="K653" t="s">
        <v>16</v>
      </c>
      <c r="L653" t="s">
        <v>100</v>
      </c>
      <c r="M653">
        <f>orders[[#This Row],[Ship Date]]-orders[[#This Row],[Order Date]]</f>
        <v>3</v>
      </c>
      <c r="N653">
        <f>WEEKNUM(orders[[#This Row],[Order Date]],2)</f>
        <v>5</v>
      </c>
      <c r="O653" t="str" cm="1">
        <f t="array" ref="O6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54" spans="1:15" x14ac:dyDescent="0.3">
      <c r="A654" t="s">
        <v>743</v>
      </c>
      <c r="B654" t="s">
        <v>19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20</v>
      </c>
      <c r="I654" t="s">
        <v>37</v>
      </c>
      <c r="J654">
        <v>5</v>
      </c>
      <c r="K654" t="s">
        <v>16</v>
      </c>
      <c r="L654" t="s">
        <v>100</v>
      </c>
      <c r="M654">
        <f>orders[[#This Row],[Ship Date]]-orders[[#This Row],[Order Date]]</f>
        <v>1</v>
      </c>
      <c r="N654">
        <f>WEEKNUM(orders[[#This Row],[Order Date]],2)</f>
        <v>5</v>
      </c>
      <c r="O654" t="str" cm="1">
        <f t="array" ref="O6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55" spans="1:15" x14ac:dyDescent="0.3">
      <c r="A655" t="s">
        <v>744</v>
      </c>
      <c r="B655" t="s">
        <v>36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24</v>
      </c>
      <c r="I655" t="s">
        <v>15</v>
      </c>
      <c r="J655">
        <v>4</v>
      </c>
      <c r="K655" t="s">
        <v>16</v>
      </c>
      <c r="L655" t="s">
        <v>69</v>
      </c>
      <c r="M655">
        <f>orders[[#This Row],[Ship Date]]-orders[[#This Row],[Order Date]]</f>
        <v>6</v>
      </c>
      <c r="N655">
        <f>WEEKNUM(orders[[#This Row],[Order Date]],2)</f>
        <v>5</v>
      </c>
      <c r="O655" t="str" cm="1">
        <f t="array" ref="O6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56" spans="1:15" x14ac:dyDescent="0.3">
      <c r="A656" t="s">
        <v>745</v>
      </c>
      <c r="B656" t="s">
        <v>51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20</v>
      </c>
      <c r="I656" t="s">
        <v>15</v>
      </c>
      <c r="J656">
        <v>5</v>
      </c>
      <c r="K656" t="s">
        <v>16</v>
      </c>
      <c r="L656" t="s">
        <v>71</v>
      </c>
      <c r="M656">
        <f>orders[[#This Row],[Ship Date]]-orders[[#This Row],[Order Date]]</f>
        <v>1</v>
      </c>
      <c r="N656">
        <f>WEEKNUM(orders[[#This Row],[Order Date]],2)</f>
        <v>5</v>
      </c>
      <c r="O656" t="str" cm="1">
        <f t="array" ref="O6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57" spans="1:15" x14ac:dyDescent="0.3">
      <c r="A657" t="s">
        <v>746</v>
      </c>
      <c r="B657" t="s">
        <v>39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24</v>
      </c>
      <c r="I657" t="s">
        <v>67</v>
      </c>
      <c r="J657">
        <v>5</v>
      </c>
      <c r="K657" t="s">
        <v>16</v>
      </c>
      <c r="L657" t="s">
        <v>74</v>
      </c>
      <c r="M657">
        <f>orders[[#This Row],[Ship Date]]-orders[[#This Row],[Order Date]]</f>
        <v>4</v>
      </c>
      <c r="N657">
        <f>WEEKNUM(orders[[#This Row],[Order Date]],2)</f>
        <v>5</v>
      </c>
      <c r="O657" t="str" cm="1">
        <f t="array" ref="O6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58" spans="1:15" x14ac:dyDescent="0.3">
      <c r="A658" t="s">
        <v>747</v>
      </c>
      <c r="B658" t="s">
        <v>13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20</v>
      </c>
      <c r="I658" t="s">
        <v>32</v>
      </c>
      <c r="J658">
        <v>4</v>
      </c>
      <c r="K658" t="s">
        <v>16</v>
      </c>
      <c r="L658" t="s">
        <v>74</v>
      </c>
      <c r="M658">
        <f>orders[[#This Row],[Ship Date]]-orders[[#This Row],[Order Date]]</f>
        <v>2</v>
      </c>
      <c r="N658">
        <f>WEEKNUM(orders[[#This Row],[Order Date]],2)</f>
        <v>5</v>
      </c>
      <c r="O658" t="str" cm="1">
        <f t="array" ref="O65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59" spans="1:15" x14ac:dyDescent="0.3">
      <c r="A659" t="s">
        <v>748</v>
      </c>
      <c r="B659" t="s">
        <v>23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20</v>
      </c>
      <c r="I659" t="s">
        <v>37</v>
      </c>
      <c r="J659">
        <v>4</v>
      </c>
      <c r="K659" t="s">
        <v>16</v>
      </c>
      <c r="L659" t="s">
        <v>74</v>
      </c>
      <c r="M659">
        <f>orders[[#This Row],[Ship Date]]-orders[[#This Row],[Order Date]]</f>
        <v>1</v>
      </c>
      <c r="N659">
        <f>WEEKNUM(orders[[#This Row],[Order Date]],2)</f>
        <v>5</v>
      </c>
      <c r="O659" t="str" cm="1">
        <f t="array" ref="O6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60" spans="1:15" x14ac:dyDescent="0.3">
      <c r="A660" t="s">
        <v>749</v>
      </c>
      <c r="B660" t="s">
        <v>36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24</v>
      </c>
      <c r="I660" t="s">
        <v>32</v>
      </c>
      <c r="J660">
        <v>5</v>
      </c>
      <c r="K660" t="s">
        <v>16</v>
      </c>
      <c r="L660" t="s">
        <v>605</v>
      </c>
      <c r="M660">
        <f>orders[[#This Row],[Ship Date]]-orders[[#This Row],[Order Date]]</f>
        <v>6</v>
      </c>
      <c r="N660">
        <f>WEEKNUM(orders[[#This Row],[Order Date]],2)</f>
        <v>5</v>
      </c>
      <c r="O660" t="str" cm="1">
        <f t="array" ref="O6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61" spans="1:15" x14ac:dyDescent="0.3">
      <c r="A661" t="s">
        <v>750</v>
      </c>
      <c r="B661" t="s">
        <v>41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24</v>
      </c>
      <c r="I661" t="s">
        <v>32</v>
      </c>
      <c r="J661">
        <v>5</v>
      </c>
      <c r="K661" t="s">
        <v>16</v>
      </c>
      <c r="L661" t="s">
        <v>112</v>
      </c>
      <c r="M661">
        <f>orders[[#This Row],[Ship Date]]-orders[[#This Row],[Order Date]]</f>
        <v>2</v>
      </c>
      <c r="N661">
        <f>WEEKNUM(orders[[#This Row],[Order Date]],2)</f>
        <v>5</v>
      </c>
      <c r="O661" t="str" cm="1">
        <f t="array" ref="O6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62" spans="1:15" x14ac:dyDescent="0.3">
      <c r="A662" t="s">
        <v>751</v>
      </c>
      <c r="B662" t="s">
        <v>23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24</v>
      </c>
      <c r="I662" t="s">
        <v>37</v>
      </c>
      <c r="J662">
        <v>4</v>
      </c>
      <c r="K662" t="s">
        <v>16</v>
      </c>
      <c r="L662" t="s">
        <v>584</v>
      </c>
      <c r="M662">
        <f>orders[[#This Row],[Ship Date]]-orders[[#This Row],[Order Date]]</f>
        <v>1</v>
      </c>
      <c r="N662">
        <f>WEEKNUM(orders[[#This Row],[Order Date]],2)</f>
        <v>5</v>
      </c>
      <c r="O662" t="str" cm="1">
        <f t="array" ref="O6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63" spans="1:15" x14ac:dyDescent="0.3">
      <c r="A663" t="s">
        <v>752</v>
      </c>
      <c r="B663" t="s">
        <v>51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20</v>
      </c>
      <c r="I663" t="s">
        <v>15</v>
      </c>
      <c r="J663">
        <v>4</v>
      </c>
      <c r="K663" t="s">
        <v>16</v>
      </c>
      <c r="L663" t="s">
        <v>30</v>
      </c>
      <c r="M663">
        <f>orders[[#This Row],[Ship Date]]-orders[[#This Row],[Order Date]]</f>
        <v>2</v>
      </c>
      <c r="N663">
        <f>WEEKNUM(orders[[#This Row],[Order Date]],2)</f>
        <v>5</v>
      </c>
      <c r="O663" t="str" cm="1">
        <f t="array" ref="O6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64" spans="1:15" x14ac:dyDescent="0.3">
      <c r="A664" t="s">
        <v>753</v>
      </c>
      <c r="B664" t="s">
        <v>23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24</v>
      </c>
      <c r="I664" t="s">
        <v>15</v>
      </c>
      <c r="J664">
        <v>4</v>
      </c>
      <c r="K664" t="s">
        <v>16</v>
      </c>
      <c r="L664" t="s">
        <v>30</v>
      </c>
      <c r="M664">
        <f>orders[[#This Row],[Ship Date]]-orders[[#This Row],[Order Date]]</f>
        <v>1</v>
      </c>
      <c r="N664">
        <f>WEEKNUM(orders[[#This Row],[Order Date]],2)</f>
        <v>5</v>
      </c>
      <c r="O664" t="str" cm="1">
        <f t="array" ref="O6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65" spans="1:15" x14ac:dyDescent="0.3">
      <c r="A665" t="s">
        <v>754</v>
      </c>
      <c r="B665" t="s">
        <v>13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20</v>
      </c>
      <c r="I665" t="s">
        <v>37</v>
      </c>
      <c r="J665">
        <v>5</v>
      </c>
      <c r="K665" t="s">
        <v>16</v>
      </c>
      <c r="L665" t="s">
        <v>30</v>
      </c>
      <c r="M665">
        <f>orders[[#This Row],[Ship Date]]-orders[[#This Row],[Order Date]]</f>
        <v>2</v>
      </c>
      <c r="N665">
        <f>WEEKNUM(orders[[#This Row],[Order Date]],2)</f>
        <v>5</v>
      </c>
      <c r="O665" t="str" cm="1">
        <f t="array" ref="O6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66" spans="1:15" x14ac:dyDescent="0.3">
      <c r="A666" t="s">
        <v>755</v>
      </c>
      <c r="B666" t="s">
        <v>43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20</v>
      </c>
      <c r="I666" t="s">
        <v>37</v>
      </c>
      <c r="J666">
        <v>4</v>
      </c>
      <c r="K666" t="s">
        <v>16</v>
      </c>
      <c r="L666" t="s">
        <v>30</v>
      </c>
      <c r="M666">
        <f>orders[[#This Row],[Ship Date]]-orders[[#This Row],[Order Date]]</f>
        <v>2</v>
      </c>
      <c r="N666">
        <f>WEEKNUM(orders[[#This Row],[Order Date]],2)</f>
        <v>5</v>
      </c>
      <c r="O666" t="str" cm="1">
        <f t="array" ref="O6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67" spans="1:15" x14ac:dyDescent="0.3">
      <c r="A667" t="s">
        <v>756</v>
      </c>
      <c r="B667" t="s">
        <v>19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24</v>
      </c>
      <c r="I667" t="s">
        <v>48</v>
      </c>
      <c r="J667">
        <v>3</v>
      </c>
      <c r="K667" t="s">
        <v>16</v>
      </c>
      <c r="L667" t="s">
        <v>30</v>
      </c>
      <c r="M667">
        <f>orders[[#This Row],[Ship Date]]-orders[[#This Row],[Order Date]]</f>
        <v>0</v>
      </c>
      <c r="N667">
        <f>WEEKNUM(orders[[#This Row],[Order Date]],2)</f>
        <v>5</v>
      </c>
      <c r="O667" t="str" cm="1">
        <f t="array" ref="O6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68" spans="1:15" x14ac:dyDescent="0.3">
      <c r="A668" t="s">
        <v>757</v>
      </c>
      <c r="B668" t="s">
        <v>23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20</v>
      </c>
      <c r="I668" t="s">
        <v>15</v>
      </c>
      <c r="J668">
        <v>5</v>
      </c>
      <c r="K668" t="s">
        <v>16</v>
      </c>
      <c r="L668" t="s">
        <v>30</v>
      </c>
      <c r="M668">
        <f>orders[[#This Row],[Ship Date]]-orders[[#This Row],[Order Date]]</f>
        <v>2</v>
      </c>
      <c r="N668">
        <f>WEEKNUM(orders[[#This Row],[Order Date]],2)</f>
        <v>5</v>
      </c>
      <c r="O668" t="str" cm="1">
        <f t="array" ref="O6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69" spans="1:15" x14ac:dyDescent="0.3">
      <c r="A669" t="s">
        <v>758</v>
      </c>
      <c r="B669" t="s">
        <v>66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24</v>
      </c>
      <c r="I669" t="s">
        <v>37</v>
      </c>
      <c r="J669">
        <v>5</v>
      </c>
      <c r="K669" t="s">
        <v>16</v>
      </c>
      <c r="L669" t="s">
        <v>30</v>
      </c>
      <c r="M669">
        <f>orders[[#This Row],[Ship Date]]-orders[[#This Row],[Order Date]]</f>
        <v>1</v>
      </c>
      <c r="N669">
        <f>WEEKNUM(orders[[#This Row],[Order Date]],2)</f>
        <v>5</v>
      </c>
      <c r="O669" t="str" cm="1">
        <f t="array" ref="O6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0" spans="1:15" x14ac:dyDescent="0.3">
      <c r="A670" t="s">
        <v>759</v>
      </c>
      <c r="B670" t="s">
        <v>120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24</v>
      </c>
      <c r="I670" t="s">
        <v>67</v>
      </c>
      <c r="J670">
        <v>3</v>
      </c>
      <c r="K670" t="s">
        <v>16</v>
      </c>
      <c r="L670" t="s">
        <v>30</v>
      </c>
      <c r="M670">
        <f>orders[[#This Row],[Ship Date]]-orders[[#This Row],[Order Date]]</f>
        <v>1</v>
      </c>
      <c r="N670">
        <f>WEEKNUM(orders[[#This Row],[Order Date]],2)</f>
        <v>5</v>
      </c>
      <c r="O670" t="str" cm="1">
        <f t="array" ref="O6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1" spans="1:15" x14ac:dyDescent="0.3">
      <c r="A671" t="s">
        <v>760</v>
      </c>
      <c r="B671" t="s">
        <v>13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24</v>
      </c>
      <c r="I671" t="s">
        <v>37</v>
      </c>
      <c r="J671">
        <v>4</v>
      </c>
      <c r="K671" t="s">
        <v>16</v>
      </c>
      <c r="L671" t="s">
        <v>30</v>
      </c>
      <c r="M671">
        <f>orders[[#This Row],[Ship Date]]-orders[[#This Row],[Order Date]]</f>
        <v>7</v>
      </c>
      <c r="N671">
        <f>WEEKNUM(orders[[#This Row],[Order Date]],2)</f>
        <v>5</v>
      </c>
      <c r="O671" t="str" cm="1">
        <f t="array" ref="O6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2" spans="1:15" x14ac:dyDescent="0.3">
      <c r="A672" t="s">
        <v>761</v>
      </c>
      <c r="B672" t="s">
        <v>66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24</v>
      </c>
      <c r="I672" t="s">
        <v>15</v>
      </c>
      <c r="J672">
        <v>4</v>
      </c>
      <c r="K672" t="s">
        <v>16</v>
      </c>
      <c r="L672" t="s">
        <v>30</v>
      </c>
      <c r="M672">
        <f>orders[[#This Row],[Ship Date]]-orders[[#This Row],[Order Date]]</f>
        <v>11</v>
      </c>
      <c r="N672">
        <f>WEEKNUM(orders[[#This Row],[Order Date]],2)</f>
        <v>5</v>
      </c>
      <c r="O672" t="str" cm="1">
        <f t="array" ref="O6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3" spans="1:15" x14ac:dyDescent="0.3">
      <c r="A673" t="s">
        <v>762</v>
      </c>
      <c r="B673" t="s">
        <v>39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24</v>
      </c>
      <c r="I673" t="s">
        <v>15</v>
      </c>
      <c r="J673">
        <v>5</v>
      </c>
      <c r="K673" t="s">
        <v>16</v>
      </c>
      <c r="L673" t="s">
        <v>30</v>
      </c>
      <c r="M673">
        <f>orders[[#This Row],[Ship Date]]-orders[[#This Row],[Order Date]]</f>
        <v>6</v>
      </c>
      <c r="N673">
        <f>WEEKNUM(orders[[#This Row],[Order Date]],2)</f>
        <v>5</v>
      </c>
      <c r="O673" t="str" cm="1">
        <f t="array" ref="O6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4" spans="1:15" x14ac:dyDescent="0.3">
      <c r="A674" t="s">
        <v>763</v>
      </c>
      <c r="B674" t="s">
        <v>41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24</v>
      </c>
      <c r="I674" t="s">
        <v>15</v>
      </c>
      <c r="J674">
        <v>5</v>
      </c>
      <c r="K674" t="s">
        <v>16</v>
      </c>
      <c r="L674" t="s">
        <v>30</v>
      </c>
      <c r="M674">
        <f>orders[[#This Row],[Ship Date]]-orders[[#This Row],[Order Date]]</f>
        <v>2</v>
      </c>
      <c r="N674">
        <f>WEEKNUM(orders[[#This Row],[Order Date]],2)</f>
        <v>5</v>
      </c>
      <c r="O674" t="str" cm="1">
        <f t="array" ref="O6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5" spans="1:15" x14ac:dyDescent="0.3">
      <c r="A675" t="s">
        <v>764</v>
      </c>
      <c r="B675" t="s">
        <v>132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14</v>
      </c>
      <c r="I675" t="s">
        <v>15</v>
      </c>
      <c r="J675">
        <v>3</v>
      </c>
      <c r="K675" t="s">
        <v>16</v>
      </c>
      <c r="L675" t="s">
        <v>30</v>
      </c>
      <c r="M675">
        <f>orders[[#This Row],[Ship Date]]-orders[[#This Row],[Order Date]]</f>
        <v>0</v>
      </c>
      <c r="N675">
        <f>WEEKNUM(orders[[#This Row],[Order Date]],2)</f>
        <v>5</v>
      </c>
      <c r="O675" t="str" cm="1">
        <f t="array" ref="O67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676" spans="1:15" x14ac:dyDescent="0.3">
      <c r="A676" t="s">
        <v>765</v>
      </c>
      <c r="B676" t="s">
        <v>64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24</v>
      </c>
      <c r="I676" t="s">
        <v>32</v>
      </c>
      <c r="J676">
        <v>5</v>
      </c>
      <c r="K676" t="s">
        <v>16</v>
      </c>
      <c r="L676" t="s">
        <v>52</v>
      </c>
      <c r="M676">
        <f>orders[[#This Row],[Ship Date]]-orders[[#This Row],[Order Date]]</f>
        <v>7</v>
      </c>
      <c r="N676">
        <f>WEEKNUM(orders[[#This Row],[Order Date]],2)</f>
        <v>5</v>
      </c>
      <c r="O676" t="str" cm="1">
        <f t="array" ref="O6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7" spans="1:15" x14ac:dyDescent="0.3">
      <c r="A677" t="s">
        <v>766</v>
      </c>
      <c r="B677" t="s">
        <v>19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24</v>
      </c>
      <c r="I677" t="s">
        <v>67</v>
      </c>
      <c r="J677">
        <v>3</v>
      </c>
      <c r="K677" t="s">
        <v>16</v>
      </c>
      <c r="L677" t="s">
        <v>52</v>
      </c>
      <c r="M677">
        <f>orders[[#This Row],[Ship Date]]-orders[[#This Row],[Order Date]]</f>
        <v>2</v>
      </c>
      <c r="N677">
        <f>WEEKNUM(orders[[#This Row],[Order Date]],2)</f>
        <v>5</v>
      </c>
      <c r="O677" t="str" cm="1">
        <f t="array" ref="O6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78" spans="1:15" x14ac:dyDescent="0.3">
      <c r="A678" t="s">
        <v>767</v>
      </c>
      <c r="B678" t="s">
        <v>23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20</v>
      </c>
      <c r="I678" t="s">
        <v>37</v>
      </c>
      <c r="J678">
        <v>4</v>
      </c>
      <c r="K678" t="s">
        <v>16</v>
      </c>
      <c r="L678" t="s">
        <v>52</v>
      </c>
      <c r="M678">
        <f>orders[[#This Row],[Ship Date]]-orders[[#This Row],[Order Date]]</f>
        <v>1</v>
      </c>
      <c r="N678">
        <f>WEEKNUM(orders[[#This Row],[Order Date]],2)</f>
        <v>5</v>
      </c>
      <c r="O678" t="str" cm="1">
        <f t="array" ref="O67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79" spans="1:15" x14ac:dyDescent="0.3">
      <c r="A679" t="s">
        <v>768</v>
      </c>
      <c r="B679" t="s">
        <v>43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24</v>
      </c>
      <c r="I679" t="s">
        <v>67</v>
      </c>
      <c r="J679">
        <v>3</v>
      </c>
      <c r="K679" t="s">
        <v>16</v>
      </c>
      <c r="L679" t="s">
        <v>52</v>
      </c>
      <c r="M679">
        <f>orders[[#This Row],[Ship Date]]-orders[[#This Row],[Order Date]]</f>
        <v>2</v>
      </c>
      <c r="N679">
        <f>WEEKNUM(orders[[#This Row],[Order Date]],2)</f>
        <v>5</v>
      </c>
      <c r="O679" t="str" cm="1">
        <f t="array" ref="O6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0" spans="1:15" x14ac:dyDescent="0.3">
      <c r="A680" t="s">
        <v>769</v>
      </c>
      <c r="B680" t="s">
        <v>13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24</v>
      </c>
      <c r="I680" t="s">
        <v>37</v>
      </c>
      <c r="J680">
        <v>3</v>
      </c>
      <c r="K680" t="s">
        <v>16</v>
      </c>
      <c r="L680" t="s">
        <v>56</v>
      </c>
      <c r="M680">
        <f>orders[[#This Row],[Ship Date]]-orders[[#This Row],[Order Date]]</f>
        <v>3</v>
      </c>
      <c r="N680">
        <f>WEEKNUM(orders[[#This Row],[Order Date]],2)</f>
        <v>5</v>
      </c>
      <c r="O680" t="str" cm="1">
        <f t="array" ref="O6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1" spans="1:15" x14ac:dyDescent="0.3">
      <c r="A681" t="s">
        <v>770</v>
      </c>
      <c r="B681" t="s">
        <v>43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24</v>
      </c>
      <c r="I681" t="s">
        <v>48</v>
      </c>
      <c r="J681">
        <v>5</v>
      </c>
      <c r="K681" t="s">
        <v>16</v>
      </c>
      <c r="L681" t="s">
        <v>59</v>
      </c>
      <c r="M681">
        <f>orders[[#This Row],[Ship Date]]-orders[[#This Row],[Order Date]]</f>
        <v>2</v>
      </c>
      <c r="N681">
        <f>WEEKNUM(orders[[#This Row],[Order Date]],2)</f>
        <v>5</v>
      </c>
      <c r="O681" t="str" cm="1">
        <f t="array" ref="O6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2" spans="1:15" x14ac:dyDescent="0.3">
      <c r="A682" t="s">
        <v>771</v>
      </c>
      <c r="B682" t="s">
        <v>51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24</v>
      </c>
      <c r="I682" t="s">
        <v>15</v>
      </c>
      <c r="J682">
        <v>4</v>
      </c>
      <c r="K682" t="s">
        <v>16</v>
      </c>
      <c r="L682" t="s">
        <v>59</v>
      </c>
      <c r="M682">
        <f>orders[[#This Row],[Ship Date]]-orders[[#This Row],[Order Date]]</f>
        <v>4</v>
      </c>
      <c r="N682">
        <f>WEEKNUM(orders[[#This Row],[Order Date]],2)</f>
        <v>5</v>
      </c>
      <c r="O682" t="str" cm="1">
        <f t="array" ref="O6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3" spans="1:15" x14ac:dyDescent="0.3">
      <c r="A683" t="s">
        <v>772</v>
      </c>
      <c r="B683" t="s">
        <v>66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24</v>
      </c>
      <c r="I683" t="s">
        <v>32</v>
      </c>
      <c r="J683">
        <v>5</v>
      </c>
      <c r="K683" t="s">
        <v>16</v>
      </c>
      <c r="L683" t="s">
        <v>59</v>
      </c>
      <c r="M683">
        <f>orders[[#This Row],[Ship Date]]-orders[[#This Row],[Order Date]]</f>
        <v>1</v>
      </c>
      <c r="N683">
        <f>WEEKNUM(orders[[#This Row],[Order Date]],2)</f>
        <v>5</v>
      </c>
      <c r="O683" t="str" cm="1">
        <f t="array" ref="O6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4" spans="1:15" x14ac:dyDescent="0.3">
      <c r="A684" t="s">
        <v>773</v>
      </c>
      <c r="B684" t="s">
        <v>36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20</v>
      </c>
      <c r="I684" t="s">
        <v>15</v>
      </c>
      <c r="J684">
        <v>5</v>
      </c>
      <c r="K684" t="s">
        <v>16</v>
      </c>
      <c r="L684" t="s">
        <v>59</v>
      </c>
      <c r="M684">
        <f>orders[[#This Row],[Ship Date]]-orders[[#This Row],[Order Date]]</f>
        <v>2</v>
      </c>
      <c r="N684">
        <f>WEEKNUM(orders[[#This Row],[Order Date]],2)</f>
        <v>5</v>
      </c>
      <c r="O684" t="str" cm="1">
        <f t="array" ref="O6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85" spans="1:15" x14ac:dyDescent="0.3">
      <c r="A685" t="s">
        <v>774</v>
      </c>
      <c r="B685" t="s">
        <v>36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20</v>
      </c>
      <c r="I685" t="s">
        <v>32</v>
      </c>
      <c r="J685">
        <v>4</v>
      </c>
      <c r="K685" t="s">
        <v>16</v>
      </c>
      <c r="L685" t="s">
        <v>59</v>
      </c>
      <c r="M685">
        <f>orders[[#This Row],[Ship Date]]-orders[[#This Row],[Order Date]]</f>
        <v>0</v>
      </c>
      <c r="N685">
        <f>WEEKNUM(orders[[#This Row],[Order Date]],2)</f>
        <v>5</v>
      </c>
      <c r="O685" t="str" cm="1">
        <f t="array" ref="O6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86" spans="1:15" x14ac:dyDescent="0.3">
      <c r="A686" t="s">
        <v>775</v>
      </c>
      <c r="B686" t="s">
        <v>78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20</v>
      </c>
      <c r="I686" t="s">
        <v>32</v>
      </c>
      <c r="J686">
        <v>4</v>
      </c>
      <c r="K686" t="s">
        <v>16</v>
      </c>
      <c r="L686" t="s">
        <v>59</v>
      </c>
      <c r="M686">
        <f>orders[[#This Row],[Ship Date]]-orders[[#This Row],[Order Date]]</f>
        <v>1</v>
      </c>
      <c r="N686">
        <f>WEEKNUM(orders[[#This Row],[Order Date]],2)</f>
        <v>5</v>
      </c>
      <c r="O686" t="str" cm="1">
        <f t="array" ref="O6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87" spans="1:15" x14ac:dyDescent="0.3">
      <c r="A687" t="s">
        <v>776</v>
      </c>
      <c r="B687" t="s">
        <v>132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24</v>
      </c>
      <c r="I687" t="s">
        <v>37</v>
      </c>
      <c r="J687">
        <v>4</v>
      </c>
      <c r="K687" t="s">
        <v>16</v>
      </c>
      <c r="L687" t="s">
        <v>100</v>
      </c>
      <c r="M687">
        <f>orders[[#This Row],[Ship Date]]-orders[[#This Row],[Order Date]]</f>
        <v>1</v>
      </c>
      <c r="N687">
        <f>WEEKNUM(orders[[#This Row],[Order Date]],2)</f>
        <v>5</v>
      </c>
      <c r="O687" t="str" cm="1">
        <f t="array" ref="O6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8" spans="1:15" x14ac:dyDescent="0.3">
      <c r="A688" t="s">
        <v>777</v>
      </c>
      <c r="B688" t="s">
        <v>27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24</v>
      </c>
      <c r="I688" t="s">
        <v>15</v>
      </c>
      <c r="J688">
        <v>5</v>
      </c>
      <c r="K688" t="s">
        <v>16</v>
      </c>
      <c r="L688" t="s">
        <v>69</v>
      </c>
      <c r="M688">
        <f>orders[[#This Row],[Ship Date]]-orders[[#This Row],[Order Date]]</f>
        <v>1</v>
      </c>
      <c r="N688">
        <f>WEEKNUM(orders[[#This Row],[Order Date]],2)</f>
        <v>5</v>
      </c>
      <c r="O688" t="str" cm="1">
        <f t="array" ref="O6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89" spans="1:15" x14ac:dyDescent="0.3">
      <c r="A689" t="s">
        <v>778</v>
      </c>
      <c r="B689" t="s">
        <v>34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24</v>
      </c>
      <c r="I689" t="s">
        <v>48</v>
      </c>
      <c r="J689">
        <v>4</v>
      </c>
      <c r="K689" t="s">
        <v>16</v>
      </c>
      <c r="L689" t="s">
        <v>74</v>
      </c>
      <c r="M689">
        <f>orders[[#This Row],[Ship Date]]-orders[[#This Row],[Order Date]]</f>
        <v>3</v>
      </c>
      <c r="N689">
        <f>WEEKNUM(orders[[#This Row],[Order Date]],2)</f>
        <v>5</v>
      </c>
      <c r="O689" t="str" cm="1">
        <f t="array" ref="O6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90" spans="1:15" x14ac:dyDescent="0.3">
      <c r="A690" t="s">
        <v>779</v>
      </c>
      <c r="B690" t="s">
        <v>27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24</v>
      </c>
      <c r="I690" t="s">
        <v>48</v>
      </c>
      <c r="J690">
        <v>4</v>
      </c>
      <c r="K690" t="s">
        <v>16</v>
      </c>
      <c r="L690" t="s">
        <v>74</v>
      </c>
      <c r="M690">
        <f>orders[[#This Row],[Ship Date]]-orders[[#This Row],[Order Date]]</f>
        <v>1</v>
      </c>
      <c r="N690">
        <f>WEEKNUM(orders[[#This Row],[Order Date]],2)</f>
        <v>5</v>
      </c>
      <c r="O690" t="str" cm="1">
        <f t="array" ref="O6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91" spans="1:15" x14ac:dyDescent="0.3">
      <c r="A691" t="s">
        <v>780</v>
      </c>
      <c r="B691" t="s">
        <v>13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14</v>
      </c>
      <c r="I691" t="s">
        <v>32</v>
      </c>
      <c r="J691">
        <v>3</v>
      </c>
      <c r="K691" t="s">
        <v>16</v>
      </c>
      <c r="L691" t="s">
        <v>107</v>
      </c>
      <c r="M691">
        <f>orders[[#This Row],[Ship Date]]-orders[[#This Row],[Order Date]]</f>
        <v>1</v>
      </c>
      <c r="N691">
        <f>WEEKNUM(orders[[#This Row],[Order Date]],2)</f>
        <v>5</v>
      </c>
      <c r="O691" t="str" cm="1">
        <f t="array" ref="O69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692" spans="1:15" x14ac:dyDescent="0.3">
      <c r="A692" t="s">
        <v>781</v>
      </c>
      <c r="B692" t="s">
        <v>51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20</v>
      </c>
      <c r="I692" t="s">
        <v>15</v>
      </c>
      <c r="J692">
        <v>4</v>
      </c>
      <c r="K692" t="s">
        <v>16</v>
      </c>
      <c r="L692" t="s">
        <v>289</v>
      </c>
      <c r="M692">
        <f>orders[[#This Row],[Ship Date]]-orders[[#This Row],[Order Date]]</f>
        <v>2</v>
      </c>
      <c r="N692">
        <f>WEEKNUM(orders[[#This Row],[Order Date]],2)</f>
        <v>5</v>
      </c>
      <c r="O692" t="str" cm="1">
        <f t="array" ref="O6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93" spans="1:15" x14ac:dyDescent="0.3">
      <c r="A693" t="s">
        <v>782</v>
      </c>
      <c r="B693" t="s">
        <v>51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24</v>
      </c>
      <c r="I693" t="s">
        <v>32</v>
      </c>
      <c r="J693">
        <v>5</v>
      </c>
      <c r="K693" t="s">
        <v>16</v>
      </c>
      <c r="L693" t="s">
        <v>79</v>
      </c>
      <c r="M693">
        <f>orders[[#This Row],[Ship Date]]-orders[[#This Row],[Order Date]]</f>
        <v>2</v>
      </c>
      <c r="N693">
        <f>WEEKNUM(orders[[#This Row],[Order Date]],2)</f>
        <v>5</v>
      </c>
      <c r="O693" t="str" cm="1">
        <f t="array" ref="O6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94" spans="1:15" x14ac:dyDescent="0.3">
      <c r="A694" t="s">
        <v>783</v>
      </c>
      <c r="B694" t="s">
        <v>29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20</v>
      </c>
      <c r="I694" t="s">
        <v>48</v>
      </c>
      <c r="J694">
        <v>4</v>
      </c>
      <c r="K694" t="s">
        <v>16</v>
      </c>
      <c r="L694" t="s">
        <v>112</v>
      </c>
      <c r="M694">
        <f>orders[[#This Row],[Ship Date]]-orders[[#This Row],[Order Date]]</f>
        <v>3</v>
      </c>
      <c r="N694">
        <f>WEEKNUM(orders[[#This Row],[Order Date]],2)</f>
        <v>5</v>
      </c>
      <c r="O694" t="str" cm="1">
        <f t="array" ref="O6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95" spans="1:15" x14ac:dyDescent="0.3">
      <c r="A695" t="s">
        <v>784</v>
      </c>
      <c r="B695" t="s">
        <v>19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20</v>
      </c>
      <c r="I695" t="s">
        <v>37</v>
      </c>
      <c r="J695">
        <v>3</v>
      </c>
      <c r="K695" t="s">
        <v>16</v>
      </c>
      <c r="L695" t="s">
        <v>21</v>
      </c>
      <c r="M695">
        <f>orders[[#This Row],[Ship Date]]-orders[[#This Row],[Order Date]]</f>
        <v>2</v>
      </c>
      <c r="N695">
        <f>WEEKNUM(orders[[#This Row],[Order Date]],2)</f>
        <v>5</v>
      </c>
      <c r="O695" t="str" cm="1">
        <f t="array" ref="O6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96" spans="1:15" x14ac:dyDescent="0.3">
      <c r="A696" t="s">
        <v>785</v>
      </c>
      <c r="B696" t="s">
        <v>43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20</v>
      </c>
      <c r="I696" t="s">
        <v>32</v>
      </c>
      <c r="J696">
        <v>3</v>
      </c>
      <c r="K696" t="s">
        <v>16</v>
      </c>
      <c r="L696" t="s">
        <v>144</v>
      </c>
      <c r="M696">
        <f>orders[[#This Row],[Ship Date]]-orders[[#This Row],[Order Date]]</f>
        <v>1</v>
      </c>
      <c r="N696">
        <f>WEEKNUM(orders[[#This Row],[Order Date]],2)</f>
        <v>5</v>
      </c>
      <c r="O696" t="str" cm="1">
        <f t="array" ref="O6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697" spans="1:15" x14ac:dyDescent="0.3">
      <c r="A697" t="s">
        <v>786</v>
      </c>
      <c r="B697" t="s">
        <v>36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24</v>
      </c>
      <c r="I697" t="s">
        <v>48</v>
      </c>
      <c r="J697">
        <v>4</v>
      </c>
      <c r="K697" t="s">
        <v>16</v>
      </c>
      <c r="L697" t="s">
        <v>144</v>
      </c>
      <c r="M697">
        <f>orders[[#This Row],[Ship Date]]-orders[[#This Row],[Order Date]]</f>
        <v>3</v>
      </c>
      <c r="N697">
        <f>WEEKNUM(orders[[#This Row],[Order Date]],2)</f>
        <v>5</v>
      </c>
      <c r="O697" t="str" cm="1">
        <f t="array" ref="O6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98" spans="1:15" x14ac:dyDescent="0.3">
      <c r="A698" t="s">
        <v>787</v>
      </c>
      <c r="B698" t="s">
        <v>41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24</v>
      </c>
      <c r="I698" t="s">
        <v>15</v>
      </c>
      <c r="J698">
        <v>4</v>
      </c>
      <c r="K698" t="s">
        <v>16</v>
      </c>
      <c r="L698" t="s">
        <v>331</v>
      </c>
      <c r="M698">
        <f>orders[[#This Row],[Ship Date]]-orders[[#This Row],[Order Date]]</f>
        <v>1</v>
      </c>
      <c r="N698">
        <f>WEEKNUM(orders[[#This Row],[Order Date]],2)</f>
        <v>5</v>
      </c>
      <c r="O698" t="str" cm="1">
        <f t="array" ref="O6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699" spans="1:15" x14ac:dyDescent="0.3">
      <c r="A699" t="s">
        <v>788</v>
      </c>
      <c r="B699" t="s">
        <v>43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20</v>
      </c>
      <c r="I699" t="s">
        <v>32</v>
      </c>
      <c r="J699">
        <v>4</v>
      </c>
      <c r="K699" t="s">
        <v>16</v>
      </c>
      <c r="L699" t="s">
        <v>30</v>
      </c>
      <c r="M699">
        <f>orders[[#This Row],[Ship Date]]-orders[[#This Row],[Order Date]]</f>
        <v>1</v>
      </c>
      <c r="N699">
        <f>WEEKNUM(orders[[#This Row],[Order Date]],2)</f>
        <v>5</v>
      </c>
      <c r="O699" t="str" cm="1">
        <f t="array" ref="O6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00" spans="1:15" x14ac:dyDescent="0.3">
      <c r="A700" t="s">
        <v>789</v>
      </c>
      <c r="B700" t="s">
        <v>39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14</v>
      </c>
      <c r="I700" t="s">
        <v>67</v>
      </c>
      <c r="J700">
        <v>3</v>
      </c>
      <c r="K700" t="s">
        <v>16</v>
      </c>
      <c r="L700" t="s">
        <v>30</v>
      </c>
      <c r="M700">
        <f>orders[[#This Row],[Ship Date]]-orders[[#This Row],[Order Date]]</f>
        <v>2</v>
      </c>
      <c r="N700">
        <f>WEEKNUM(orders[[#This Row],[Order Date]],2)</f>
        <v>5</v>
      </c>
      <c r="O700" t="str" cm="1">
        <f t="array" ref="O70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701" spans="1:15" x14ac:dyDescent="0.3">
      <c r="A701" t="s">
        <v>790</v>
      </c>
      <c r="B701" t="s">
        <v>39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20</v>
      </c>
      <c r="I701" t="s">
        <v>15</v>
      </c>
      <c r="J701">
        <v>4</v>
      </c>
      <c r="K701" t="s">
        <v>16</v>
      </c>
      <c r="L701" t="s">
        <v>30</v>
      </c>
      <c r="M701">
        <f>orders[[#This Row],[Ship Date]]-orders[[#This Row],[Order Date]]</f>
        <v>1</v>
      </c>
      <c r="N701">
        <f>WEEKNUM(orders[[#This Row],[Order Date]],2)</f>
        <v>5</v>
      </c>
      <c r="O701" t="str" cm="1">
        <f t="array" ref="O7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02" spans="1:15" x14ac:dyDescent="0.3">
      <c r="A702" t="s">
        <v>791</v>
      </c>
      <c r="B702" t="s">
        <v>43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24</v>
      </c>
      <c r="I702" t="s">
        <v>67</v>
      </c>
      <c r="J702">
        <v>5</v>
      </c>
      <c r="K702" t="s">
        <v>16</v>
      </c>
      <c r="L702" t="s">
        <v>30</v>
      </c>
      <c r="M702">
        <f>orders[[#This Row],[Ship Date]]-orders[[#This Row],[Order Date]]</f>
        <v>2</v>
      </c>
      <c r="N702">
        <f>WEEKNUM(orders[[#This Row],[Order Date]],2)</f>
        <v>5</v>
      </c>
      <c r="O702" t="str" cm="1">
        <f t="array" ref="O7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03" spans="1:15" x14ac:dyDescent="0.3">
      <c r="A703" t="s">
        <v>792</v>
      </c>
      <c r="B703" t="s">
        <v>36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20</v>
      </c>
      <c r="I703" t="s">
        <v>32</v>
      </c>
      <c r="J703">
        <v>4</v>
      </c>
      <c r="K703" t="s">
        <v>16</v>
      </c>
      <c r="L703" t="s">
        <v>30</v>
      </c>
      <c r="M703">
        <f>orders[[#This Row],[Ship Date]]-orders[[#This Row],[Order Date]]</f>
        <v>1</v>
      </c>
      <c r="N703">
        <f>WEEKNUM(orders[[#This Row],[Order Date]],2)</f>
        <v>5</v>
      </c>
      <c r="O703" t="str" cm="1">
        <f t="array" ref="O7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04" spans="1:15" x14ac:dyDescent="0.3">
      <c r="A704" t="s">
        <v>793</v>
      </c>
      <c r="B704" t="s">
        <v>41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20</v>
      </c>
      <c r="I704" t="s">
        <v>32</v>
      </c>
      <c r="J704">
        <v>4</v>
      </c>
      <c r="K704" t="s">
        <v>16</v>
      </c>
      <c r="L704" t="s">
        <v>30</v>
      </c>
      <c r="M704">
        <f>orders[[#This Row],[Ship Date]]-orders[[#This Row],[Order Date]]</f>
        <v>0</v>
      </c>
      <c r="N704">
        <f>WEEKNUM(orders[[#This Row],[Order Date]],2)</f>
        <v>5</v>
      </c>
      <c r="O704" t="str" cm="1">
        <f t="array" ref="O7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05" spans="1:15" x14ac:dyDescent="0.3">
      <c r="A705" t="s">
        <v>794</v>
      </c>
      <c r="B705" t="s">
        <v>23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20</v>
      </c>
      <c r="I705" t="s">
        <v>15</v>
      </c>
      <c r="J705">
        <v>5</v>
      </c>
      <c r="K705" t="s">
        <v>16</v>
      </c>
      <c r="L705" t="s">
        <v>30</v>
      </c>
      <c r="M705">
        <f>orders[[#This Row],[Ship Date]]-orders[[#This Row],[Order Date]]</f>
        <v>4</v>
      </c>
      <c r="N705">
        <f>WEEKNUM(orders[[#This Row],[Order Date]],2)</f>
        <v>5</v>
      </c>
      <c r="O705" t="str" cm="1">
        <f t="array" ref="O7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06" spans="1:15" x14ac:dyDescent="0.3">
      <c r="A706" t="s">
        <v>795</v>
      </c>
      <c r="B706" t="s">
        <v>39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20</v>
      </c>
      <c r="I706" t="s">
        <v>48</v>
      </c>
      <c r="J706">
        <v>3</v>
      </c>
      <c r="K706" t="s">
        <v>16</v>
      </c>
      <c r="L706" t="s">
        <v>30</v>
      </c>
      <c r="M706">
        <f>orders[[#This Row],[Ship Date]]-orders[[#This Row],[Order Date]]</f>
        <v>1</v>
      </c>
      <c r="N706">
        <f>WEEKNUM(orders[[#This Row],[Order Date]],2)</f>
        <v>5</v>
      </c>
      <c r="O706" t="str" cm="1">
        <f t="array" ref="O7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07" spans="1:15" x14ac:dyDescent="0.3">
      <c r="A707" t="s">
        <v>796</v>
      </c>
      <c r="B707" t="s">
        <v>43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24</v>
      </c>
      <c r="I707" t="s">
        <v>15</v>
      </c>
      <c r="J707">
        <v>4</v>
      </c>
      <c r="K707" t="s">
        <v>16</v>
      </c>
      <c r="L707" t="s">
        <v>30</v>
      </c>
      <c r="M707">
        <f>orders[[#This Row],[Ship Date]]-orders[[#This Row],[Order Date]]</f>
        <v>1</v>
      </c>
      <c r="N707">
        <f>WEEKNUM(orders[[#This Row],[Order Date]],2)</f>
        <v>5</v>
      </c>
      <c r="O707" t="str" cm="1">
        <f t="array" ref="O7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08" spans="1:15" x14ac:dyDescent="0.3">
      <c r="A708" t="s">
        <v>797</v>
      </c>
      <c r="B708" t="s">
        <v>23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20</v>
      </c>
      <c r="I708" t="s">
        <v>48</v>
      </c>
      <c r="J708">
        <v>5</v>
      </c>
      <c r="K708" t="s">
        <v>16</v>
      </c>
      <c r="L708" t="s">
        <v>183</v>
      </c>
      <c r="M708">
        <f>orders[[#This Row],[Ship Date]]-orders[[#This Row],[Order Date]]</f>
        <v>2</v>
      </c>
      <c r="N708">
        <f>WEEKNUM(orders[[#This Row],[Order Date]],2)</f>
        <v>5</v>
      </c>
      <c r="O708" t="str" cm="1">
        <f t="array" ref="O7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09" spans="1:15" x14ac:dyDescent="0.3">
      <c r="A709" t="s">
        <v>798</v>
      </c>
      <c r="B709" t="s">
        <v>36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20</v>
      </c>
      <c r="I709" t="s">
        <v>15</v>
      </c>
      <c r="J709">
        <v>5</v>
      </c>
      <c r="K709" t="s">
        <v>16</v>
      </c>
      <c r="L709" t="s">
        <v>799</v>
      </c>
      <c r="M709">
        <f>orders[[#This Row],[Ship Date]]-orders[[#This Row],[Order Date]]</f>
        <v>5</v>
      </c>
      <c r="N709">
        <f>WEEKNUM(orders[[#This Row],[Order Date]],2)</f>
        <v>5</v>
      </c>
      <c r="O709" t="str" cm="1">
        <f t="array" ref="O7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10" spans="1:15" x14ac:dyDescent="0.3">
      <c r="A710" t="s">
        <v>800</v>
      </c>
      <c r="B710" t="s">
        <v>41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20</v>
      </c>
      <c r="I710" t="s">
        <v>37</v>
      </c>
      <c r="J710">
        <v>4</v>
      </c>
      <c r="K710" t="s">
        <v>16</v>
      </c>
      <c r="L710" t="s">
        <v>185</v>
      </c>
      <c r="M710">
        <f>orders[[#This Row],[Ship Date]]-orders[[#This Row],[Order Date]]</f>
        <v>4</v>
      </c>
      <c r="N710">
        <f>WEEKNUM(orders[[#This Row],[Order Date]],2)</f>
        <v>5</v>
      </c>
      <c r="O710" t="str" cm="1">
        <f t="array" ref="O7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11" spans="1:15" x14ac:dyDescent="0.3">
      <c r="A711" t="s">
        <v>801</v>
      </c>
      <c r="B711" t="s">
        <v>41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20</v>
      </c>
      <c r="I711" t="s">
        <v>32</v>
      </c>
      <c r="J711">
        <v>4</v>
      </c>
      <c r="K711" t="s">
        <v>16</v>
      </c>
      <c r="L711" t="s">
        <v>52</v>
      </c>
      <c r="M711">
        <f>orders[[#This Row],[Ship Date]]-orders[[#This Row],[Order Date]]</f>
        <v>2</v>
      </c>
      <c r="N711">
        <f>WEEKNUM(orders[[#This Row],[Order Date]],2)</f>
        <v>5</v>
      </c>
      <c r="O711" t="str" cm="1">
        <f t="array" ref="O7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12" spans="1:15" x14ac:dyDescent="0.3">
      <c r="A712" t="s">
        <v>802</v>
      </c>
      <c r="B712" t="s">
        <v>51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14</v>
      </c>
      <c r="I712" t="s">
        <v>37</v>
      </c>
      <c r="J712">
        <v>3</v>
      </c>
      <c r="K712" t="s">
        <v>16</v>
      </c>
      <c r="L712" t="s">
        <v>52</v>
      </c>
      <c r="M712">
        <f>orders[[#This Row],[Ship Date]]-orders[[#This Row],[Order Date]]</f>
        <v>2</v>
      </c>
      <c r="N712">
        <f>WEEKNUM(orders[[#This Row],[Order Date]],2)</f>
        <v>5</v>
      </c>
      <c r="O712" t="str" cm="1">
        <f t="array" ref="O71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713" spans="1:15" x14ac:dyDescent="0.3">
      <c r="A713" t="s">
        <v>803</v>
      </c>
      <c r="B713" t="s">
        <v>13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24</v>
      </c>
      <c r="I713" t="s">
        <v>15</v>
      </c>
      <c r="J713">
        <v>5</v>
      </c>
      <c r="K713" t="s">
        <v>16</v>
      </c>
      <c r="L713" t="s">
        <v>52</v>
      </c>
      <c r="M713">
        <f>orders[[#This Row],[Ship Date]]-orders[[#This Row],[Order Date]]</f>
        <v>1</v>
      </c>
      <c r="N713">
        <f>WEEKNUM(orders[[#This Row],[Order Date]],2)</f>
        <v>5</v>
      </c>
      <c r="O713" t="str" cm="1">
        <f t="array" ref="O7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14" spans="1:15" x14ac:dyDescent="0.3">
      <c r="A714" t="s">
        <v>804</v>
      </c>
      <c r="B714" t="s">
        <v>125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20</v>
      </c>
      <c r="I714" t="s">
        <v>32</v>
      </c>
      <c r="J714">
        <v>5</v>
      </c>
      <c r="K714" t="s">
        <v>16</v>
      </c>
      <c r="L714" t="s">
        <v>52</v>
      </c>
      <c r="M714">
        <f>orders[[#This Row],[Ship Date]]-orders[[#This Row],[Order Date]]</f>
        <v>4</v>
      </c>
      <c r="N714">
        <f>WEEKNUM(orders[[#This Row],[Order Date]],2)</f>
        <v>5</v>
      </c>
      <c r="O714" t="str" cm="1">
        <f t="array" ref="O7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15" spans="1:15" x14ac:dyDescent="0.3">
      <c r="A715" t="s">
        <v>805</v>
      </c>
      <c r="B715" t="s">
        <v>23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24</v>
      </c>
      <c r="I715" t="s">
        <v>32</v>
      </c>
      <c r="J715">
        <v>5</v>
      </c>
      <c r="K715" t="s">
        <v>16</v>
      </c>
      <c r="L715" t="s">
        <v>56</v>
      </c>
      <c r="M715">
        <f>orders[[#This Row],[Ship Date]]-orders[[#This Row],[Order Date]]</f>
        <v>3</v>
      </c>
      <c r="N715">
        <f>WEEKNUM(orders[[#This Row],[Order Date]],2)</f>
        <v>5</v>
      </c>
      <c r="O715" t="str" cm="1">
        <f t="array" ref="O7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16" spans="1:15" x14ac:dyDescent="0.3">
      <c r="A716" t="s">
        <v>806</v>
      </c>
      <c r="B716" t="s">
        <v>41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20</v>
      </c>
      <c r="I716" t="s">
        <v>48</v>
      </c>
      <c r="J716">
        <v>5</v>
      </c>
      <c r="K716" t="s">
        <v>16</v>
      </c>
      <c r="L716" t="s">
        <v>59</v>
      </c>
      <c r="M716">
        <f>orders[[#This Row],[Ship Date]]-orders[[#This Row],[Order Date]]</f>
        <v>1</v>
      </c>
      <c r="N716">
        <f>WEEKNUM(orders[[#This Row],[Order Date]],2)</f>
        <v>5</v>
      </c>
      <c r="O716" t="str" cm="1">
        <f t="array" ref="O7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17" spans="1:15" x14ac:dyDescent="0.3">
      <c r="A717" t="s">
        <v>807</v>
      </c>
      <c r="B717" t="s">
        <v>66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20</v>
      </c>
      <c r="I717" t="s">
        <v>15</v>
      </c>
      <c r="J717">
        <v>4</v>
      </c>
      <c r="K717" t="s">
        <v>16</v>
      </c>
      <c r="L717" t="s">
        <v>59</v>
      </c>
      <c r="M717">
        <f>orders[[#This Row],[Ship Date]]-orders[[#This Row],[Order Date]]</f>
        <v>1</v>
      </c>
      <c r="N717">
        <f>WEEKNUM(orders[[#This Row],[Order Date]],2)</f>
        <v>5</v>
      </c>
      <c r="O717" t="str" cm="1">
        <f t="array" ref="O71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18" spans="1:15" x14ac:dyDescent="0.3">
      <c r="A718" t="s">
        <v>808</v>
      </c>
      <c r="B718" t="s">
        <v>43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24</v>
      </c>
      <c r="I718" t="s">
        <v>15</v>
      </c>
      <c r="J718">
        <v>5</v>
      </c>
      <c r="K718" t="s">
        <v>16</v>
      </c>
      <c r="L718" t="s">
        <v>59</v>
      </c>
      <c r="M718">
        <f>orders[[#This Row],[Ship Date]]-orders[[#This Row],[Order Date]]</f>
        <v>1</v>
      </c>
      <c r="N718">
        <f>WEEKNUM(orders[[#This Row],[Order Date]],2)</f>
        <v>5</v>
      </c>
      <c r="O718" t="str" cm="1">
        <f t="array" ref="O7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19" spans="1:15" x14ac:dyDescent="0.3">
      <c r="A719" t="s">
        <v>809</v>
      </c>
      <c r="B719" t="s">
        <v>51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20</v>
      </c>
      <c r="I719" t="s">
        <v>37</v>
      </c>
      <c r="J719">
        <v>5</v>
      </c>
      <c r="K719" t="s">
        <v>16</v>
      </c>
      <c r="L719" t="s">
        <v>59</v>
      </c>
      <c r="M719">
        <f>orders[[#This Row],[Ship Date]]-orders[[#This Row],[Order Date]]</f>
        <v>0</v>
      </c>
      <c r="N719">
        <f>WEEKNUM(orders[[#This Row],[Order Date]],2)</f>
        <v>5</v>
      </c>
      <c r="O719" t="str" cm="1">
        <f t="array" ref="O7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20" spans="1:15" x14ac:dyDescent="0.3">
      <c r="A720" t="s">
        <v>810</v>
      </c>
      <c r="B720" t="s">
        <v>51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24</v>
      </c>
      <c r="I720" t="s">
        <v>48</v>
      </c>
      <c r="J720">
        <v>4</v>
      </c>
      <c r="K720" t="s">
        <v>16</v>
      </c>
      <c r="L720" t="s">
        <v>59</v>
      </c>
      <c r="M720">
        <f>orders[[#This Row],[Ship Date]]-orders[[#This Row],[Order Date]]</f>
        <v>0</v>
      </c>
      <c r="N720">
        <f>WEEKNUM(orders[[#This Row],[Order Date]],2)</f>
        <v>5</v>
      </c>
      <c r="O720" t="str" cm="1">
        <f t="array" ref="O7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21" spans="1:15" x14ac:dyDescent="0.3">
      <c r="A721" t="s">
        <v>811</v>
      </c>
      <c r="B721" t="s">
        <v>132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20</v>
      </c>
      <c r="I721" t="s">
        <v>67</v>
      </c>
      <c r="J721">
        <v>5</v>
      </c>
      <c r="K721" t="s">
        <v>16</v>
      </c>
      <c r="L721" t="s">
        <v>100</v>
      </c>
      <c r="M721">
        <f>orders[[#This Row],[Ship Date]]-orders[[#This Row],[Order Date]]</f>
        <v>1</v>
      </c>
      <c r="N721">
        <f>WEEKNUM(orders[[#This Row],[Order Date]],2)</f>
        <v>5</v>
      </c>
      <c r="O721" t="str" cm="1">
        <f t="array" ref="O7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22" spans="1:15" x14ac:dyDescent="0.3">
      <c r="A722" t="s">
        <v>812</v>
      </c>
      <c r="B722" t="s">
        <v>41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20</v>
      </c>
      <c r="I722" t="s">
        <v>15</v>
      </c>
      <c r="J722">
        <v>5</v>
      </c>
      <c r="K722" t="s">
        <v>16</v>
      </c>
      <c r="L722" t="s">
        <v>198</v>
      </c>
      <c r="M722">
        <f>orders[[#This Row],[Ship Date]]-orders[[#This Row],[Order Date]]</f>
        <v>0</v>
      </c>
      <c r="N722">
        <f>WEEKNUM(orders[[#This Row],[Order Date]],2)</f>
        <v>5</v>
      </c>
      <c r="O722" t="str" cm="1">
        <f t="array" ref="O7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23" spans="1:15" x14ac:dyDescent="0.3">
      <c r="A723" t="s">
        <v>813</v>
      </c>
      <c r="B723" t="s">
        <v>13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24</v>
      </c>
      <c r="I723" t="s">
        <v>37</v>
      </c>
      <c r="J723">
        <v>4</v>
      </c>
      <c r="K723" t="s">
        <v>16</v>
      </c>
      <c r="L723" t="s">
        <v>426</v>
      </c>
      <c r="M723">
        <f>orders[[#This Row],[Ship Date]]-orders[[#This Row],[Order Date]]</f>
        <v>1</v>
      </c>
      <c r="N723">
        <f>WEEKNUM(orders[[#This Row],[Order Date]],2)</f>
        <v>5</v>
      </c>
      <c r="O723" t="str" cm="1">
        <f t="array" ref="O7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24" spans="1:15" x14ac:dyDescent="0.3">
      <c r="A724" t="s">
        <v>814</v>
      </c>
      <c r="B724" t="s">
        <v>34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20</v>
      </c>
      <c r="I724" t="s">
        <v>15</v>
      </c>
      <c r="J724">
        <v>4</v>
      </c>
      <c r="K724" t="s">
        <v>16</v>
      </c>
      <c r="L724" t="s">
        <v>71</v>
      </c>
      <c r="M724">
        <f>orders[[#This Row],[Ship Date]]-orders[[#This Row],[Order Date]]</f>
        <v>3</v>
      </c>
      <c r="N724">
        <f>WEEKNUM(orders[[#This Row],[Order Date]],2)</f>
        <v>5</v>
      </c>
      <c r="O724" t="str" cm="1">
        <f t="array" ref="O72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25" spans="1:15" x14ac:dyDescent="0.3">
      <c r="A725" t="s">
        <v>815</v>
      </c>
      <c r="B725" t="s">
        <v>143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20</v>
      </c>
      <c r="I725" t="s">
        <v>15</v>
      </c>
      <c r="J725">
        <v>5</v>
      </c>
      <c r="K725" t="s">
        <v>16</v>
      </c>
      <c r="L725" t="s">
        <v>74</v>
      </c>
      <c r="M725">
        <f>orders[[#This Row],[Ship Date]]-orders[[#This Row],[Order Date]]</f>
        <v>3</v>
      </c>
      <c r="N725">
        <f>WEEKNUM(orders[[#This Row],[Order Date]],2)</f>
        <v>5</v>
      </c>
      <c r="O725" t="str" cm="1">
        <f t="array" ref="O7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26" spans="1:15" x14ac:dyDescent="0.3">
      <c r="A726" t="s">
        <v>816</v>
      </c>
      <c r="B726" t="s">
        <v>66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20</v>
      </c>
      <c r="I726" t="s">
        <v>32</v>
      </c>
      <c r="J726">
        <v>2</v>
      </c>
      <c r="K726" t="s">
        <v>16</v>
      </c>
      <c r="L726" t="s">
        <v>79</v>
      </c>
      <c r="M726">
        <f>orders[[#This Row],[Ship Date]]-orders[[#This Row],[Order Date]]</f>
        <v>0</v>
      </c>
      <c r="N726">
        <f>WEEKNUM(orders[[#This Row],[Order Date]],2)</f>
        <v>5</v>
      </c>
      <c r="O726" t="str" cm="1">
        <f t="array" ref="O7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27" spans="1:15" x14ac:dyDescent="0.3">
      <c r="A727" t="s">
        <v>817</v>
      </c>
      <c r="B727" t="s">
        <v>36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24</v>
      </c>
      <c r="I727" t="s">
        <v>48</v>
      </c>
      <c r="J727">
        <v>4</v>
      </c>
      <c r="K727" t="s">
        <v>16</v>
      </c>
      <c r="L727" t="s">
        <v>112</v>
      </c>
      <c r="M727">
        <f>orders[[#This Row],[Ship Date]]-orders[[#This Row],[Order Date]]</f>
        <v>2</v>
      </c>
      <c r="N727">
        <f>WEEKNUM(orders[[#This Row],[Order Date]],2)</f>
        <v>5</v>
      </c>
      <c r="O727" t="str" cm="1">
        <f t="array" ref="O7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28" spans="1:15" x14ac:dyDescent="0.3">
      <c r="A728" t="s">
        <v>818</v>
      </c>
      <c r="B728" t="s">
        <v>19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86</v>
      </c>
      <c r="I728" t="s">
        <v>48</v>
      </c>
      <c r="J728">
        <v>2</v>
      </c>
      <c r="K728" t="s">
        <v>16</v>
      </c>
      <c r="L728" t="s">
        <v>584</v>
      </c>
      <c r="M728">
        <f>orders[[#This Row],[Ship Date]]-orders[[#This Row],[Order Date]]</f>
        <v>2</v>
      </c>
      <c r="N728">
        <f>WEEKNUM(orders[[#This Row],[Order Date]],2)</f>
        <v>5</v>
      </c>
      <c r="O728" t="str" cm="1">
        <f t="array" ref="O728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729" spans="1:15" x14ac:dyDescent="0.3">
      <c r="A729" t="s">
        <v>819</v>
      </c>
      <c r="B729" t="s">
        <v>36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24</v>
      </c>
      <c r="I729" t="s">
        <v>15</v>
      </c>
      <c r="J729">
        <v>5</v>
      </c>
      <c r="K729" t="s">
        <v>16</v>
      </c>
      <c r="L729" t="s">
        <v>30</v>
      </c>
      <c r="M729">
        <f>orders[[#This Row],[Ship Date]]-orders[[#This Row],[Order Date]]</f>
        <v>2</v>
      </c>
      <c r="N729">
        <f>WEEKNUM(orders[[#This Row],[Order Date]],2)</f>
        <v>5</v>
      </c>
      <c r="O729" t="str" cm="1">
        <f t="array" ref="O7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0" spans="1:15" x14ac:dyDescent="0.3">
      <c r="A730" t="s">
        <v>820</v>
      </c>
      <c r="B730" t="s">
        <v>39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24</v>
      </c>
      <c r="I730" t="s">
        <v>37</v>
      </c>
      <c r="J730">
        <v>2</v>
      </c>
      <c r="K730" t="s">
        <v>16</v>
      </c>
      <c r="L730" t="s">
        <v>30</v>
      </c>
      <c r="M730">
        <f>orders[[#This Row],[Ship Date]]-orders[[#This Row],[Order Date]]</f>
        <v>1</v>
      </c>
      <c r="N730">
        <f>WEEKNUM(orders[[#This Row],[Order Date]],2)</f>
        <v>5</v>
      </c>
      <c r="O730" t="str" cm="1">
        <f t="array" ref="O7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1" spans="1:15" x14ac:dyDescent="0.3">
      <c r="A731" t="s">
        <v>821</v>
      </c>
      <c r="B731" t="s">
        <v>19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24</v>
      </c>
      <c r="I731" t="s">
        <v>32</v>
      </c>
      <c r="J731">
        <v>5</v>
      </c>
      <c r="K731" t="s">
        <v>16</v>
      </c>
      <c r="L731" t="s">
        <v>30</v>
      </c>
      <c r="M731">
        <f>orders[[#This Row],[Ship Date]]-orders[[#This Row],[Order Date]]</f>
        <v>2</v>
      </c>
      <c r="N731">
        <f>WEEKNUM(orders[[#This Row],[Order Date]],2)</f>
        <v>5</v>
      </c>
      <c r="O731" t="str" cm="1">
        <f t="array" ref="O7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2" spans="1:15" x14ac:dyDescent="0.3">
      <c r="A732" t="s">
        <v>822</v>
      </c>
      <c r="B732" t="s">
        <v>51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24</v>
      </c>
      <c r="I732" t="s">
        <v>48</v>
      </c>
      <c r="J732">
        <v>5</v>
      </c>
      <c r="K732" t="s">
        <v>16</v>
      </c>
      <c r="L732" t="s">
        <v>30</v>
      </c>
      <c r="M732">
        <f>orders[[#This Row],[Ship Date]]-orders[[#This Row],[Order Date]]</f>
        <v>3</v>
      </c>
      <c r="N732">
        <f>WEEKNUM(orders[[#This Row],[Order Date]],2)</f>
        <v>5</v>
      </c>
      <c r="O732" t="str" cm="1">
        <f t="array" ref="O7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3" spans="1:15" x14ac:dyDescent="0.3">
      <c r="A733" t="s">
        <v>823</v>
      </c>
      <c r="B733" t="s">
        <v>23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86</v>
      </c>
      <c r="I733" t="s">
        <v>37</v>
      </c>
      <c r="J733">
        <v>5</v>
      </c>
      <c r="K733" t="s">
        <v>16</v>
      </c>
      <c r="L733" t="s">
        <v>30</v>
      </c>
      <c r="M733">
        <f>orders[[#This Row],[Ship Date]]-orders[[#This Row],[Order Date]]</f>
        <v>1</v>
      </c>
      <c r="N733">
        <f>WEEKNUM(orders[[#This Row],[Order Date]],2)</f>
        <v>5</v>
      </c>
      <c r="O733" t="str" cm="1">
        <f t="array" ref="O73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734" spans="1:15" x14ac:dyDescent="0.3">
      <c r="A734" t="s">
        <v>824</v>
      </c>
      <c r="B734" t="s">
        <v>64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24</v>
      </c>
      <c r="I734" t="s">
        <v>37</v>
      </c>
      <c r="J734">
        <v>4</v>
      </c>
      <c r="K734" t="s">
        <v>16</v>
      </c>
      <c r="L734" t="s">
        <v>155</v>
      </c>
      <c r="M734">
        <f>orders[[#This Row],[Ship Date]]-orders[[#This Row],[Order Date]]</f>
        <v>3</v>
      </c>
      <c r="N734">
        <f>WEEKNUM(orders[[#This Row],[Order Date]],2)</f>
        <v>5</v>
      </c>
      <c r="O734" t="str" cm="1">
        <f t="array" ref="O7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5" spans="1:15" x14ac:dyDescent="0.3">
      <c r="A735" t="s">
        <v>825</v>
      </c>
      <c r="B735" t="s">
        <v>39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24</v>
      </c>
      <c r="I735" t="s">
        <v>15</v>
      </c>
      <c r="J735">
        <v>3</v>
      </c>
      <c r="K735" t="s">
        <v>16</v>
      </c>
      <c r="L735" t="s">
        <v>52</v>
      </c>
      <c r="M735">
        <f>orders[[#This Row],[Ship Date]]-orders[[#This Row],[Order Date]]</f>
        <v>0</v>
      </c>
      <c r="N735">
        <f>WEEKNUM(orders[[#This Row],[Order Date]],2)</f>
        <v>5</v>
      </c>
      <c r="O735" t="str" cm="1">
        <f t="array" ref="O7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6" spans="1:15" x14ac:dyDescent="0.3">
      <c r="A736" t="s">
        <v>826</v>
      </c>
      <c r="B736" t="s">
        <v>43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24</v>
      </c>
      <c r="I736" t="s">
        <v>37</v>
      </c>
      <c r="J736">
        <v>4</v>
      </c>
      <c r="K736" t="s">
        <v>16</v>
      </c>
      <c r="L736" t="s">
        <v>52</v>
      </c>
      <c r="M736">
        <f>orders[[#This Row],[Ship Date]]-orders[[#This Row],[Order Date]]</f>
        <v>1</v>
      </c>
      <c r="N736">
        <f>WEEKNUM(orders[[#This Row],[Order Date]],2)</f>
        <v>5</v>
      </c>
      <c r="O736" t="str" cm="1">
        <f t="array" ref="O7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7" spans="1:15" x14ac:dyDescent="0.3">
      <c r="A737" t="s">
        <v>827</v>
      </c>
      <c r="B737" t="s">
        <v>41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14</v>
      </c>
      <c r="I737" t="s">
        <v>15</v>
      </c>
      <c r="J737">
        <v>3</v>
      </c>
      <c r="K737" t="s">
        <v>16</v>
      </c>
      <c r="L737" t="s">
        <v>52</v>
      </c>
      <c r="M737">
        <f>orders[[#This Row],[Ship Date]]-orders[[#This Row],[Order Date]]</f>
        <v>3</v>
      </c>
      <c r="N737">
        <f>WEEKNUM(orders[[#This Row],[Order Date]],2)</f>
        <v>5</v>
      </c>
      <c r="O737" t="str" cm="1">
        <f t="array" ref="O73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738" spans="1:15" x14ac:dyDescent="0.3">
      <c r="A738" t="s">
        <v>828</v>
      </c>
      <c r="B738" t="s">
        <v>51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24</v>
      </c>
      <c r="I738" t="s">
        <v>15</v>
      </c>
      <c r="J738">
        <v>1</v>
      </c>
      <c r="K738" t="s">
        <v>16</v>
      </c>
      <c r="L738" t="s">
        <v>52</v>
      </c>
      <c r="M738">
        <f>orders[[#This Row],[Ship Date]]-orders[[#This Row],[Order Date]]</f>
        <v>0</v>
      </c>
      <c r="N738">
        <f>WEEKNUM(orders[[#This Row],[Order Date]],2)</f>
        <v>5</v>
      </c>
      <c r="O738" t="str" cm="1">
        <f t="array" ref="O7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39" spans="1:15" x14ac:dyDescent="0.3">
      <c r="A739" t="s">
        <v>829</v>
      </c>
      <c r="B739" t="s">
        <v>41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14</v>
      </c>
      <c r="I739" t="s">
        <v>15</v>
      </c>
      <c r="J739">
        <v>3</v>
      </c>
      <c r="K739" t="s">
        <v>16</v>
      </c>
      <c r="L739" t="s">
        <v>59</v>
      </c>
      <c r="M739">
        <f>orders[[#This Row],[Ship Date]]-orders[[#This Row],[Order Date]]</f>
        <v>1</v>
      </c>
      <c r="N739">
        <f>WEEKNUM(orders[[#This Row],[Order Date]],2)</f>
        <v>5</v>
      </c>
      <c r="O739" t="str" cm="1">
        <f t="array" ref="O73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740" spans="1:15" x14ac:dyDescent="0.3">
      <c r="A740" t="s">
        <v>830</v>
      </c>
      <c r="B740" t="s">
        <v>36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24</v>
      </c>
      <c r="I740" t="s">
        <v>15</v>
      </c>
      <c r="J740">
        <v>4</v>
      </c>
      <c r="K740" t="s">
        <v>16</v>
      </c>
      <c r="L740" t="s">
        <v>59</v>
      </c>
      <c r="M740">
        <f>orders[[#This Row],[Ship Date]]-orders[[#This Row],[Order Date]]</f>
        <v>1</v>
      </c>
      <c r="N740">
        <f>WEEKNUM(orders[[#This Row],[Order Date]],2)</f>
        <v>5</v>
      </c>
      <c r="O740" t="str" cm="1">
        <f t="array" ref="O7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41" spans="1:15" x14ac:dyDescent="0.3">
      <c r="A741" t="s">
        <v>831</v>
      </c>
      <c r="B741" t="s">
        <v>36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24</v>
      </c>
      <c r="I741" t="s">
        <v>67</v>
      </c>
      <c r="J741">
        <v>4</v>
      </c>
      <c r="K741" t="s">
        <v>16</v>
      </c>
      <c r="L741" t="s">
        <v>59</v>
      </c>
      <c r="M741">
        <f>orders[[#This Row],[Ship Date]]-orders[[#This Row],[Order Date]]</f>
        <v>3</v>
      </c>
      <c r="N741">
        <f>WEEKNUM(orders[[#This Row],[Order Date]],2)</f>
        <v>5</v>
      </c>
      <c r="O741" t="str" cm="1">
        <f t="array" ref="O7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42" spans="1:15" x14ac:dyDescent="0.3">
      <c r="A742" t="s">
        <v>832</v>
      </c>
      <c r="B742" t="s">
        <v>27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24</v>
      </c>
      <c r="I742" t="s">
        <v>37</v>
      </c>
      <c r="J742">
        <v>5</v>
      </c>
      <c r="K742" t="s">
        <v>16</v>
      </c>
      <c r="L742" t="s">
        <v>74</v>
      </c>
      <c r="M742">
        <f>orders[[#This Row],[Ship Date]]-orders[[#This Row],[Order Date]]</f>
        <v>4</v>
      </c>
      <c r="N742">
        <f>WEEKNUM(orders[[#This Row],[Order Date]],2)</f>
        <v>5</v>
      </c>
      <c r="O742" t="str" cm="1">
        <f t="array" ref="O74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43" spans="1:15" x14ac:dyDescent="0.3">
      <c r="A743" t="s">
        <v>833</v>
      </c>
      <c r="B743" t="s">
        <v>23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20</v>
      </c>
      <c r="I743" t="s">
        <v>15</v>
      </c>
      <c r="J743">
        <v>4</v>
      </c>
      <c r="K743" t="s">
        <v>16</v>
      </c>
      <c r="L743" t="s">
        <v>107</v>
      </c>
      <c r="M743">
        <f>orders[[#This Row],[Ship Date]]-orders[[#This Row],[Order Date]]</f>
        <v>1</v>
      </c>
      <c r="N743">
        <f>WEEKNUM(orders[[#This Row],[Order Date]],2)</f>
        <v>5</v>
      </c>
      <c r="O743" t="str" cm="1">
        <f t="array" ref="O7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44" spans="1:15" x14ac:dyDescent="0.3">
      <c r="A744" t="s">
        <v>834</v>
      </c>
      <c r="B744" t="s">
        <v>36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24</v>
      </c>
      <c r="I744" t="s">
        <v>37</v>
      </c>
      <c r="J744">
        <v>5</v>
      </c>
      <c r="K744" t="s">
        <v>16</v>
      </c>
      <c r="L744" t="s">
        <v>112</v>
      </c>
      <c r="M744">
        <f>orders[[#This Row],[Ship Date]]-orders[[#This Row],[Order Date]]</f>
        <v>1</v>
      </c>
      <c r="N744">
        <f>WEEKNUM(orders[[#This Row],[Order Date]],2)</f>
        <v>5</v>
      </c>
      <c r="O744" t="str" cm="1">
        <f t="array" ref="O7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45" spans="1:15" x14ac:dyDescent="0.3">
      <c r="A745" t="s">
        <v>835</v>
      </c>
      <c r="B745" t="s">
        <v>27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14</v>
      </c>
      <c r="I745" t="s">
        <v>67</v>
      </c>
      <c r="J745">
        <v>5</v>
      </c>
      <c r="K745" t="s">
        <v>16</v>
      </c>
      <c r="L745" t="s">
        <v>112</v>
      </c>
      <c r="M745">
        <f>orders[[#This Row],[Ship Date]]-orders[[#This Row],[Order Date]]</f>
        <v>1</v>
      </c>
      <c r="N745">
        <f>WEEKNUM(orders[[#This Row],[Order Date]],2)</f>
        <v>5</v>
      </c>
      <c r="O745" t="str" cm="1">
        <f t="array" ref="O74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746" spans="1:15" x14ac:dyDescent="0.3">
      <c r="A746" t="s">
        <v>836</v>
      </c>
      <c r="B746" t="s">
        <v>29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24</v>
      </c>
      <c r="I746" t="s">
        <v>15</v>
      </c>
      <c r="J746">
        <v>3</v>
      </c>
      <c r="K746" t="s">
        <v>16</v>
      </c>
      <c r="L746" t="s">
        <v>112</v>
      </c>
      <c r="M746">
        <f>orders[[#This Row],[Ship Date]]-orders[[#This Row],[Order Date]]</f>
        <v>8</v>
      </c>
      <c r="N746">
        <f>WEEKNUM(orders[[#This Row],[Order Date]],2)</f>
        <v>5</v>
      </c>
      <c r="O746" t="str" cm="1">
        <f t="array" ref="O7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47" spans="1:15" x14ac:dyDescent="0.3">
      <c r="A747" t="s">
        <v>837</v>
      </c>
      <c r="B747" t="s">
        <v>51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24</v>
      </c>
      <c r="I747" t="s">
        <v>15</v>
      </c>
      <c r="J747">
        <v>4</v>
      </c>
      <c r="K747" t="s">
        <v>16</v>
      </c>
      <c r="L747" t="s">
        <v>21</v>
      </c>
      <c r="M747">
        <f>orders[[#This Row],[Ship Date]]-orders[[#This Row],[Order Date]]</f>
        <v>2</v>
      </c>
      <c r="N747">
        <f>WEEKNUM(orders[[#This Row],[Order Date]],2)</f>
        <v>5</v>
      </c>
      <c r="O747" t="str" cm="1">
        <f t="array" ref="O7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48" spans="1:15" x14ac:dyDescent="0.3">
      <c r="A748" t="s">
        <v>838</v>
      </c>
      <c r="B748" t="s">
        <v>36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20</v>
      </c>
      <c r="I748" t="s">
        <v>32</v>
      </c>
      <c r="J748">
        <v>5</v>
      </c>
      <c r="K748" t="s">
        <v>16</v>
      </c>
      <c r="L748" t="s">
        <v>144</v>
      </c>
      <c r="M748">
        <f>orders[[#This Row],[Ship Date]]-orders[[#This Row],[Order Date]]</f>
        <v>4</v>
      </c>
      <c r="N748">
        <f>WEEKNUM(orders[[#This Row],[Order Date]],2)</f>
        <v>5</v>
      </c>
      <c r="O748" t="str" cm="1">
        <f t="array" ref="O7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49" spans="1:15" x14ac:dyDescent="0.3">
      <c r="A749" t="s">
        <v>839</v>
      </c>
      <c r="B749" t="s">
        <v>41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24</v>
      </c>
      <c r="I749" t="s">
        <v>15</v>
      </c>
      <c r="J749">
        <v>2</v>
      </c>
      <c r="K749" t="s">
        <v>16</v>
      </c>
      <c r="L749" t="s">
        <v>144</v>
      </c>
      <c r="M749">
        <f>orders[[#This Row],[Ship Date]]-orders[[#This Row],[Order Date]]</f>
        <v>3</v>
      </c>
      <c r="N749">
        <f>WEEKNUM(orders[[#This Row],[Order Date]],2)</f>
        <v>5</v>
      </c>
      <c r="O749" t="str" cm="1">
        <f t="array" ref="O7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50" spans="1:15" x14ac:dyDescent="0.3">
      <c r="A750" t="s">
        <v>840</v>
      </c>
      <c r="B750" t="s">
        <v>19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20</v>
      </c>
      <c r="I750" t="s">
        <v>32</v>
      </c>
      <c r="J750">
        <v>4</v>
      </c>
      <c r="K750" t="s">
        <v>16</v>
      </c>
      <c r="L750" t="s">
        <v>30</v>
      </c>
      <c r="M750">
        <f>orders[[#This Row],[Ship Date]]-orders[[#This Row],[Order Date]]</f>
        <v>2</v>
      </c>
      <c r="N750">
        <f>WEEKNUM(orders[[#This Row],[Order Date]],2)</f>
        <v>5</v>
      </c>
      <c r="O750" t="str" cm="1">
        <f t="array" ref="O7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51" spans="1:15" x14ac:dyDescent="0.3">
      <c r="A751" t="s">
        <v>841</v>
      </c>
      <c r="B751" t="s">
        <v>36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14</v>
      </c>
      <c r="I751" t="s">
        <v>67</v>
      </c>
      <c r="J751">
        <v>2</v>
      </c>
      <c r="K751" t="s">
        <v>16</v>
      </c>
      <c r="L751" t="s">
        <v>30</v>
      </c>
      <c r="M751">
        <f>orders[[#This Row],[Ship Date]]-orders[[#This Row],[Order Date]]</f>
        <v>1</v>
      </c>
      <c r="N751">
        <f>WEEKNUM(orders[[#This Row],[Order Date]],2)</f>
        <v>5</v>
      </c>
      <c r="O751" t="str" cm="1">
        <f t="array" ref="O75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752" spans="1:15" x14ac:dyDescent="0.3">
      <c r="A752" t="s">
        <v>842</v>
      </c>
      <c r="B752" t="s">
        <v>41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20</v>
      </c>
      <c r="I752" t="s">
        <v>15</v>
      </c>
      <c r="J752">
        <v>3</v>
      </c>
      <c r="K752" t="s">
        <v>16</v>
      </c>
      <c r="L752" t="s">
        <v>30</v>
      </c>
      <c r="M752">
        <f>orders[[#This Row],[Ship Date]]-orders[[#This Row],[Order Date]]</f>
        <v>2</v>
      </c>
      <c r="N752">
        <f>WEEKNUM(orders[[#This Row],[Order Date]],2)</f>
        <v>5</v>
      </c>
      <c r="O752" t="str" cm="1">
        <f t="array" ref="O7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53" spans="1:15" x14ac:dyDescent="0.3">
      <c r="A753" t="s">
        <v>843</v>
      </c>
      <c r="B753" t="s">
        <v>36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24</v>
      </c>
      <c r="I753" t="s">
        <v>15</v>
      </c>
      <c r="J753">
        <v>3</v>
      </c>
      <c r="K753" t="s">
        <v>16</v>
      </c>
      <c r="L753" t="s">
        <v>30</v>
      </c>
      <c r="M753">
        <f>orders[[#This Row],[Ship Date]]-orders[[#This Row],[Order Date]]</f>
        <v>6</v>
      </c>
      <c r="N753">
        <f>WEEKNUM(orders[[#This Row],[Order Date]],2)</f>
        <v>5</v>
      </c>
      <c r="O753" t="str" cm="1">
        <f t="array" ref="O7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54" spans="1:15" x14ac:dyDescent="0.3">
      <c r="A754" t="s">
        <v>844</v>
      </c>
      <c r="B754" t="s">
        <v>41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20</v>
      </c>
      <c r="I754" t="s">
        <v>37</v>
      </c>
      <c r="J754">
        <v>3</v>
      </c>
      <c r="K754" t="s">
        <v>16</v>
      </c>
      <c r="L754" t="s">
        <v>30</v>
      </c>
      <c r="M754">
        <f>orders[[#This Row],[Ship Date]]-orders[[#This Row],[Order Date]]</f>
        <v>3</v>
      </c>
      <c r="N754">
        <f>WEEKNUM(orders[[#This Row],[Order Date]],2)</f>
        <v>5</v>
      </c>
      <c r="O754" t="str" cm="1">
        <f t="array" ref="O7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55" spans="1:15" x14ac:dyDescent="0.3">
      <c r="A755" t="s">
        <v>845</v>
      </c>
      <c r="B755" t="s">
        <v>120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20</v>
      </c>
      <c r="I755" t="s">
        <v>15</v>
      </c>
      <c r="J755">
        <v>4</v>
      </c>
      <c r="K755" t="s">
        <v>16</v>
      </c>
      <c r="L755" t="s">
        <v>30</v>
      </c>
      <c r="M755">
        <f>orders[[#This Row],[Ship Date]]-orders[[#This Row],[Order Date]]</f>
        <v>1</v>
      </c>
      <c r="N755">
        <f>WEEKNUM(orders[[#This Row],[Order Date]],2)</f>
        <v>5</v>
      </c>
      <c r="O755" t="str" cm="1">
        <f t="array" ref="O7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56" spans="1:15" x14ac:dyDescent="0.3">
      <c r="A756" t="s">
        <v>846</v>
      </c>
      <c r="B756" t="s">
        <v>51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24</v>
      </c>
      <c r="I756" t="s">
        <v>37</v>
      </c>
      <c r="J756">
        <v>4</v>
      </c>
      <c r="K756" t="s">
        <v>16</v>
      </c>
      <c r="L756" t="s">
        <v>56</v>
      </c>
      <c r="M756">
        <f>orders[[#This Row],[Ship Date]]-orders[[#This Row],[Order Date]]</f>
        <v>1</v>
      </c>
      <c r="N756">
        <f>WEEKNUM(orders[[#This Row],[Order Date]],2)</f>
        <v>5</v>
      </c>
      <c r="O756" t="str" cm="1">
        <f t="array" ref="O7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57" spans="1:15" x14ac:dyDescent="0.3">
      <c r="A757" t="s">
        <v>847</v>
      </c>
      <c r="B757" t="s">
        <v>23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20</v>
      </c>
      <c r="I757" t="s">
        <v>67</v>
      </c>
      <c r="J757">
        <v>4</v>
      </c>
      <c r="K757" t="s">
        <v>16</v>
      </c>
      <c r="L757" t="s">
        <v>105</v>
      </c>
      <c r="M757">
        <f>orders[[#This Row],[Ship Date]]-orders[[#This Row],[Order Date]]</f>
        <v>2</v>
      </c>
      <c r="N757">
        <f>WEEKNUM(orders[[#This Row],[Order Date]],2)</f>
        <v>5</v>
      </c>
      <c r="O757" t="str" cm="1">
        <f t="array" ref="O7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58" spans="1:15" x14ac:dyDescent="0.3">
      <c r="A758" t="s">
        <v>848</v>
      </c>
      <c r="B758" t="s">
        <v>34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24</v>
      </c>
      <c r="I758" t="s">
        <v>15</v>
      </c>
      <c r="J758">
        <v>3</v>
      </c>
      <c r="K758" t="s">
        <v>16</v>
      </c>
      <c r="L758" t="s">
        <v>107</v>
      </c>
      <c r="M758">
        <f>orders[[#This Row],[Ship Date]]-orders[[#This Row],[Order Date]]</f>
        <v>1</v>
      </c>
      <c r="N758">
        <f>WEEKNUM(orders[[#This Row],[Order Date]],2)</f>
        <v>5</v>
      </c>
      <c r="O758" t="str" cm="1">
        <f t="array" ref="O7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59" spans="1:15" x14ac:dyDescent="0.3">
      <c r="A759" t="s">
        <v>849</v>
      </c>
      <c r="B759" t="s">
        <v>36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24</v>
      </c>
      <c r="I759" t="s">
        <v>15</v>
      </c>
      <c r="J759">
        <v>4</v>
      </c>
      <c r="K759" t="s">
        <v>16</v>
      </c>
      <c r="L759" t="s">
        <v>79</v>
      </c>
      <c r="M759">
        <f>orders[[#This Row],[Ship Date]]-orders[[#This Row],[Order Date]]</f>
        <v>3</v>
      </c>
      <c r="N759">
        <f>WEEKNUM(orders[[#This Row],[Order Date]],2)</f>
        <v>5</v>
      </c>
      <c r="O759" t="str" cm="1">
        <f t="array" ref="O7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60" spans="1:15" x14ac:dyDescent="0.3">
      <c r="A760" t="s">
        <v>850</v>
      </c>
      <c r="B760" t="s">
        <v>19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24</v>
      </c>
      <c r="I760" t="s">
        <v>15</v>
      </c>
      <c r="J760">
        <v>3</v>
      </c>
      <c r="K760" t="s">
        <v>16</v>
      </c>
      <c r="L760" t="s">
        <v>112</v>
      </c>
      <c r="M760">
        <f>orders[[#This Row],[Ship Date]]-orders[[#This Row],[Order Date]]</f>
        <v>5</v>
      </c>
      <c r="N760">
        <f>WEEKNUM(orders[[#This Row],[Order Date]],2)</f>
        <v>5</v>
      </c>
      <c r="O760" t="str" cm="1">
        <f t="array" ref="O7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61" spans="1:15" x14ac:dyDescent="0.3">
      <c r="A761" t="s">
        <v>851</v>
      </c>
      <c r="B761" t="s">
        <v>36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20</v>
      </c>
      <c r="I761" t="s">
        <v>32</v>
      </c>
      <c r="J761">
        <v>2</v>
      </c>
      <c r="K761" t="s">
        <v>16</v>
      </c>
      <c r="L761" t="s">
        <v>25</v>
      </c>
      <c r="M761">
        <f>orders[[#This Row],[Ship Date]]-orders[[#This Row],[Order Date]]</f>
        <v>4</v>
      </c>
      <c r="N761">
        <f>WEEKNUM(orders[[#This Row],[Order Date]],2)</f>
        <v>5</v>
      </c>
      <c r="O761" t="str" cm="1">
        <f t="array" ref="O7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62" spans="1:15" x14ac:dyDescent="0.3">
      <c r="A762" t="s">
        <v>852</v>
      </c>
      <c r="B762" t="s">
        <v>23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24</v>
      </c>
      <c r="I762" t="s">
        <v>15</v>
      </c>
      <c r="J762">
        <v>3</v>
      </c>
      <c r="K762" t="s">
        <v>16</v>
      </c>
      <c r="L762" t="s">
        <v>25</v>
      </c>
      <c r="M762">
        <f>orders[[#This Row],[Ship Date]]-orders[[#This Row],[Order Date]]</f>
        <v>2</v>
      </c>
      <c r="N762">
        <f>WEEKNUM(orders[[#This Row],[Order Date]],2)</f>
        <v>5</v>
      </c>
      <c r="O762" t="str" cm="1">
        <f t="array" ref="O7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63" spans="1:15" x14ac:dyDescent="0.3">
      <c r="A763" t="s">
        <v>853</v>
      </c>
      <c r="B763" t="s">
        <v>51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20</v>
      </c>
      <c r="I763" t="s">
        <v>48</v>
      </c>
      <c r="J763">
        <v>5</v>
      </c>
      <c r="K763" t="s">
        <v>16</v>
      </c>
      <c r="L763" t="s">
        <v>144</v>
      </c>
      <c r="M763">
        <f>orders[[#This Row],[Ship Date]]-orders[[#This Row],[Order Date]]</f>
        <v>4</v>
      </c>
      <c r="N763">
        <f>WEEKNUM(orders[[#This Row],[Order Date]],2)</f>
        <v>5</v>
      </c>
      <c r="O763" t="str" cm="1">
        <f t="array" ref="O7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64" spans="1:15" x14ac:dyDescent="0.3">
      <c r="A764" t="s">
        <v>854</v>
      </c>
      <c r="B764" t="s">
        <v>29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20</v>
      </c>
      <c r="I764" t="s">
        <v>37</v>
      </c>
      <c r="J764">
        <v>3</v>
      </c>
      <c r="K764" t="s">
        <v>16</v>
      </c>
      <c r="L764" t="s">
        <v>30</v>
      </c>
      <c r="M764">
        <f>orders[[#This Row],[Ship Date]]-orders[[#This Row],[Order Date]]</f>
        <v>2</v>
      </c>
      <c r="N764">
        <f>WEEKNUM(orders[[#This Row],[Order Date]],2)</f>
        <v>5</v>
      </c>
      <c r="O764" t="str" cm="1">
        <f t="array" ref="O7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65" spans="1:15" x14ac:dyDescent="0.3">
      <c r="A765" t="s">
        <v>855</v>
      </c>
      <c r="B765" t="s">
        <v>39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24</v>
      </c>
      <c r="I765" t="s">
        <v>15</v>
      </c>
      <c r="J765">
        <v>5</v>
      </c>
      <c r="K765" t="s">
        <v>16</v>
      </c>
      <c r="L765" t="s">
        <v>30</v>
      </c>
      <c r="M765">
        <f>orders[[#This Row],[Ship Date]]-orders[[#This Row],[Order Date]]</f>
        <v>3</v>
      </c>
      <c r="N765">
        <f>WEEKNUM(orders[[#This Row],[Order Date]],2)</f>
        <v>5</v>
      </c>
      <c r="O765" t="str" cm="1">
        <f t="array" ref="O7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66" spans="1:15" x14ac:dyDescent="0.3">
      <c r="A766" t="s">
        <v>856</v>
      </c>
      <c r="B766" t="s">
        <v>36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24</v>
      </c>
      <c r="I766" t="s">
        <v>15</v>
      </c>
      <c r="J766">
        <v>5</v>
      </c>
      <c r="K766" t="s">
        <v>16</v>
      </c>
      <c r="L766" t="s">
        <v>30</v>
      </c>
      <c r="M766">
        <f>orders[[#This Row],[Ship Date]]-orders[[#This Row],[Order Date]]</f>
        <v>9</v>
      </c>
      <c r="N766">
        <f>WEEKNUM(orders[[#This Row],[Order Date]],2)</f>
        <v>5</v>
      </c>
      <c r="O766" t="str" cm="1">
        <f t="array" ref="O7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67" spans="1:15" x14ac:dyDescent="0.3">
      <c r="A767" t="s">
        <v>857</v>
      </c>
      <c r="B767" t="s">
        <v>19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20</v>
      </c>
      <c r="I767" t="s">
        <v>15</v>
      </c>
      <c r="J767">
        <v>5</v>
      </c>
      <c r="K767" t="s">
        <v>16</v>
      </c>
      <c r="L767" t="s">
        <v>30</v>
      </c>
      <c r="M767">
        <f>orders[[#This Row],[Ship Date]]-orders[[#This Row],[Order Date]]</f>
        <v>1</v>
      </c>
      <c r="N767">
        <f>WEEKNUM(orders[[#This Row],[Order Date]],2)</f>
        <v>5</v>
      </c>
      <c r="O767" t="str" cm="1">
        <f t="array" ref="O7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68" spans="1:15" x14ac:dyDescent="0.3">
      <c r="A768" t="s">
        <v>858</v>
      </c>
      <c r="B768" t="s">
        <v>41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20</v>
      </c>
      <c r="I768" t="s">
        <v>32</v>
      </c>
      <c r="J768">
        <v>4</v>
      </c>
      <c r="K768" t="s">
        <v>16</v>
      </c>
      <c r="L768" t="s">
        <v>30</v>
      </c>
      <c r="M768">
        <f>orders[[#This Row],[Ship Date]]-orders[[#This Row],[Order Date]]</f>
        <v>14</v>
      </c>
      <c r="N768">
        <f>WEEKNUM(orders[[#This Row],[Order Date]],2)</f>
        <v>5</v>
      </c>
      <c r="O768" t="str" cm="1">
        <f t="array" ref="O7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69" spans="1:15" x14ac:dyDescent="0.3">
      <c r="A769" t="s">
        <v>859</v>
      </c>
      <c r="B769" t="s">
        <v>36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20</v>
      </c>
      <c r="I769" t="s">
        <v>67</v>
      </c>
      <c r="J769">
        <v>5</v>
      </c>
      <c r="K769" t="s">
        <v>16</v>
      </c>
      <c r="L769" t="s">
        <v>30</v>
      </c>
      <c r="M769">
        <f>orders[[#This Row],[Ship Date]]-orders[[#This Row],[Order Date]]</f>
        <v>2</v>
      </c>
      <c r="N769">
        <f>WEEKNUM(orders[[#This Row],[Order Date]],2)</f>
        <v>5</v>
      </c>
      <c r="O769" t="str" cm="1">
        <f t="array" ref="O76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70" spans="1:15" x14ac:dyDescent="0.3">
      <c r="A770" t="s">
        <v>860</v>
      </c>
      <c r="B770" t="s">
        <v>29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24</v>
      </c>
      <c r="I770" t="s">
        <v>15</v>
      </c>
      <c r="J770">
        <v>5</v>
      </c>
      <c r="K770" t="s">
        <v>16</v>
      </c>
      <c r="L770" t="s">
        <v>30</v>
      </c>
      <c r="M770">
        <f>orders[[#This Row],[Ship Date]]-orders[[#This Row],[Order Date]]</f>
        <v>1</v>
      </c>
      <c r="N770">
        <f>WEEKNUM(orders[[#This Row],[Order Date]],2)</f>
        <v>5</v>
      </c>
      <c r="O770" t="str" cm="1">
        <f t="array" ref="O7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71" spans="1:15" x14ac:dyDescent="0.3">
      <c r="A771" t="s">
        <v>861</v>
      </c>
      <c r="B771" t="s">
        <v>66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24</v>
      </c>
      <c r="I771" t="s">
        <v>15</v>
      </c>
      <c r="J771">
        <v>4</v>
      </c>
      <c r="K771" t="s">
        <v>16</v>
      </c>
      <c r="L771" t="s">
        <v>30</v>
      </c>
      <c r="M771">
        <f>orders[[#This Row],[Ship Date]]-orders[[#This Row],[Order Date]]</f>
        <v>2</v>
      </c>
      <c r="N771">
        <f>WEEKNUM(orders[[#This Row],[Order Date]],2)</f>
        <v>5</v>
      </c>
      <c r="O771" t="str" cm="1">
        <f t="array" ref="O7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72" spans="1:15" x14ac:dyDescent="0.3">
      <c r="A772" t="s">
        <v>862</v>
      </c>
      <c r="B772" t="s">
        <v>43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24</v>
      </c>
      <c r="I772" t="s">
        <v>32</v>
      </c>
      <c r="J772">
        <v>4</v>
      </c>
      <c r="K772" t="s">
        <v>16</v>
      </c>
      <c r="L772" t="s">
        <v>30</v>
      </c>
      <c r="M772">
        <f>orders[[#This Row],[Ship Date]]-orders[[#This Row],[Order Date]]</f>
        <v>9</v>
      </c>
      <c r="N772">
        <f>WEEKNUM(orders[[#This Row],[Order Date]],2)</f>
        <v>5</v>
      </c>
      <c r="O772" t="str" cm="1">
        <f t="array" ref="O7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73" spans="1:15" x14ac:dyDescent="0.3">
      <c r="A773" t="s">
        <v>863</v>
      </c>
      <c r="B773" t="s">
        <v>29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20</v>
      </c>
      <c r="I773" t="s">
        <v>32</v>
      </c>
      <c r="J773">
        <v>3</v>
      </c>
      <c r="K773" t="s">
        <v>16</v>
      </c>
      <c r="L773" t="s">
        <v>30</v>
      </c>
      <c r="M773">
        <f>orders[[#This Row],[Ship Date]]-orders[[#This Row],[Order Date]]</f>
        <v>1</v>
      </c>
      <c r="N773">
        <f>WEEKNUM(orders[[#This Row],[Order Date]],2)</f>
        <v>5</v>
      </c>
      <c r="O773" t="str" cm="1">
        <f t="array" ref="O7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74" spans="1:15" x14ac:dyDescent="0.3">
      <c r="A774" t="s">
        <v>864</v>
      </c>
      <c r="B774" t="s">
        <v>66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20</v>
      </c>
      <c r="I774" t="s">
        <v>15</v>
      </c>
      <c r="J774">
        <v>3</v>
      </c>
      <c r="K774" t="s">
        <v>16</v>
      </c>
      <c r="L774" t="s">
        <v>30</v>
      </c>
      <c r="M774">
        <f>orders[[#This Row],[Ship Date]]-orders[[#This Row],[Order Date]]</f>
        <v>1</v>
      </c>
      <c r="N774">
        <f>WEEKNUM(orders[[#This Row],[Order Date]],2)</f>
        <v>5</v>
      </c>
      <c r="O774" t="str" cm="1">
        <f t="array" ref="O7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75" spans="1:15" x14ac:dyDescent="0.3">
      <c r="A775" t="s">
        <v>865</v>
      </c>
      <c r="B775" t="s">
        <v>36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24</v>
      </c>
      <c r="I775" t="s">
        <v>48</v>
      </c>
      <c r="J775">
        <v>5</v>
      </c>
      <c r="K775" t="s">
        <v>16</v>
      </c>
      <c r="L775" t="s">
        <v>361</v>
      </c>
      <c r="M775">
        <f>orders[[#This Row],[Ship Date]]-orders[[#This Row],[Order Date]]</f>
        <v>1</v>
      </c>
      <c r="N775">
        <f>WEEKNUM(orders[[#This Row],[Order Date]],2)</f>
        <v>5</v>
      </c>
      <c r="O775" t="str" cm="1">
        <f t="array" ref="O7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76" spans="1:15" x14ac:dyDescent="0.3">
      <c r="A776" t="s">
        <v>866</v>
      </c>
      <c r="B776" t="s">
        <v>41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20</v>
      </c>
      <c r="I776" t="s">
        <v>37</v>
      </c>
      <c r="J776">
        <v>2</v>
      </c>
      <c r="K776" t="s">
        <v>16</v>
      </c>
      <c r="L776" t="s">
        <v>95</v>
      </c>
      <c r="M776">
        <f>orders[[#This Row],[Ship Date]]-orders[[#This Row],[Order Date]]</f>
        <v>1</v>
      </c>
      <c r="N776">
        <f>WEEKNUM(orders[[#This Row],[Order Date]],2)</f>
        <v>5</v>
      </c>
      <c r="O776" t="str" cm="1">
        <f t="array" ref="O7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77" spans="1:15" x14ac:dyDescent="0.3">
      <c r="A777" t="s">
        <v>867</v>
      </c>
      <c r="B777" t="s">
        <v>23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24</v>
      </c>
      <c r="I777" t="s">
        <v>32</v>
      </c>
      <c r="J777">
        <v>5</v>
      </c>
      <c r="K777" t="s">
        <v>16</v>
      </c>
      <c r="L777" t="s">
        <v>185</v>
      </c>
      <c r="M777">
        <f>orders[[#This Row],[Ship Date]]-orders[[#This Row],[Order Date]]</f>
        <v>0</v>
      </c>
      <c r="N777">
        <f>WEEKNUM(orders[[#This Row],[Order Date]],2)</f>
        <v>5</v>
      </c>
      <c r="O777" t="str" cm="1">
        <f t="array" ref="O7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78" spans="1:15" x14ac:dyDescent="0.3">
      <c r="A778" t="s">
        <v>868</v>
      </c>
      <c r="B778" t="s">
        <v>19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14</v>
      </c>
      <c r="I778" t="s">
        <v>37</v>
      </c>
      <c r="J778">
        <v>4</v>
      </c>
      <c r="K778" t="s">
        <v>16</v>
      </c>
      <c r="L778" t="s">
        <v>185</v>
      </c>
      <c r="M778">
        <f>orders[[#This Row],[Ship Date]]-orders[[#This Row],[Order Date]]</f>
        <v>2</v>
      </c>
      <c r="N778">
        <f>WEEKNUM(orders[[#This Row],[Order Date]],2)</f>
        <v>5</v>
      </c>
      <c r="O778" t="str" cm="1">
        <f t="array" ref="O77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779" spans="1:15" x14ac:dyDescent="0.3">
      <c r="A779" t="s">
        <v>869</v>
      </c>
      <c r="B779" t="s">
        <v>125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24</v>
      </c>
      <c r="I779" t="s">
        <v>32</v>
      </c>
      <c r="J779">
        <v>3</v>
      </c>
      <c r="K779" t="s">
        <v>16</v>
      </c>
      <c r="L779" t="s">
        <v>49</v>
      </c>
      <c r="M779">
        <f>orders[[#This Row],[Ship Date]]-orders[[#This Row],[Order Date]]</f>
        <v>1</v>
      </c>
      <c r="N779">
        <f>WEEKNUM(orders[[#This Row],[Order Date]],2)</f>
        <v>5</v>
      </c>
      <c r="O779" t="str" cm="1">
        <f t="array" ref="O7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0" spans="1:15" x14ac:dyDescent="0.3">
      <c r="A780" t="s">
        <v>870</v>
      </c>
      <c r="B780" t="s">
        <v>39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86</v>
      </c>
      <c r="I780" t="s">
        <v>37</v>
      </c>
      <c r="J780">
        <v>3</v>
      </c>
      <c r="K780" t="s">
        <v>16</v>
      </c>
      <c r="L780" t="s">
        <v>52</v>
      </c>
      <c r="M780">
        <f>orders[[#This Row],[Ship Date]]-orders[[#This Row],[Order Date]]</f>
        <v>1</v>
      </c>
      <c r="N780">
        <f>WEEKNUM(orders[[#This Row],[Order Date]],2)</f>
        <v>5</v>
      </c>
      <c r="O780" t="str" cm="1">
        <f t="array" ref="O78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781" spans="1:15" x14ac:dyDescent="0.3">
      <c r="A781" t="s">
        <v>871</v>
      </c>
      <c r="B781" t="s">
        <v>13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24</v>
      </c>
      <c r="I781" t="s">
        <v>48</v>
      </c>
      <c r="J781">
        <v>4</v>
      </c>
      <c r="K781" t="s">
        <v>16</v>
      </c>
      <c r="L781" t="s">
        <v>52</v>
      </c>
      <c r="M781">
        <f>orders[[#This Row],[Ship Date]]-orders[[#This Row],[Order Date]]</f>
        <v>4</v>
      </c>
      <c r="N781">
        <f>WEEKNUM(orders[[#This Row],[Order Date]],2)</f>
        <v>5</v>
      </c>
      <c r="O781" t="str" cm="1">
        <f t="array" ref="O7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2" spans="1:15" x14ac:dyDescent="0.3">
      <c r="A782" t="s">
        <v>872</v>
      </c>
      <c r="B782" t="s">
        <v>29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24</v>
      </c>
      <c r="I782" t="s">
        <v>15</v>
      </c>
      <c r="J782">
        <v>5</v>
      </c>
      <c r="K782" t="s">
        <v>16</v>
      </c>
      <c r="L782" t="s">
        <v>52</v>
      </c>
      <c r="M782">
        <f>orders[[#This Row],[Ship Date]]-orders[[#This Row],[Order Date]]</f>
        <v>3</v>
      </c>
      <c r="N782">
        <f>WEEKNUM(orders[[#This Row],[Order Date]],2)</f>
        <v>5</v>
      </c>
      <c r="O782" t="str" cm="1">
        <f t="array" ref="O7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3" spans="1:15" x14ac:dyDescent="0.3">
      <c r="A783" t="s">
        <v>873</v>
      </c>
      <c r="B783" t="s">
        <v>29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24</v>
      </c>
      <c r="I783" t="s">
        <v>15</v>
      </c>
      <c r="J783">
        <v>3</v>
      </c>
      <c r="K783" t="s">
        <v>16</v>
      </c>
      <c r="L783" t="s">
        <v>56</v>
      </c>
      <c r="M783">
        <f>orders[[#This Row],[Ship Date]]-orders[[#This Row],[Order Date]]</f>
        <v>0</v>
      </c>
      <c r="N783">
        <f>WEEKNUM(orders[[#This Row],[Order Date]],2)</f>
        <v>6</v>
      </c>
      <c r="O783" t="str" cm="1">
        <f t="array" ref="O7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4" spans="1:15" x14ac:dyDescent="0.3">
      <c r="A784" t="s">
        <v>874</v>
      </c>
      <c r="B784" t="s">
        <v>51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20</v>
      </c>
      <c r="I784" t="s">
        <v>67</v>
      </c>
      <c r="J784">
        <v>4</v>
      </c>
      <c r="K784" t="s">
        <v>16</v>
      </c>
      <c r="L784" t="s">
        <v>59</v>
      </c>
      <c r="M784">
        <f>orders[[#This Row],[Ship Date]]-orders[[#This Row],[Order Date]]</f>
        <v>1</v>
      </c>
      <c r="N784">
        <f>WEEKNUM(orders[[#This Row],[Order Date]],2)</f>
        <v>6</v>
      </c>
      <c r="O784" t="str" cm="1">
        <f t="array" ref="O7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85" spans="1:15" x14ac:dyDescent="0.3">
      <c r="A785" t="s">
        <v>875</v>
      </c>
      <c r="B785" t="s">
        <v>19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24</v>
      </c>
      <c r="I785" t="s">
        <v>15</v>
      </c>
      <c r="J785">
        <v>4</v>
      </c>
      <c r="K785" t="s">
        <v>16</v>
      </c>
      <c r="L785" t="s">
        <v>59</v>
      </c>
      <c r="M785">
        <f>orders[[#This Row],[Ship Date]]-orders[[#This Row],[Order Date]]</f>
        <v>2</v>
      </c>
      <c r="N785">
        <f>WEEKNUM(orders[[#This Row],[Order Date]],2)</f>
        <v>6</v>
      </c>
      <c r="O785" t="str" cm="1">
        <f t="array" ref="O7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6" spans="1:15" x14ac:dyDescent="0.3">
      <c r="A786" t="s">
        <v>876</v>
      </c>
      <c r="B786" t="s">
        <v>51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24</v>
      </c>
      <c r="I786" t="s">
        <v>37</v>
      </c>
      <c r="J786">
        <v>3</v>
      </c>
      <c r="K786" t="s">
        <v>16</v>
      </c>
      <c r="L786" t="s">
        <v>59</v>
      </c>
      <c r="M786">
        <f>orders[[#This Row],[Ship Date]]-orders[[#This Row],[Order Date]]</f>
        <v>1</v>
      </c>
      <c r="N786">
        <f>WEEKNUM(orders[[#This Row],[Order Date]],2)</f>
        <v>6</v>
      </c>
      <c r="O786" t="str" cm="1">
        <f t="array" ref="O7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7" spans="1:15" x14ac:dyDescent="0.3">
      <c r="A787" t="s">
        <v>877</v>
      </c>
      <c r="B787" t="s">
        <v>41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24</v>
      </c>
      <c r="I787" t="s">
        <v>67</v>
      </c>
      <c r="J787">
        <v>5</v>
      </c>
      <c r="K787" t="s">
        <v>16</v>
      </c>
      <c r="L787" t="s">
        <v>59</v>
      </c>
      <c r="M787">
        <f>orders[[#This Row],[Ship Date]]-orders[[#This Row],[Order Date]]</f>
        <v>2</v>
      </c>
      <c r="N787">
        <f>WEEKNUM(orders[[#This Row],[Order Date]],2)</f>
        <v>6</v>
      </c>
      <c r="O787" t="str" cm="1">
        <f t="array" ref="O7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8" spans="1:15" x14ac:dyDescent="0.3">
      <c r="A788" t="s">
        <v>878</v>
      </c>
      <c r="B788" t="s">
        <v>36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24</v>
      </c>
      <c r="I788" t="s">
        <v>48</v>
      </c>
      <c r="J788">
        <v>2</v>
      </c>
      <c r="K788" t="s">
        <v>16</v>
      </c>
      <c r="L788" t="s">
        <v>59</v>
      </c>
      <c r="M788">
        <f>orders[[#This Row],[Ship Date]]-orders[[#This Row],[Order Date]]</f>
        <v>1</v>
      </c>
      <c r="N788">
        <f>WEEKNUM(orders[[#This Row],[Order Date]],2)</f>
        <v>6</v>
      </c>
      <c r="O788" t="str" cm="1">
        <f t="array" ref="O7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89" spans="1:15" x14ac:dyDescent="0.3">
      <c r="A789" t="s">
        <v>879</v>
      </c>
      <c r="B789" t="s">
        <v>51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24</v>
      </c>
      <c r="I789" t="s">
        <v>37</v>
      </c>
      <c r="J789">
        <v>3</v>
      </c>
      <c r="K789" t="s">
        <v>16</v>
      </c>
      <c r="L789" t="s">
        <v>59</v>
      </c>
      <c r="M789">
        <f>orders[[#This Row],[Ship Date]]-orders[[#This Row],[Order Date]]</f>
        <v>2</v>
      </c>
      <c r="N789">
        <f>WEEKNUM(orders[[#This Row],[Order Date]],2)</f>
        <v>6</v>
      </c>
      <c r="O789" t="str" cm="1">
        <f t="array" ref="O7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90" spans="1:15" x14ac:dyDescent="0.3">
      <c r="A790" t="s">
        <v>880</v>
      </c>
      <c r="B790" t="s">
        <v>29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20</v>
      </c>
      <c r="I790" t="s">
        <v>15</v>
      </c>
      <c r="J790">
        <v>3</v>
      </c>
      <c r="K790" t="s">
        <v>16</v>
      </c>
      <c r="L790" t="s">
        <v>59</v>
      </c>
      <c r="M790">
        <f>orders[[#This Row],[Ship Date]]-orders[[#This Row],[Order Date]]</f>
        <v>1</v>
      </c>
      <c r="N790">
        <f>WEEKNUM(orders[[#This Row],[Order Date]],2)</f>
        <v>6</v>
      </c>
      <c r="O790" t="str" cm="1">
        <f t="array" ref="O7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91" spans="1:15" x14ac:dyDescent="0.3">
      <c r="A791" t="s">
        <v>881</v>
      </c>
      <c r="B791" t="s">
        <v>43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24</v>
      </c>
      <c r="I791" t="s">
        <v>15</v>
      </c>
      <c r="J791">
        <v>3</v>
      </c>
      <c r="K791" t="s">
        <v>16</v>
      </c>
      <c r="L791" t="s">
        <v>59</v>
      </c>
      <c r="M791">
        <f>orders[[#This Row],[Ship Date]]-orders[[#This Row],[Order Date]]</f>
        <v>2</v>
      </c>
      <c r="N791">
        <f>WEEKNUM(orders[[#This Row],[Order Date]],2)</f>
        <v>6</v>
      </c>
      <c r="O791" t="str" cm="1">
        <f t="array" ref="O7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92" spans="1:15" x14ac:dyDescent="0.3">
      <c r="A792" t="s">
        <v>882</v>
      </c>
      <c r="B792" t="s">
        <v>39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20</v>
      </c>
      <c r="I792" t="s">
        <v>15</v>
      </c>
      <c r="J792">
        <v>4</v>
      </c>
      <c r="K792" t="s">
        <v>16</v>
      </c>
      <c r="L792" t="s">
        <v>100</v>
      </c>
      <c r="M792">
        <f>orders[[#This Row],[Ship Date]]-orders[[#This Row],[Order Date]]</f>
        <v>1</v>
      </c>
      <c r="N792">
        <f>WEEKNUM(orders[[#This Row],[Order Date]],2)</f>
        <v>6</v>
      </c>
      <c r="O792" t="str" cm="1">
        <f t="array" ref="O7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93" spans="1:15" x14ac:dyDescent="0.3">
      <c r="A793" t="s">
        <v>883</v>
      </c>
      <c r="B793" t="s">
        <v>13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20</v>
      </c>
      <c r="I793" t="s">
        <v>15</v>
      </c>
      <c r="J793">
        <v>4</v>
      </c>
      <c r="K793" t="s">
        <v>16</v>
      </c>
      <c r="L793" t="s">
        <v>100</v>
      </c>
      <c r="M793">
        <f>orders[[#This Row],[Ship Date]]-orders[[#This Row],[Order Date]]</f>
        <v>4</v>
      </c>
      <c r="N793">
        <f>WEEKNUM(orders[[#This Row],[Order Date]],2)</f>
        <v>6</v>
      </c>
      <c r="O793" t="str" cm="1">
        <f t="array" ref="O7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94" spans="1:15" x14ac:dyDescent="0.3">
      <c r="A794" t="s">
        <v>884</v>
      </c>
      <c r="B794" t="s">
        <v>23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20</v>
      </c>
      <c r="I794" t="s">
        <v>32</v>
      </c>
      <c r="J794">
        <v>4</v>
      </c>
      <c r="K794" t="s">
        <v>16</v>
      </c>
      <c r="L794" t="s">
        <v>74</v>
      </c>
      <c r="M794">
        <f>orders[[#This Row],[Ship Date]]-orders[[#This Row],[Order Date]]</f>
        <v>1</v>
      </c>
      <c r="N794">
        <f>WEEKNUM(orders[[#This Row],[Order Date]],2)</f>
        <v>6</v>
      </c>
      <c r="O794" t="str" cm="1">
        <f t="array" ref="O7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95" spans="1:15" x14ac:dyDescent="0.3">
      <c r="A795" t="s">
        <v>885</v>
      </c>
      <c r="B795" t="s">
        <v>39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24</v>
      </c>
      <c r="I795" t="s">
        <v>15</v>
      </c>
      <c r="J795">
        <v>4</v>
      </c>
      <c r="K795" t="s">
        <v>16</v>
      </c>
      <c r="L795" t="s">
        <v>74</v>
      </c>
      <c r="M795">
        <f>orders[[#This Row],[Ship Date]]-orders[[#This Row],[Order Date]]</f>
        <v>1</v>
      </c>
      <c r="N795">
        <f>WEEKNUM(orders[[#This Row],[Order Date]],2)</f>
        <v>6</v>
      </c>
      <c r="O795" t="str" cm="1">
        <f t="array" ref="O7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96" spans="1:15" x14ac:dyDescent="0.3">
      <c r="A796" t="s">
        <v>886</v>
      </c>
      <c r="B796" t="s">
        <v>41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20</v>
      </c>
      <c r="I796" t="s">
        <v>15</v>
      </c>
      <c r="J796">
        <v>4</v>
      </c>
      <c r="K796" t="s">
        <v>16</v>
      </c>
      <c r="L796" t="s">
        <v>74</v>
      </c>
      <c r="M796">
        <f>orders[[#This Row],[Ship Date]]-orders[[#This Row],[Order Date]]</f>
        <v>3</v>
      </c>
      <c r="N796">
        <f>WEEKNUM(orders[[#This Row],[Order Date]],2)</f>
        <v>6</v>
      </c>
      <c r="O796" t="str" cm="1">
        <f t="array" ref="O7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97" spans="1:15" x14ac:dyDescent="0.3">
      <c r="A797" t="s">
        <v>887</v>
      </c>
      <c r="B797" t="s">
        <v>23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24</v>
      </c>
      <c r="I797" t="s">
        <v>15</v>
      </c>
      <c r="J797">
        <v>2</v>
      </c>
      <c r="K797" t="s">
        <v>16</v>
      </c>
      <c r="L797" t="s">
        <v>79</v>
      </c>
      <c r="M797">
        <f>orders[[#This Row],[Ship Date]]-orders[[#This Row],[Order Date]]</f>
        <v>1</v>
      </c>
      <c r="N797">
        <f>WEEKNUM(orders[[#This Row],[Order Date]],2)</f>
        <v>6</v>
      </c>
      <c r="O797" t="str" cm="1">
        <f t="array" ref="O7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798" spans="1:15" x14ac:dyDescent="0.3">
      <c r="A798" t="s">
        <v>888</v>
      </c>
      <c r="B798" t="s">
        <v>13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20</v>
      </c>
      <c r="I798" t="s">
        <v>32</v>
      </c>
      <c r="J798">
        <v>2</v>
      </c>
      <c r="K798" t="s">
        <v>16</v>
      </c>
      <c r="L798" t="s">
        <v>21</v>
      </c>
      <c r="M798">
        <f>orders[[#This Row],[Ship Date]]-orders[[#This Row],[Order Date]]</f>
        <v>7</v>
      </c>
      <c r="N798">
        <f>WEEKNUM(orders[[#This Row],[Order Date]],2)</f>
        <v>6</v>
      </c>
      <c r="O798" t="str" cm="1">
        <f t="array" ref="O7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799" spans="1:15" x14ac:dyDescent="0.3">
      <c r="A799" t="s">
        <v>889</v>
      </c>
      <c r="B799" t="s">
        <v>23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24</v>
      </c>
      <c r="I799" t="s">
        <v>67</v>
      </c>
      <c r="J799">
        <v>5</v>
      </c>
      <c r="K799" t="s">
        <v>16</v>
      </c>
      <c r="L799" t="s">
        <v>30</v>
      </c>
      <c r="M799">
        <f>orders[[#This Row],[Ship Date]]-orders[[#This Row],[Order Date]]</f>
        <v>1</v>
      </c>
      <c r="N799">
        <f>WEEKNUM(orders[[#This Row],[Order Date]],2)</f>
        <v>6</v>
      </c>
      <c r="O799" t="str" cm="1">
        <f t="array" ref="O7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00" spans="1:15" x14ac:dyDescent="0.3">
      <c r="A800" t="s">
        <v>890</v>
      </c>
      <c r="B800" t="s">
        <v>13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24</v>
      </c>
      <c r="I800" t="s">
        <v>15</v>
      </c>
      <c r="J800">
        <v>4</v>
      </c>
      <c r="K800" t="s">
        <v>16</v>
      </c>
      <c r="L800" t="s">
        <v>30</v>
      </c>
      <c r="M800">
        <f>orders[[#This Row],[Ship Date]]-orders[[#This Row],[Order Date]]</f>
        <v>4</v>
      </c>
      <c r="N800">
        <f>WEEKNUM(orders[[#This Row],[Order Date]],2)</f>
        <v>6</v>
      </c>
      <c r="O800" t="str" cm="1">
        <f t="array" ref="O8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01" spans="1:15" x14ac:dyDescent="0.3">
      <c r="A801" t="s">
        <v>891</v>
      </c>
      <c r="B801" t="s">
        <v>29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24</v>
      </c>
      <c r="I801" t="s">
        <v>48</v>
      </c>
      <c r="J801">
        <v>4</v>
      </c>
      <c r="K801" t="s">
        <v>16</v>
      </c>
      <c r="L801" t="s">
        <v>30</v>
      </c>
      <c r="M801">
        <f>orders[[#This Row],[Ship Date]]-orders[[#This Row],[Order Date]]</f>
        <v>1</v>
      </c>
      <c r="N801">
        <f>WEEKNUM(orders[[#This Row],[Order Date]],2)</f>
        <v>6</v>
      </c>
      <c r="O801" t="str" cm="1">
        <f t="array" ref="O8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02" spans="1:15" x14ac:dyDescent="0.3">
      <c r="A802" t="s">
        <v>892</v>
      </c>
      <c r="B802" t="s">
        <v>43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20</v>
      </c>
      <c r="I802" t="s">
        <v>32</v>
      </c>
      <c r="J802">
        <v>5</v>
      </c>
      <c r="K802" t="s">
        <v>16</v>
      </c>
      <c r="L802" t="s">
        <v>542</v>
      </c>
      <c r="M802">
        <f>orders[[#This Row],[Ship Date]]-orders[[#This Row],[Order Date]]</f>
        <v>3</v>
      </c>
      <c r="N802">
        <f>WEEKNUM(orders[[#This Row],[Order Date]],2)</f>
        <v>6</v>
      </c>
      <c r="O802" t="str" cm="1">
        <f t="array" ref="O8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03" spans="1:15" x14ac:dyDescent="0.3">
      <c r="A803" t="s">
        <v>893</v>
      </c>
      <c r="B803" t="s">
        <v>64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20</v>
      </c>
      <c r="I803" t="s">
        <v>32</v>
      </c>
      <c r="J803">
        <v>4</v>
      </c>
      <c r="K803" t="s">
        <v>16</v>
      </c>
      <c r="L803" t="s">
        <v>52</v>
      </c>
      <c r="M803">
        <f>orders[[#This Row],[Ship Date]]-orders[[#This Row],[Order Date]]</f>
        <v>3</v>
      </c>
      <c r="N803">
        <f>WEEKNUM(orders[[#This Row],[Order Date]],2)</f>
        <v>6</v>
      </c>
      <c r="O803" t="str" cm="1">
        <f t="array" ref="O8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04" spans="1:15" x14ac:dyDescent="0.3">
      <c r="A804" t="s">
        <v>894</v>
      </c>
      <c r="B804" t="s">
        <v>34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24</v>
      </c>
      <c r="I804" t="s">
        <v>32</v>
      </c>
      <c r="J804">
        <v>4</v>
      </c>
      <c r="K804" t="s">
        <v>16</v>
      </c>
      <c r="L804" t="s">
        <v>52</v>
      </c>
      <c r="M804">
        <f>orders[[#This Row],[Ship Date]]-orders[[#This Row],[Order Date]]</f>
        <v>2</v>
      </c>
      <c r="N804">
        <f>WEEKNUM(orders[[#This Row],[Order Date]],2)</f>
        <v>6</v>
      </c>
      <c r="O804" t="str" cm="1">
        <f t="array" ref="O8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05" spans="1:15" x14ac:dyDescent="0.3">
      <c r="A805" t="s">
        <v>895</v>
      </c>
      <c r="B805" t="s">
        <v>41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20</v>
      </c>
      <c r="I805" t="s">
        <v>48</v>
      </c>
      <c r="J805">
        <v>5</v>
      </c>
      <c r="K805" t="s">
        <v>16</v>
      </c>
      <c r="L805" t="s">
        <v>59</v>
      </c>
      <c r="M805">
        <f>orders[[#This Row],[Ship Date]]-orders[[#This Row],[Order Date]]</f>
        <v>1</v>
      </c>
      <c r="N805">
        <f>WEEKNUM(orders[[#This Row],[Order Date]],2)</f>
        <v>6</v>
      </c>
      <c r="O805" t="str" cm="1">
        <f t="array" ref="O8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06" spans="1:15" x14ac:dyDescent="0.3">
      <c r="A806" t="s">
        <v>896</v>
      </c>
      <c r="B806" t="s">
        <v>19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24</v>
      </c>
      <c r="I806" t="s">
        <v>15</v>
      </c>
      <c r="J806">
        <v>5</v>
      </c>
      <c r="K806" t="s">
        <v>16</v>
      </c>
      <c r="L806" t="s">
        <v>59</v>
      </c>
      <c r="M806">
        <f>orders[[#This Row],[Ship Date]]-orders[[#This Row],[Order Date]]</f>
        <v>2</v>
      </c>
      <c r="N806">
        <f>WEEKNUM(orders[[#This Row],[Order Date]],2)</f>
        <v>6</v>
      </c>
      <c r="O806" t="str" cm="1">
        <f t="array" ref="O8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07" spans="1:15" x14ac:dyDescent="0.3">
      <c r="A807" t="s">
        <v>897</v>
      </c>
      <c r="B807" t="s">
        <v>39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24</v>
      </c>
      <c r="I807" t="s">
        <v>37</v>
      </c>
      <c r="J807">
        <v>3</v>
      </c>
      <c r="K807" t="s">
        <v>16</v>
      </c>
      <c r="L807" t="s">
        <v>59</v>
      </c>
      <c r="M807">
        <f>orders[[#This Row],[Ship Date]]-orders[[#This Row],[Order Date]]</f>
        <v>2</v>
      </c>
      <c r="N807">
        <f>WEEKNUM(orders[[#This Row],[Order Date]],2)</f>
        <v>6</v>
      </c>
      <c r="O807" t="str" cm="1">
        <f t="array" ref="O8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08" spans="1:15" x14ac:dyDescent="0.3">
      <c r="A808" t="s">
        <v>898</v>
      </c>
      <c r="B808" t="s">
        <v>41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24</v>
      </c>
      <c r="I808" t="s">
        <v>15</v>
      </c>
      <c r="J808">
        <v>4</v>
      </c>
      <c r="K808" t="s">
        <v>16</v>
      </c>
      <c r="L808" t="s">
        <v>426</v>
      </c>
      <c r="M808">
        <f>orders[[#This Row],[Ship Date]]-orders[[#This Row],[Order Date]]</f>
        <v>5</v>
      </c>
      <c r="N808">
        <f>WEEKNUM(orders[[#This Row],[Order Date]],2)</f>
        <v>6</v>
      </c>
      <c r="O808" t="str" cm="1">
        <f t="array" ref="O8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09" spans="1:15" x14ac:dyDescent="0.3">
      <c r="A809" t="s">
        <v>899</v>
      </c>
      <c r="B809" t="s">
        <v>34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20</v>
      </c>
      <c r="I809" t="s">
        <v>32</v>
      </c>
      <c r="J809">
        <v>4</v>
      </c>
      <c r="K809" t="s">
        <v>16</v>
      </c>
      <c r="L809" t="s">
        <v>105</v>
      </c>
      <c r="M809">
        <f>orders[[#This Row],[Ship Date]]-orders[[#This Row],[Order Date]]</f>
        <v>2</v>
      </c>
      <c r="N809">
        <f>WEEKNUM(orders[[#This Row],[Order Date]],2)</f>
        <v>6</v>
      </c>
      <c r="O809" t="str" cm="1">
        <f t="array" ref="O8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10" spans="1:15" x14ac:dyDescent="0.3">
      <c r="A810" t="s">
        <v>900</v>
      </c>
      <c r="B810" t="s">
        <v>29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24</v>
      </c>
      <c r="I810" t="s">
        <v>37</v>
      </c>
      <c r="J810">
        <v>2</v>
      </c>
      <c r="K810" t="s">
        <v>16</v>
      </c>
      <c r="L810" t="s">
        <v>110</v>
      </c>
      <c r="M810">
        <f>orders[[#This Row],[Ship Date]]-orders[[#This Row],[Order Date]]</f>
        <v>2</v>
      </c>
      <c r="N810">
        <f>WEEKNUM(orders[[#This Row],[Order Date]],2)</f>
        <v>6</v>
      </c>
      <c r="O810" t="str" cm="1">
        <f t="array" ref="O8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1" spans="1:15" x14ac:dyDescent="0.3">
      <c r="A811" t="s">
        <v>901</v>
      </c>
      <c r="B811" t="s">
        <v>36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14</v>
      </c>
      <c r="I811" t="s">
        <v>15</v>
      </c>
      <c r="J811">
        <v>5</v>
      </c>
      <c r="K811" t="s">
        <v>16</v>
      </c>
      <c r="L811" t="s">
        <v>112</v>
      </c>
      <c r="M811">
        <f>orders[[#This Row],[Ship Date]]-orders[[#This Row],[Order Date]]</f>
        <v>1</v>
      </c>
      <c r="N811">
        <f>WEEKNUM(orders[[#This Row],[Order Date]],2)</f>
        <v>6</v>
      </c>
      <c r="O811" t="str" cm="1">
        <f t="array" ref="O81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812" spans="1:15" x14ac:dyDescent="0.3">
      <c r="A812" t="s">
        <v>902</v>
      </c>
      <c r="B812" t="s">
        <v>29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24</v>
      </c>
      <c r="I812" t="s">
        <v>15</v>
      </c>
      <c r="J812">
        <v>5</v>
      </c>
      <c r="K812" t="s">
        <v>16</v>
      </c>
      <c r="L812" t="s">
        <v>112</v>
      </c>
      <c r="M812">
        <f>orders[[#This Row],[Ship Date]]-orders[[#This Row],[Order Date]]</f>
        <v>1</v>
      </c>
      <c r="N812">
        <f>WEEKNUM(orders[[#This Row],[Order Date]],2)</f>
        <v>6</v>
      </c>
      <c r="O812" t="str" cm="1">
        <f t="array" ref="O8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3" spans="1:15" x14ac:dyDescent="0.3">
      <c r="A813" t="s">
        <v>903</v>
      </c>
      <c r="B813" t="s">
        <v>64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24</v>
      </c>
      <c r="I813" t="s">
        <v>32</v>
      </c>
      <c r="J813">
        <v>5</v>
      </c>
      <c r="K813" t="s">
        <v>16</v>
      </c>
      <c r="L813" t="s">
        <v>112</v>
      </c>
      <c r="M813">
        <f>orders[[#This Row],[Ship Date]]-orders[[#This Row],[Order Date]]</f>
        <v>2</v>
      </c>
      <c r="N813">
        <f>WEEKNUM(orders[[#This Row],[Order Date]],2)</f>
        <v>6</v>
      </c>
      <c r="O813" t="str" cm="1">
        <f t="array" ref="O8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4" spans="1:15" x14ac:dyDescent="0.3">
      <c r="A814" t="s">
        <v>904</v>
      </c>
      <c r="B814" t="s">
        <v>51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24</v>
      </c>
      <c r="I814" t="s">
        <v>15</v>
      </c>
      <c r="J814">
        <v>3</v>
      </c>
      <c r="K814" t="s">
        <v>16</v>
      </c>
      <c r="L814" t="s">
        <v>112</v>
      </c>
      <c r="M814">
        <f>orders[[#This Row],[Ship Date]]-orders[[#This Row],[Order Date]]</f>
        <v>2</v>
      </c>
      <c r="N814">
        <f>WEEKNUM(orders[[#This Row],[Order Date]],2)</f>
        <v>6</v>
      </c>
      <c r="O814" t="str" cm="1">
        <f t="array" ref="O8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5" spans="1:15" x14ac:dyDescent="0.3">
      <c r="A815" t="s">
        <v>905</v>
      </c>
      <c r="B815" t="s">
        <v>27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24</v>
      </c>
      <c r="I815" t="s">
        <v>67</v>
      </c>
      <c r="J815">
        <v>3</v>
      </c>
      <c r="K815" t="s">
        <v>16</v>
      </c>
      <c r="L815" t="s">
        <v>112</v>
      </c>
      <c r="M815">
        <f>orders[[#This Row],[Ship Date]]-orders[[#This Row],[Order Date]]</f>
        <v>1</v>
      </c>
      <c r="N815">
        <f>WEEKNUM(orders[[#This Row],[Order Date]],2)</f>
        <v>6</v>
      </c>
      <c r="O815" t="str" cm="1">
        <f t="array" ref="O8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6" spans="1:15" x14ac:dyDescent="0.3">
      <c r="A816" t="s">
        <v>906</v>
      </c>
      <c r="B816" t="s">
        <v>41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20</v>
      </c>
      <c r="I816" t="s">
        <v>48</v>
      </c>
      <c r="J816">
        <v>4</v>
      </c>
      <c r="K816" t="s">
        <v>16</v>
      </c>
      <c r="L816" t="s">
        <v>21</v>
      </c>
      <c r="M816">
        <f>orders[[#This Row],[Ship Date]]-orders[[#This Row],[Order Date]]</f>
        <v>4</v>
      </c>
      <c r="N816">
        <f>WEEKNUM(orders[[#This Row],[Order Date]],2)</f>
        <v>6</v>
      </c>
      <c r="O816" t="str" cm="1">
        <f t="array" ref="O8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17" spans="1:15" x14ac:dyDescent="0.3">
      <c r="A817" t="s">
        <v>907</v>
      </c>
      <c r="B817" t="s">
        <v>13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24</v>
      </c>
      <c r="I817" t="s">
        <v>15</v>
      </c>
      <c r="J817">
        <v>4</v>
      </c>
      <c r="K817" t="s">
        <v>16</v>
      </c>
      <c r="L817" t="s">
        <v>25</v>
      </c>
      <c r="M817">
        <f>orders[[#This Row],[Ship Date]]-orders[[#This Row],[Order Date]]</f>
        <v>1</v>
      </c>
      <c r="N817">
        <f>WEEKNUM(orders[[#This Row],[Order Date]],2)</f>
        <v>6</v>
      </c>
      <c r="O817" t="str" cm="1">
        <f t="array" ref="O8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8" spans="1:15" x14ac:dyDescent="0.3">
      <c r="A818" t="s">
        <v>908</v>
      </c>
      <c r="B818" t="s">
        <v>64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24</v>
      </c>
      <c r="I818" t="s">
        <v>37</v>
      </c>
      <c r="J818">
        <v>5</v>
      </c>
      <c r="K818" t="s">
        <v>16</v>
      </c>
      <c r="L818" t="s">
        <v>25</v>
      </c>
      <c r="M818">
        <f>orders[[#This Row],[Ship Date]]-orders[[#This Row],[Order Date]]</f>
        <v>4</v>
      </c>
      <c r="N818">
        <f>WEEKNUM(orders[[#This Row],[Order Date]],2)</f>
        <v>6</v>
      </c>
      <c r="O818" t="str" cm="1">
        <f t="array" ref="O8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19" spans="1:15" x14ac:dyDescent="0.3">
      <c r="A819" t="s">
        <v>909</v>
      </c>
      <c r="B819" t="s">
        <v>23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24</v>
      </c>
      <c r="I819" t="s">
        <v>67</v>
      </c>
      <c r="J819">
        <v>4</v>
      </c>
      <c r="K819" t="s">
        <v>16</v>
      </c>
      <c r="L819" t="s">
        <v>144</v>
      </c>
      <c r="M819">
        <f>orders[[#This Row],[Ship Date]]-orders[[#This Row],[Order Date]]</f>
        <v>4</v>
      </c>
      <c r="N819">
        <f>WEEKNUM(orders[[#This Row],[Order Date]],2)</f>
        <v>6</v>
      </c>
      <c r="O819" t="str" cm="1">
        <f t="array" ref="O8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20" spans="1:15" x14ac:dyDescent="0.3">
      <c r="A820" t="s">
        <v>910</v>
      </c>
      <c r="B820" t="s">
        <v>51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86</v>
      </c>
      <c r="I820" t="s">
        <v>37</v>
      </c>
      <c r="J820">
        <v>4</v>
      </c>
      <c r="K820" t="s">
        <v>16</v>
      </c>
      <c r="L820" t="s">
        <v>30</v>
      </c>
      <c r="M820">
        <f>orders[[#This Row],[Ship Date]]-orders[[#This Row],[Order Date]]</f>
        <v>1</v>
      </c>
      <c r="N820">
        <f>WEEKNUM(orders[[#This Row],[Order Date]],2)</f>
        <v>6</v>
      </c>
      <c r="O820" t="str" cm="1">
        <f t="array" ref="O82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821" spans="1:15" x14ac:dyDescent="0.3">
      <c r="A821" t="s">
        <v>911</v>
      </c>
      <c r="B821" t="s">
        <v>29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24</v>
      </c>
      <c r="I821" t="s">
        <v>15</v>
      </c>
      <c r="J821">
        <v>4</v>
      </c>
      <c r="K821" t="s">
        <v>16</v>
      </c>
      <c r="L821" t="s">
        <v>30</v>
      </c>
      <c r="M821">
        <f>orders[[#This Row],[Ship Date]]-orders[[#This Row],[Order Date]]</f>
        <v>1</v>
      </c>
      <c r="N821">
        <f>WEEKNUM(orders[[#This Row],[Order Date]],2)</f>
        <v>6</v>
      </c>
      <c r="O821" t="str" cm="1">
        <f t="array" ref="O8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22" spans="1:15" x14ac:dyDescent="0.3">
      <c r="A822" t="s">
        <v>912</v>
      </c>
      <c r="B822" t="s">
        <v>143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24</v>
      </c>
      <c r="I822" t="s">
        <v>48</v>
      </c>
      <c r="J822">
        <v>5</v>
      </c>
      <c r="K822" t="s">
        <v>16</v>
      </c>
      <c r="L822" t="s">
        <v>30</v>
      </c>
      <c r="M822">
        <f>orders[[#This Row],[Ship Date]]-orders[[#This Row],[Order Date]]</f>
        <v>6</v>
      </c>
      <c r="N822">
        <f>WEEKNUM(orders[[#This Row],[Order Date]],2)</f>
        <v>6</v>
      </c>
      <c r="O822" t="str" cm="1">
        <f t="array" ref="O8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23" spans="1:15" x14ac:dyDescent="0.3">
      <c r="A823" t="s">
        <v>913</v>
      </c>
      <c r="B823" t="s">
        <v>39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24</v>
      </c>
      <c r="I823" t="s">
        <v>15</v>
      </c>
      <c r="J823">
        <v>4</v>
      </c>
      <c r="K823" t="s">
        <v>16</v>
      </c>
      <c r="L823" t="s">
        <v>30</v>
      </c>
      <c r="M823">
        <f>orders[[#This Row],[Ship Date]]-orders[[#This Row],[Order Date]]</f>
        <v>3</v>
      </c>
      <c r="N823">
        <f>WEEKNUM(orders[[#This Row],[Order Date]],2)</f>
        <v>6</v>
      </c>
      <c r="O823" t="str" cm="1">
        <f t="array" ref="O8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24" spans="1:15" x14ac:dyDescent="0.3">
      <c r="A824" t="s">
        <v>914</v>
      </c>
      <c r="B824" t="s">
        <v>36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24</v>
      </c>
      <c r="I824" t="s">
        <v>15</v>
      </c>
      <c r="J824">
        <v>5</v>
      </c>
      <c r="K824" t="s">
        <v>16</v>
      </c>
      <c r="L824" t="s">
        <v>30</v>
      </c>
      <c r="M824">
        <f>orders[[#This Row],[Ship Date]]-orders[[#This Row],[Order Date]]</f>
        <v>2</v>
      </c>
      <c r="N824">
        <f>WEEKNUM(orders[[#This Row],[Order Date]],2)</f>
        <v>6</v>
      </c>
      <c r="O824" t="str" cm="1">
        <f t="array" ref="O8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25" spans="1:15" x14ac:dyDescent="0.3">
      <c r="A825" t="s">
        <v>915</v>
      </c>
      <c r="B825" t="s">
        <v>39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24</v>
      </c>
      <c r="I825" t="s">
        <v>37</v>
      </c>
      <c r="J825">
        <v>3</v>
      </c>
      <c r="K825" t="s">
        <v>16</v>
      </c>
      <c r="L825" t="s">
        <v>30</v>
      </c>
      <c r="M825">
        <f>orders[[#This Row],[Ship Date]]-orders[[#This Row],[Order Date]]</f>
        <v>1</v>
      </c>
      <c r="N825">
        <f>WEEKNUM(orders[[#This Row],[Order Date]],2)</f>
        <v>6</v>
      </c>
      <c r="O825" t="str" cm="1">
        <f t="array" ref="O8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26" spans="1:15" x14ac:dyDescent="0.3">
      <c r="A826" t="s">
        <v>916</v>
      </c>
      <c r="B826" t="s">
        <v>29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20</v>
      </c>
      <c r="I826" t="s">
        <v>15</v>
      </c>
      <c r="J826">
        <v>5</v>
      </c>
      <c r="K826" t="s">
        <v>16</v>
      </c>
      <c r="L826" t="s">
        <v>30</v>
      </c>
      <c r="M826">
        <f>orders[[#This Row],[Ship Date]]-orders[[#This Row],[Order Date]]</f>
        <v>1</v>
      </c>
      <c r="N826">
        <f>WEEKNUM(orders[[#This Row],[Order Date]],2)</f>
        <v>6</v>
      </c>
      <c r="O826" t="str" cm="1">
        <f t="array" ref="O8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27" spans="1:15" x14ac:dyDescent="0.3">
      <c r="A827" t="s">
        <v>917</v>
      </c>
      <c r="B827" t="s">
        <v>41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20</v>
      </c>
      <c r="I827" t="s">
        <v>37</v>
      </c>
      <c r="J827">
        <v>4</v>
      </c>
      <c r="K827" t="s">
        <v>16</v>
      </c>
      <c r="L827" t="s">
        <v>30</v>
      </c>
      <c r="M827">
        <f>orders[[#This Row],[Ship Date]]-orders[[#This Row],[Order Date]]</f>
        <v>4</v>
      </c>
      <c r="N827">
        <f>WEEKNUM(orders[[#This Row],[Order Date]],2)</f>
        <v>6</v>
      </c>
      <c r="O827" t="str" cm="1">
        <f t="array" ref="O82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28" spans="1:15" x14ac:dyDescent="0.3">
      <c r="A828" t="s">
        <v>918</v>
      </c>
      <c r="B828" t="s">
        <v>66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14</v>
      </c>
      <c r="I828" t="s">
        <v>32</v>
      </c>
      <c r="J828">
        <v>3</v>
      </c>
      <c r="K828" t="s">
        <v>16</v>
      </c>
      <c r="L828" t="s">
        <v>30</v>
      </c>
      <c r="M828">
        <f>orders[[#This Row],[Ship Date]]-orders[[#This Row],[Order Date]]</f>
        <v>4</v>
      </c>
      <c r="N828">
        <f>WEEKNUM(orders[[#This Row],[Order Date]],2)</f>
        <v>6</v>
      </c>
      <c r="O828" t="str" cm="1">
        <f t="array" ref="O82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829" spans="1:15" x14ac:dyDescent="0.3">
      <c r="A829" t="s">
        <v>919</v>
      </c>
      <c r="B829" t="s">
        <v>36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20</v>
      </c>
      <c r="I829" t="s">
        <v>15</v>
      </c>
      <c r="J829">
        <v>3</v>
      </c>
      <c r="K829" t="s">
        <v>16</v>
      </c>
      <c r="L829" t="s">
        <v>30</v>
      </c>
      <c r="M829">
        <f>orders[[#This Row],[Ship Date]]-orders[[#This Row],[Order Date]]</f>
        <v>4</v>
      </c>
      <c r="N829">
        <f>WEEKNUM(orders[[#This Row],[Order Date]],2)</f>
        <v>6</v>
      </c>
      <c r="O829" t="str" cm="1">
        <f t="array" ref="O8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30" spans="1:15" x14ac:dyDescent="0.3">
      <c r="A830" t="s">
        <v>920</v>
      </c>
      <c r="B830" t="s">
        <v>36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24</v>
      </c>
      <c r="I830" t="s">
        <v>48</v>
      </c>
      <c r="J830">
        <v>4</v>
      </c>
      <c r="K830" t="s">
        <v>16</v>
      </c>
      <c r="L830" t="s">
        <v>30</v>
      </c>
      <c r="M830">
        <f>orders[[#This Row],[Ship Date]]-orders[[#This Row],[Order Date]]</f>
        <v>1</v>
      </c>
      <c r="N830">
        <f>WEEKNUM(orders[[#This Row],[Order Date]],2)</f>
        <v>6</v>
      </c>
      <c r="O830" t="str" cm="1">
        <f t="array" ref="O8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31" spans="1:15" x14ac:dyDescent="0.3">
      <c r="A831" t="s">
        <v>921</v>
      </c>
      <c r="B831" t="s">
        <v>41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20</v>
      </c>
      <c r="I831" t="s">
        <v>32</v>
      </c>
      <c r="J831">
        <v>5</v>
      </c>
      <c r="K831" t="s">
        <v>16</v>
      </c>
      <c r="L831" t="s">
        <v>46</v>
      </c>
      <c r="M831">
        <f>orders[[#This Row],[Ship Date]]-orders[[#This Row],[Order Date]]</f>
        <v>3</v>
      </c>
      <c r="N831">
        <f>WEEKNUM(orders[[#This Row],[Order Date]],2)</f>
        <v>6</v>
      </c>
      <c r="O831" t="str" cm="1">
        <f t="array" ref="O8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32" spans="1:15" x14ac:dyDescent="0.3">
      <c r="A832" t="s">
        <v>922</v>
      </c>
      <c r="B832" t="s">
        <v>29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24</v>
      </c>
      <c r="I832" t="s">
        <v>15</v>
      </c>
      <c r="J832">
        <v>4</v>
      </c>
      <c r="K832" t="s">
        <v>16</v>
      </c>
      <c r="L832" t="s">
        <v>155</v>
      </c>
      <c r="M832">
        <f>orders[[#This Row],[Ship Date]]-orders[[#This Row],[Order Date]]</f>
        <v>2</v>
      </c>
      <c r="N832">
        <f>WEEKNUM(orders[[#This Row],[Order Date]],2)</f>
        <v>6</v>
      </c>
      <c r="O832" t="str" cm="1">
        <f t="array" ref="O8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33" spans="1:15" x14ac:dyDescent="0.3">
      <c r="A833" t="s">
        <v>923</v>
      </c>
      <c r="B833" t="s">
        <v>23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14</v>
      </c>
      <c r="I833" t="s">
        <v>15</v>
      </c>
      <c r="J833">
        <v>4</v>
      </c>
      <c r="K833" t="s">
        <v>16</v>
      </c>
      <c r="L833" t="s">
        <v>52</v>
      </c>
      <c r="M833">
        <f>orders[[#This Row],[Ship Date]]-orders[[#This Row],[Order Date]]</f>
        <v>1</v>
      </c>
      <c r="N833">
        <f>WEEKNUM(orders[[#This Row],[Order Date]],2)</f>
        <v>6</v>
      </c>
      <c r="O833" t="str" cm="1">
        <f t="array" ref="O83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834" spans="1:15" x14ac:dyDescent="0.3">
      <c r="A834" t="s">
        <v>924</v>
      </c>
      <c r="B834" t="s">
        <v>19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24</v>
      </c>
      <c r="I834" t="s">
        <v>32</v>
      </c>
      <c r="J834">
        <v>3</v>
      </c>
      <c r="K834" t="s">
        <v>16</v>
      </c>
      <c r="L834" t="s">
        <v>52</v>
      </c>
      <c r="M834">
        <f>orders[[#This Row],[Ship Date]]-orders[[#This Row],[Order Date]]</f>
        <v>1</v>
      </c>
      <c r="N834">
        <f>WEEKNUM(orders[[#This Row],[Order Date]],2)</f>
        <v>6</v>
      </c>
      <c r="O834" t="str" cm="1">
        <f t="array" ref="O8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35" spans="1:15" x14ac:dyDescent="0.3">
      <c r="A835" t="s">
        <v>925</v>
      </c>
      <c r="B835" t="s">
        <v>19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24</v>
      </c>
      <c r="I835" t="s">
        <v>37</v>
      </c>
      <c r="J835">
        <v>5</v>
      </c>
      <c r="K835" t="s">
        <v>16</v>
      </c>
      <c r="L835" t="s">
        <v>56</v>
      </c>
      <c r="M835">
        <f>orders[[#This Row],[Ship Date]]-orders[[#This Row],[Order Date]]</f>
        <v>1</v>
      </c>
      <c r="N835">
        <f>WEEKNUM(orders[[#This Row],[Order Date]],2)</f>
        <v>6</v>
      </c>
      <c r="O835" t="str" cm="1">
        <f t="array" ref="O8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36" spans="1:15" x14ac:dyDescent="0.3">
      <c r="A836" t="s">
        <v>926</v>
      </c>
      <c r="B836" t="s">
        <v>29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20</v>
      </c>
      <c r="I836" t="s">
        <v>37</v>
      </c>
      <c r="J836">
        <v>5</v>
      </c>
      <c r="K836" t="s">
        <v>16</v>
      </c>
      <c r="L836" t="s">
        <v>59</v>
      </c>
      <c r="M836">
        <f>orders[[#This Row],[Ship Date]]-orders[[#This Row],[Order Date]]</f>
        <v>2</v>
      </c>
      <c r="N836">
        <f>WEEKNUM(orders[[#This Row],[Order Date]],2)</f>
        <v>6</v>
      </c>
      <c r="O836" t="str" cm="1">
        <f t="array" ref="O8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37" spans="1:15" x14ac:dyDescent="0.3">
      <c r="A837" t="s">
        <v>927</v>
      </c>
      <c r="B837" t="s">
        <v>143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20</v>
      </c>
      <c r="I837" t="s">
        <v>67</v>
      </c>
      <c r="J837">
        <v>3</v>
      </c>
      <c r="K837" t="s">
        <v>16</v>
      </c>
      <c r="L837" t="s">
        <v>59</v>
      </c>
      <c r="M837">
        <f>orders[[#This Row],[Ship Date]]-orders[[#This Row],[Order Date]]</f>
        <v>1</v>
      </c>
      <c r="N837">
        <f>WEEKNUM(orders[[#This Row],[Order Date]],2)</f>
        <v>6</v>
      </c>
      <c r="O837" t="str" cm="1">
        <f t="array" ref="O8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38" spans="1:15" x14ac:dyDescent="0.3">
      <c r="A838" t="s">
        <v>928</v>
      </c>
      <c r="B838" t="s">
        <v>66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14</v>
      </c>
      <c r="I838" t="s">
        <v>67</v>
      </c>
      <c r="J838">
        <v>5</v>
      </c>
      <c r="K838" t="s">
        <v>16</v>
      </c>
      <c r="L838" t="s">
        <v>59</v>
      </c>
      <c r="M838">
        <f>orders[[#This Row],[Ship Date]]-orders[[#This Row],[Order Date]]</f>
        <v>1</v>
      </c>
      <c r="N838">
        <f>WEEKNUM(orders[[#This Row],[Order Date]],2)</f>
        <v>6</v>
      </c>
      <c r="O838" t="str" cm="1">
        <f t="array" ref="O83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839" spans="1:15" x14ac:dyDescent="0.3">
      <c r="A839" t="s">
        <v>929</v>
      </c>
      <c r="B839" t="s">
        <v>19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24</v>
      </c>
      <c r="I839" t="s">
        <v>15</v>
      </c>
      <c r="J839">
        <v>5</v>
      </c>
      <c r="K839" t="s">
        <v>16</v>
      </c>
      <c r="L839" t="s">
        <v>59</v>
      </c>
      <c r="M839">
        <f>orders[[#This Row],[Ship Date]]-orders[[#This Row],[Order Date]]</f>
        <v>3</v>
      </c>
      <c r="N839">
        <f>WEEKNUM(orders[[#This Row],[Order Date]],2)</f>
        <v>6</v>
      </c>
      <c r="O839" t="str" cm="1">
        <f t="array" ref="O8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0" spans="1:15" x14ac:dyDescent="0.3">
      <c r="A840" t="s">
        <v>930</v>
      </c>
      <c r="B840" t="s">
        <v>36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24</v>
      </c>
      <c r="I840" t="s">
        <v>15</v>
      </c>
      <c r="J840">
        <v>4</v>
      </c>
      <c r="K840" t="s">
        <v>16</v>
      </c>
      <c r="L840" t="s">
        <v>59</v>
      </c>
      <c r="M840">
        <f>orders[[#This Row],[Ship Date]]-orders[[#This Row],[Order Date]]</f>
        <v>10</v>
      </c>
      <c r="N840">
        <f>WEEKNUM(orders[[#This Row],[Order Date]],2)</f>
        <v>6</v>
      </c>
      <c r="O840" t="str" cm="1">
        <f t="array" ref="O8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1" spans="1:15" x14ac:dyDescent="0.3">
      <c r="A841" t="s">
        <v>931</v>
      </c>
      <c r="B841" t="s">
        <v>41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24</v>
      </c>
      <c r="I841" t="s">
        <v>15</v>
      </c>
      <c r="J841">
        <v>5</v>
      </c>
      <c r="K841" t="s">
        <v>16</v>
      </c>
      <c r="L841" t="s">
        <v>100</v>
      </c>
      <c r="M841">
        <f>orders[[#This Row],[Ship Date]]-orders[[#This Row],[Order Date]]</f>
        <v>1</v>
      </c>
      <c r="N841">
        <f>WEEKNUM(orders[[#This Row],[Order Date]],2)</f>
        <v>6</v>
      </c>
      <c r="O841" t="str" cm="1">
        <f t="array" ref="O8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2" spans="1:15" x14ac:dyDescent="0.3">
      <c r="A842" t="s">
        <v>932</v>
      </c>
      <c r="B842" t="s">
        <v>13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24</v>
      </c>
      <c r="I842" t="s">
        <v>37</v>
      </c>
      <c r="J842">
        <v>4</v>
      </c>
      <c r="K842" t="s">
        <v>16</v>
      </c>
      <c r="L842" t="s">
        <v>100</v>
      </c>
      <c r="M842">
        <f>orders[[#This Row],[Ship Date]]-orders[[#This Row],[Order Date]]</f>
        <v>1</v>
      </c>
      <c r="N842">
        <f>WEEKNUM(orders[[#This Row],[Order Date]],2)</f>
        <v>6</v>
      </c>
      <c r="O842" t="str" cm="1">
        <f t="array" ref="O84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3" spans="1:15" x14ac:dyDescent="0.3">
      <c r="A843" t="s">
        <v>933</v>
      </c>
      <c r="B843" t="s">
        <v>51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24</v>
      </c>
      <c r="I843" t="s">
        <v>37</v>
      </c>
      <c r="J843">
        <v>4</v>
      </c>
      <c r="K843" t="s">
        <v>16</v>
      </c>
      <c r="L843" t="s">
        <v>69</v>
      </c>
      <c r="M843">
        <f>orders[[#This Row],[Ship Date]]-orders[[#This Row],[Order Date]]</f>
        <v>0</v>
      </c>
      <c r="N843">
        <f>WEEKNUM(orders[[#This Row],[Order Date]],2)</f>
        <v>6</v>
      </c>
      <c r="O843" t="str" cm="1">
        <f t="array" ref="O8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4" spans="1:15" x14ac:dyDescent="0.3">
      <c r="A844" t="s">
        <v>934</v>
      </c>
      <c r="B844" t="s">
        <v>19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24</v>
      </c>
      <c r="I844" t="s">
        <v>15</v>
      </c>
      <c r="J844">
        <v>5</v>
      </c>
      <c r="K844" t="s">
        <v>16</v>
      </c>
      <c r="L844" t="s">
        <v>74</v>
      </c>
      <c r="M844">
        <f>orders[[#This Row],[Ship Date]]-orders[[#This Row],[Order Date]]</f>
        <v>1</v>
      </c>
      <c r="N844">
        <f>WEEKNUM(orders[[#This Row],[Order Date]],2)</f>
        <v>6</v>
      </c>
      <c r="O844" t="str" cm="1">
        <f t="array" ref="O8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5" spans="1:15" x14ac:dyDescent="0.3">
      <c r="A845" t="s">
        <v>935</v>
      </c>
      <c r="B845" t="s">
        <v>36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24</v>
      </c>
      <c r="I845" t="s">
        <v>67</v>
      </c>
      <c r="J845">
        <v>3</v>
      </c>
      <c r="K845" t="s">
        <v>16</v>
      </c>
      <c r="L845" t="s">
        <v>105</v>
      </c>
      <c r="M845">
        <f>orders[[#This Row],[Ship Date]]-orders[[#This Row],[Order Date]]</f>
        <v>3</v>
      </c>
      <c r="N845">
        <f>WEEKNUM(orders[[#This Row],[Order Date]],2)</f>
        <v>6</v>
      </c>
      <c r="O845" t="str" cm="1">
        <f t="array" ref="O8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6" spans="1:15" x14ac:dyDescent="0.3">
      <c r="A846" t="s">
        <v>936</v>
      </c>
      <c r="B846" t="s">
        <v>19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24</v>
      </c>
      <c r="I846" t="s">
        <v>37</v>
      </c>
      <c r="J846">
        <v>3</v>
      </c>
      <c r="K846" t="s">
        <v>16</v>
      </c>
      <c r="L846" t="s">
        <v>107</v>
      </c>
      <c r="M846">
        <f>orders[[#This Row],[Ship Date]]-orders[[#This Row],[Order Date]]</f>
        <v>3</v>
      </c>
      <c r="N846">
        <f>WEEKNUM(orders[[#This Row],[Order Date]],2)</f>
        <v>6</v>
      </c>
      <c r="O846" t="str" cm="1">
        <f t="array" ref="O8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7" spans="1:15" x14ac:dyDescent="0.3">
      <c r="A847" t="s">
        <v>937</v>
      </c>
      <c r="B847" t="s">
        <v>23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24</v>
      </c>
      <c r="I847" t="s">
        <v>15</v>
      </c>
      <c r="J847">
        <v>4</v>
      </c>
      <c r="K847" t="s">
        <v>16</v>
      </c>
      <c r="L847" t="s">
        <v>112</v>
      </c>
      <c r="M847">
        <f>orders[[#This Row],[Ship Date]]-orders[[#This Row],[Order Date]]</f>
        <v>1</v>
      </c>
      <c r="N847">
        <f>WEEKNUM(orders[[#This Row],[Order Date]],2)</f>
        <v>6</v>
      </c>
      <c r="O847" t="str" cm="1">
        <f t="array" ref="O8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48" spans="1:15" x14ac:dyDescent="0.3">
      <c r="A848" t="s">
        <v>938</v>
      </c>
      <c r="B848" t="s">
        <v>34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20</v>
      </c>
      <c r="I848" t="s">
        <v>15</v>
      </c>
      <c r="J848">
        <v>5</v>
      </c>
      <c r="K848" t="s">
        <v>16</v>
      </c>
      <c r="L848" t="s">
        <v>112</v>
      </c>
      <c r="M848">
        <f>orders[[#This Row],[Ship Date]]-orders[[#This Row],[Order Date]]</f>
        <v>6</v>
      </c>
      <c r="N848">
        <f>WEEKNUM(orders[[#This Row],[Order Date]],2)</f>
        <v>6</v>
      </c>
      <c r="O848" t="str" cm="1">
        <f t="array" ref="O8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49" spans="1:15" x14ac:dyDescent="0.3">
      <c r="A849" t="s">
        <v>939</v>
      </c>
      <c r="B849" t="s">
        <v>29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24</v>
      </c>
      <c r="I849" t="s">
        <v>32</v>
      </c>
      <c r="J849">
        <v>5</v>
      </c>
      <c r="K849" t="s">
        <v>16</v>
      </c>
      <c r="L849" t="s">
        <v>112</v>
      </c>
      <c r="M849">
        <f>orders[[#This Row],[Ship Date]]-orders[[#This Row],[Order Date]]</f>
        <v>2</v>
      </c>
      <c r="N849">
        <f>WEEKNUM(orders[[#This Row],[Order Date]],2)</f>
        <v>6</v>
      </c>
      <c r="O849" t="str" cm="1">
        <f t="array" ref="O8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50" spans="1:15" x14ac:dyDescent="0.3">
      <c r="A850" t="s">
        <v>940</v>
      </c>
      <c r="B850" t="s">
        <v>36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20</v>
      </c>
      <c r="I850" t="s">
        <v>67</v>
      </c>
      <c r="J850">
        <v>5</v>
      </c>
      <c r="K850" t="s">
        <v>16</v>
      </c>
      <c r="L850" t="s">
        <v>112</v>
      </c>
      <c r="M850">
        <f>orders[[#This Row],[Ship Date]]-orders[[#This Row],[Order Date]]</f>
        <v>4</v>
      </c>
      <c r="N850">
        <f>WEEKNUM(orders[[#This Row],[Order Date]],2)</f>
        <v>6</v>
      </c>
      <c r="O850" t="str" cm="1">
        <f t="array" ref="O8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51" spans="1:15" x14ac:dyDescent="0.3">
      <c r="A851" t="s">
        <v>941</v>
      </c>
      <c r="B851" t="s">
        <v>23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24</v>
      </c>
      <c r="I851" t="s">
        <v>32</v>
      </c>
      <c r="J851">
        <v>4</v>
      </c>
      <c r="K851" t="s">
        <v>16</v>
      </c>
      <c r="L851" t="s">
        <v>21</v>
      </c>
      <c r="M851">
        <f>orders[[#This Row],[Ship Date]]-orders[[#This Row],[Order Date]]</f>
        <v>1</v>
      </c>
      <c r="N851">
        <f>WEEKNUM(orders[[#This Row],[Order Date]],2)</f>
        <v>6</v>
      </c>
      <c r="O851" t="str" cm="1">
        <f t="array" ref="O8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52" spans="1:15" x14ac:dyDescent="0.3">
      <c r="A852" t="s">
        <v>942</v>
      </c>
      <c r="B852" t="s">
        <v>143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20</v>
      </c>
      <c r="I852" t="s">
        <v>37</v>
      </c>
      <c r="J852">
        <v>2</v>
      </c>
      <c r="K852" t="s">
        <v>16</v>
      </c>
      <c r="L852" t="s">
        <v>21</v>
      </c>
      <c r="M852">
        <f>orders[[#This Row],[Ship Date]]-orders[[#This Row],[Order Date]]</f>
        <v>2</v>
      </c>
      <c r="N852">
        <f>WEEKNUM(orders[[#This Row],[Order Date]],2)</f>
        <v>6</v>
      </c>
      <c r="O852" t="str" cm="1">
        <f t="array" ref="O8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53" spans="1:15" x14ac:dyDescent="0.3">
      <c r="A853" t="s">
        <v>943</v>
      </c>
      <c r="B853" t="s">
        <v>36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24</v>
      </c>
      <c r="I853" t="s">
        <v>15</v>
      </c>
      <c r="J853">
        <v>4</v>
      </c>
      <c r="K853" t="s">
        <v>16</v>
      </c>
      <c r="L853" t="s">
        <v>434</v>
      </c>
      <c r="M853">
        <f>orders[[#This Row],[Ship Date]]-orders[[#This Row],[Order Date]]</f>
        <v>1</v>
      </c>
      <c r="N853">
        <f>WEEKNUM(orders[[#This Row],[Order Date]],2)</f>
        <v>6</v>
      </c>
      <c r="O853" t="str" cm="1">
        <f t="array" ref="O8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54" spans="1:15" x14ac:dyDescent="0.3">
      <c r="A854" t="s">
        <v>944</v>
      </c>
      <c r="B854" t="s">
        <v>41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20</v>
      </c>
      <c r="I854" t="s">
        <v>48</v>
      </c>
      <c r="J854">
        <v>5</v>
      </c>
      <c r="K854" t="s">
        <v>16</v>
      </c>
      <c r="L854" t="s">
        <v>584</v>
      </c>
      <c r="M854">
        <f>orders[[#This Row],[Ship Date]]-orders[[#This Row],[Order Date]]</f>
        <v>1</v>
      </c>
      <c r="N854">
        <f>WEEKNUM(orders[[#This Row],[Order Date]],2)</f>
        <v>6</v>
      </c>
      <c r="O854" t="str" cm="1">
        <f t="array" ref="O8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55" spans="1:15" x14ac:dyDescent="0.3">
      <c r="A855" t="s">
        <v>945</v>
      </c>
      <c r="B855" t="s">
        <v>36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24</v>
      </c>
      <c r="I855" t="s">
        <v>15</v>
      </c>
      <c r="J855">
        <v>5</v>
      </c>
      <c r="K855" t="s">
        <v>16</v>
      </c>
      <c r="L855" t="s">
        <v>946</v>
      </c>
      <c r="M855">
        <f>orders[[#This Row],[Ship Date]]-orders[[#This Row],[Order Date]]</f>
        <v>0</v>
      </c>
      <c r="N855">
        <f>WEEKNUM(orders[[#This Row],[Order Date]],2)</f>
        <v>6</v>
      </c>
      <c r="O855" t="str" cm="1">
        <f t="array" ref="O8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56" spans="1:15" x14ac:dyDescent="0.3">
      <c r="A856" t="s">
        <v>947</v>
      </c>
      <c r="B856" t="s">
        <v>41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20</v>
      </c>
      <c r="I856" t="s">
        <v>37</v>
      </c>
      <c r="J856">
        <v>5</v>
      </c>
      <c r="K856" t="s">
        <v>16</v>
      </c>
      <c r="L856" t="s">
        <v>30</v>
      </c>
      <c r="M856">
        <f>orders[[#This Row],[Ship Date]]-orders[[#This Row],[Order Date]]</f>
        <v>0</v>
      </c>
      <c r="N856">
        <f>WEEKNUM(orders[[#This Row],[Order Date]],2)</f>
        <v>6</v>
      </c>
      <c r="O856" t="str" cm="1">
        <f t="array" ref="O8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57" spans="1:15" x14ac:dyDescent="0.3">
      <c r="A857" t="s">
        <v>948</v>
      </c>
      <c r="B857" t="s">
        <v>34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14</v>
      </c>
      <c r="I857" t="s">
        <v>67</v>
      </c>
      <c r="J857">
        <v>3</v>
      </c>
      <c r="K857" t="s">
        <v>16</v>
      </c>
      <c r="L857" t="s">
        <v>30</v>
      </c>
      <c r="M857">
        <f>orders[[#This Row],[Ship Date]]-orders[[#This Row],[Order Date]]</f>
        <v>1</v>
      </c>
      <c r="N857">
        <f>WEEKNUM(orders[[#This Row],[Order Date]],2)</f>
        <v>6</v>
      </c>
      <c r="O857" t="str" cm="1">
        <f t="array" ref="O85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858" spans="1:15" x14ac:dyDescent="0.3">
      <c r="A858" t="s">
        <v>949</v>
      </c>
      <c r="B858" t="s">
        <v>41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24</v>
      </c>
      <c r="I858" t="s">
        <v>48</v>
      </c>
      <c r="J858">
        <v>4</v>
      </c>
      <c r="K858" t="s">
        <v>16</v>
      </c>
      <c r="L858" t="s">
        <v>30</v>
      </c>
      <c r="M858">
        <f>orders[[#This Row],[Ship Date]]-orders[[#This Row],[Order Date]]</f>
        <v>2</v>
      </c>
      <c r="N858">
        <f>WEEKNUM(orders[[#This Row],[Order Date]],2)</f>
        <v>6</v>
      </c>
      <c r="O858" t="str" cm="1">
        <f t="array" ref="O8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59" spans="1:15" x14ac:dyDescent="0.3">
      <c r="A859" t="s">
        <v>950</v>
      </c>
      <c r="B859" t="s">
        <v>41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24</v>
      </c>
      <c r="I859" t="s">
        <v>15</v>
      </c>
      <c r="J859">
        <v>4</v>
      </c>
      <c r="K859" t="s">
        <v>16</v>
      </c>
      <c r="L859" t="s">
        <v>30</v>
      </c>
      <c r="M859">
        <f>orders[[#This Row],[Ship Date]]-orders[[#This Row],[Order Date]]</f>
        <v>3</v>
      </c>
      <c r="N859">
        <f>WEEKNUM(orders[[#This Row],[Order Date]],2)</f>
        <v>6</v>
      </c>
      <c r="O859" t="str" cm="1">
        <f t="array" ref="O8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60" spans="1:15" x14ac:dyDescent="0.3">
      <c r="A860" t="s">
        <v>951</v>
      </c>
      <c r="B860" t="s">
        <v>143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20</v>
      </c>
      <c r="I860" t="s">
        <v>48</v>
      </c>
      <c r="J860">
        <v>3</v>
      </c>
      <c r="K860" t="s">
        <v>16</v>
      </c>
      <c r="L860" t="s">
        <v>30</v>
      </c>
      <c r="M860">
        <f>orders[[#This Row],[Ship Date]]-orders[[#This Row],[Order Date]]</f>
        <v>6</v>
      </c>
      <c r="N860">
        <f>WEEKNUM(orders[[#This Row],[Order Date]],2)</f>
        <v>6</v>
      </c>
      <c r="O860" t="str" cm="1">
        <f t="array" ref="O8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61" spans="1:15" x14ac:dyDescent="0.3">
      <c r="A861" t="s">
        <v>952</v>
      </c>
      <c r="B861" t="s">
        <v>41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24</v>
      </c>
      <c r="I861" t="s">
        <v>15</v>
      </c>
      <c r="J861">
        <v>3</v>
      </c>
      <c r="K861" t="s">
        <v>16</v>
      </c>
      <c r="L861" t="s">
        <v>30</v>
      </c>
      <c r="M861">
        <f>orders[[#This Row],[Ship Date]]-orders[[#This Row],[Order Date]]</f>
        <v>2</v>
      </c>
      <c r="N861">
        <f>WEEKNUM(orders[[#This Row],[Order Date]],2)</f>
        <v>6</v>
      </c>
      <c r="O861" t="str" cm="1">
        <f t="array" ref="O8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62" spans="1:15" x14ac:dyDescent="0.3">
      <c r="A862" t="s">
        <v>953</v>
      </c>
      <c r="B862" t="s">
        <v>120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14</v>
      </c>
      <c r="I862" t="s">
        <v>48</v>
      </c>
      <c r="J862">
        <v>3</v>
      </c>
      <c r="K862" t="s">
        <v>16</v>
      </c>
      <c r="L862" t="s">
        <v>30</v>
      </c>
      <c r="M862">
        <f>orders[[#This Row],[Ship Date]]-orders[[#This Row],[Order Date]]</f>
        <v>2</v>
      </c>
      <c r="N862">
        <f>WEEKNUM(orders[[#This Row],[Order Date]],2)</f>
        <v>6</v>
      </c>
      <c r="O862" t="str" cm="1">
        <f t="array" ref="O86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863" spans="1:15" x14ac:dyDescent="0.3">
      <c r="A863" t="s">
        <v>954</v>
      </c>
      <c r="B863" t="s">
        <v>36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20</v>
      </c>
      <c r="I863" t="s">
        <v>32</v>
      </c>
      <c r="J863">
        <v>3</v>
      </c>
      <c r="K863" t="s">
        <v>16</v>
      </c>
      <c r="L863" t="s">
        <v>95</v>
      </c>
      <c r="M863">
        <f>orders[[#This Row],[Ship Date]]-orders[[#This Row],[Order Date]]</f>
        <v>2</v>
      </c>
      <c r="N863">
        <f>WEEKNUM(orders[[#This Row],[Order Date]],2)</f>
        <v>6</v>
      </c>
      <c r="O863" t="str" cm="1">
        <f t="array" ref="O8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64" spans="1:15" x14ac:dyDescent="0.3">
      <c r="A864" t="s">
        <v>955</v>
      </c>
      <c r="B864" t="s">
        <v>41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20</v>
      </c>
      <c r="I864" t="s">
        <v>67</v>
      </c>
      <c r="J864">
        <v>5</v>
      </c>
      <c r="K864" t="s">
        <v>16</v>
      </c>
      <c r="L864" t="s">
        <v>52</v>
      </c>
      <c r="M864">
        <f>orders[[#This Row],[Ship Date]]-orders[[#This Row],[Order Date]]</f>
        <v>1</v>
      </c>
      <c r="N864">
        <f>WEEKNUM(orders[[#This Row],[Order Date]],2)</f>
        <v>6</v>
      </c>
      <c r="O864" t="str" cm="1">
        <f t="array" ref="O8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65" spans="1:15" x14ac:dyDescent="0.3">
      <c r="A865" t="s">
        <v>956</v>
      </c>
      <c r="B865" t="s">
        <v>39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24</v>
      </c>
      <c r="I865" t="s">
        <v>37</v>
      </c>
      <c r="J865">
        <v>4</v>
      </c>
      <c r="K865" t="s">
        <v>16</v>
      </c>
      <c r="L865" t="s">
        <v>59</v>
      </c>
      <c r="M865">
        <f>orders[[#This Row],[Ship Date]]-orders[[#This Row],[Order Date]]</f>
        <v>2</v>
      </c>
      <c r="N865">
        <f>WEEKNUM(orders[[#This Row],[Order Date]],2)</f>
        <v>6</v>
      </c>
      <c r="O865" t="str" cm="1">
        <f t="array" ref="O8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66" spans="1:15" x14ac:dyDescent="0.3">
      <c r="A866" t="s">
        <v>957</v>
      </c>
      <c r="B866" t="s">
        <v>23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24</v>
      </c>
      <c r="I866" t="s">
        <v>15</v>
      </c>
      <c r="J866">
        <v>4</v>
      </c>
      <c r="K866" t="s">
        <v>16</v>
      </c>
      <c r="L866" t="s">
        <v>59</v>
      </c>
      <c r="M866">
        <f>orders[[#This Row],[Ship Date]]-orders[[#This Row],[Order Date]]</f>
        <v>3</v>
      </c>
      <c r="N866">
        <f>WEEKNUM(orders[[#This Row],[Order Date]],2)</f>
        <v>6</v>
      </c>
      <c r="O866" t="str" cm="1">
        <f t="array" ref="O8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67" spans="1:15" x14ac:dyDescent="0.3">
      <c r="A867" t="s">
        <v>958</v>
      </c>
      <c r="B867" t="s">
        <v>23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24</v>
      </c>
      <c r="I867" t="s">
        <v>32</v>
      </c>
      <c r="J867">
        <v>3</v>
      </c>
      <c r="K867" t="s">
        <v>16</v>
      </c>
      <c r="L867" t="s">
        <v>59</v>
      </c>
      <c r="M867">
        <f>orders[[#This Row],[Ship Date]]-orders[[#This Row],[Order Date]]</f>
        <v>0</v>
      </c>
      <c r="N867">
        <f>WEEKNUM(orders[[#This Row],[Order Date]],2)</f>
        <v>6</v>
      </c>
      <c r="O867" t="str" cm="1">
        <f t="array" ref="O8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68" spans="1:15" x14ac:dyDescent="0.3">
      <c r="A868" t="s">
        <v>959</v>
      </c>
      <c r="B868" t="s">
        <v>66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20</v>
      </c>
      <c r="I868" t="s">
        <v>48</v>
      </c>
      <c r="J868">
        <v>4</v>
      </c>
      <c r="K868" t="s">
        <v>16</v>
      </c>
      <c r="L868" t="s">
        <v>100</v>
      </c>
      <c r="M868">
        <f>orders[[#This Row],[Ship Date]]-orders[[#This Row],[Order Date]]</f>
        <v>6</v>
      </c>
      <c r="N868">
        <f>WEEKNUM(orders[[#This Row],[Order Date]],2)</f>
        <v>6</v>
      </c>
      <c r="O868" t="str" cm="1">
        <f t="array" ref="O8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69" spans="1:15" x14ac:dyDescent="0.3">
      <c r="A869" t="s">
        <v>960</v>
      </c>
      <c r="B869" t="s">
        <v>51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24</v>
      </c>
      <c r="I869" t="s">
        <v>37</v>
      </c>
      <c r="J869">
        <v>3</v>
      </c>
      <c r="K869" t="s">
        <v>16</v>
      </c>
      <c r="L869" t="s">
        <v>374</v>
      </c>
      <c r="M869">
        <f>orders[[#This Row],[Ship Date]]-orders[[#This Row],[Order Date]]</f>
        <v>2</v>
      </c>
      <c r="N869">
        <f>WEEKNUM(orders[[#This Row],[Order Date]],2)</f>
        <v>6</v>
      </c>
      <c r="O869" t="str" cm="1">
        <f t="array" ref="O8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70" spans="1:15" x14ac:dyDescent="0.3">
      <c r="A870" t="s">
        <v>961</v>
      </c>
      <c r="B870" t="s">
        <v>51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20</v>
      </c>
      <c r="I870" t="s">
        <v>15</v>
      </c>
      <c r="J870">
        <v>2</v>
      </c>
      <c r="K870" t="s">
        <v>16</v>
      </c>
      <c r="L870" t="s">
        <v>105</v>
      </c>
      <c r="M870">
        <f>orders[[#This Row],[Ship Date]]-orders[[#This Row],[Order Date]]</f>
        <v>1</v>
      </c>
      <c r="N870">
        <f>WEEKNUM(orders[[#This Row],[Order Date]],2)</f>
        <v>6</v>
      </c>
      <c r="O870" t="str" cm="1">
        <f t="array" ref="O8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71" spans="1:15" x14ac:dyDescent="0.3">
      <c r="A871" t="s">
        <v>962</v>
      </c>
      <c r="B871" t="s">
        <v>36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24</v>
      </c>
      <c r="I871" t="s">
        <v>15</v>
      </c>
      <c r="J871">
        <v>4</v>
      </c>
      <c r="K871" t="s">
        <v>16</v>
      </c>
      <c r="L871" t="s">
        <v>107</v>
      </c>
      <c r="M871">
        <f>orders[[#This Row],[Ship Date]]-orders[[#This Row],[Order Date]]</f>
        <v>2</v>
      </c>
      <c r="N871">
        <f>WEEKNUM(orders[[#This Row],[Order Date]],2)</f>
        <v>6</v>
      </c>
      <c r="O871" t="str" cm="1">
        <f t="array" ref="O8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72" spans="1:15" x14ac:dyDescent="0.3">
      <c r="A872" t="s">
        <v>963</v>
      </c>
      <c r="B872" t="s">
        <v>19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20</v>
      </c>
      <c r="I872" t="s">
        <v>37</v>
      </c>
      <c r="J872">
        <v>5</v>
      </c>
      <c r="K872" t="s">
        <v>16</v>
      </c>
      <c r="L872" t="s">
        <v>964</v>
      </c>
      <c r="M872">
        <f>orders[[#This Row],[Ship Date]]-orders[[#This Row],[Order Date]]</f>
        <v>2</v>
      </c>
      <c r="N872">
        <f>WEEKNUM(orders[[#This Row],[Order Date]],2)</f>
        <v>6</v>
      </c>
      <c r="O872" t="str" cm="1">
        <f t="array" ref="O8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73" spans="1:15" x14ac:dyDescent="0.3">
      <c r="A873" t="s">
        <v>965</v>
      </c>
      <c r="B873" t="s">
        <v>27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24</v>
      </c>
      <c r="I873" t="s">
        <v>32</v>
      </c>
      <c r="J873">
        <v>5</v>
      </c>
      <c r="K873" t="s">
        <v>16</v>
      </c>
      <c r="L873" t="s">
        <v>21</v>
      </c>
      <c r="M873">
        <f>orders[[#This Row],[Ship Date]]-orders[[#This Row],[Order Date]]</f>
        <v>1</v>
      </c>
      <c r="N873">
        <f>WEEKNUM(orders[[#This Row],[Order Date]],2)</f>
        <v>6</v>
      </c>
      <c r="O873" t="str" cm="1">
        <f t="array" ref="O8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74" spans="1:15" x14ac:dyDescent="0.3">
      <c r="A874" t="s">
        <v>966</v>
      </c>
      <c r="B874" t="s">
        <v>23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24</v>
      </c>
      <c r="I874" t="s">
        <v>32</v>
      </c>
      <c r="J874">
        <v>5</v>
      </c>
      <c r="K874" t="s">
        <v>16</v>
      </c>
      <c r="L874" t="s">
        <v>25</v>
      </c>
      <c r="M874">
        <f>orders[[#This Row],[Ship Date]]-orders[[#This Row],[Order Date]]</f>
        <v>3</v>
      </c>
      <c r="N874">
        <f>WEEKNUM(orders[[#This Row],[Order Date]],2)</f>
        <v>6</v>
      </c>
      <c r="O874" t="str" cm="1">
        <f t="array" ref="O8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75" spans="1:15" x14ac:dyDescent="0.3">
      <c r="A875" t="s">
        <v>967</v>
      </c>
      <c r="B875" t="s">
        <v>41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24</v>
      </c>
      <c r="I875" t="s">
        <v>15</v>
      </c>
      <c r="J875">
        <v>5</v>
      </c>
      <c r="K875" t="s">
        <v>16</v>
      </c>
      <c r="L875" t="s">
        <v>25</v>
      </c>
      <c r="M875">
        <f>orders[[#This Row],[Ship Date]]-orders[[#This Row],[Order Date]]</f>
        <v>12</v>
      </c>
      <c r="N875">
        <f>WEEKNUM(orders[[#This Row],[Order Date]],2)</f>
        <v>6</v>
      </c>
      <c r="O875" t="str" cm="1">
        <f t="array" ref="O8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76" spans="1:15" x14ac:dyDescent="0.3">
      <c r="A876" t="s">
        <v>968</v>
      </c>
      <c r="B876" t="s">
        <v>23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24</v>
      </c>
      <c r="I876" t="s">
        <v>32</v>
      </c>
      <c r="J876">
        <v>4</v>
      </c>
      <c r="K876" t="s">
        <v>16</v>
      </c>
      <c r="L876" t="s">
        <v>30</v>
      </c>
      <c r="M876">
        <f>orders[[#This Row],[Ship Date]]-orders[[#This Row],[Order Date]]</f>
        <v>6</v>
      </c>
      <c r="N876">
        <f>WEEKNUM(orders[[#This Row],[Order Date]],2)</f>
        <v>6</v>
      </c>
      <c r="O876" t="str" cm="1">
        <f t="array" ref="O8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77" spans="1:15" x14ac:dyDescent="0.3">
      <c r="A877" t="s">
        <v>969</v>
      </c>
      <c r="B877" t="s">
        <v>39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24</v>
      </c>
      <c r="I877" t="s">
        <v>48</v>
      </c>
      <c r="J877">
        <v>4</v>
      </c>
      <c r="K877" t="s">
        <v>16</v>
      </c>
      <c r="L877" t="s">
        <v>30</v>
      </c>
      <c r="M877">
        <f>orders[[#This Row],[Ship Date]]-orders[[#This Row],[Order Date]]</f>
        <v>1</v>
      </c>
      <c r="N877">
        <f>WEEKNUM(orders[[#This Row],[Order Date]],2)</f>
        <v>6</v>
      </c>
      <c r="O877" t="str" cm="1">
        <f t="array" ref="O8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78" spans="1:15" x14ac:dyDescent="0.3">
      <c r="A878" t="s">
        <v>970</v>
      </c>
      <c r="B878" t="s">
        <v>39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20</v>
      </c>
      <c r="I878" t="s">
        <v>32</v>
      </c>
      <c r="J878">
        <v>5</v>
      </c>
      <c r="K878" t="s">
        <v>16</v>
      </c>
      <c r="L878" t="s">
        <v>30</v>
      </c>
      <c r="M878">
        <f>orders[[#This Row],[Ship Date]]-orders[[#This Row],[Order Date]]</f>
        <v>2</v>
      </c>
      <c r="N878">
        <f>WEEKNUM(orders[[#This Row],[Order Date]],2)</f>
        <v>6</v>
      </c>
      <c r="O878" t="str" cm="1">
        <f t="array" ref="O87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79" spans="1:15" x14ac:dyDescent="0.3">
      <c r="A879" t="s">
        <v>971</v>
      </c>
      <c r="B879" t="s">
        <v>13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24</v>
      </c>
      <c r="I879" t="s">
        <v>15</v>
      </c>
      <c r="J879">
        <v>4</v>
      </c>
      <c r="K879" t="s">
        <v>16</v>
      </c>
      <c r="L879" t="s">
        <v>30</v>
      </c>
      <c r="M879">
        <f>orders[[#This Row],[Ship Date]]-orders[[#This Row],[Order Date]]</f>
        <v>6</v>
      </c>
      <c r="N879">
        <f>WEEKNUM(orders[[#This Row],[Order Date]],2)</f>
        <v>6</v>
      </c>
      <c r="O879" t="str" cm="1">
        <f t="array" ref="O8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80" spans="1:15" x14ac:dyDescent="0.3">
      <c r="A880" t="s">
        <v>972</v>
      </c>
      <c r="B880" t="s">
        <v>120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20</v>
      </c>
      <c r="I880" t="s">
        <v>32</v>
      </c>
      <c r="J880">
        <v>4</v>
      </c>
      <c r="K880" t="s">
        <v>16</v>
      </c>
      <c r="L880" t="s">
        <v>30</v>
      </c>
      <c r="M880">
        <f>orders[[#This Row],[Ship Date]]-orders[[#This Row],[Order Date]]</f>
        <v>0</v>
      </c>
      <c r="N880">
        <f>WEEKNUM(orders[[#This Row],[Order Date]],2)</f>
        <v>6</v>
      </c>
      <c r="O880" t="str" cm="1">
        <f t="array" ref="O88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81" spans="1:15" x14ac:dyDescent="0.3">
      <c r="A881" t="s">
        <v>973</v>
      </c>
      <c r="B881" t="s">
        <v>51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24</v>
      </c>
      <c r="I881" t="s">
        <v>32</v>
      </c>
      <c r="J881">
        <v>5</v>
      </c>
      <c r="K881" t="s">
        <v>16</v>
      </c>
      <c r="L881" t="s">
        <v>30</v>
      </c>
      <c r="M881">
        <f>orders[[#This Row],[Ship Date]]-orders[[#This Row],[Order Date]]</f>
        <v>3</v>
      </c>
      <c r="N881">
        <f>WEEKNUM(orders[[#This Row],[Order Date]],2)</f>
        <v>6</v>
      </c>
      <c r="O881" t="str" cm="1">
        <f t="array" ref="O8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82" spans="1:15" x14ac:dyDescent="0.3">
      <c r="A882" t="s">
        <v>974</v>
      </c>
      <c r="B882" t="s">
        <v>23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24</v>
      </c>
      <c r="I882" t="s">
        <v>48</v>
      </c>
      <c r="J882">
        <v>5</v>
      </c>
      <c r="K882" t="s">
        <v>16</v>
      </c>
      <c r="L882" t="s">
        <v>30</v>
      </c>
      <c r="M882">
        <f>orders[[#This Row],[Ship Date]]-orders[[#This Row],[Order Date]]</f>
        <v>2</v>
      </c>
      <c r="N882">
        <f>WEEKNUM(orders[[#This Row],[Order Date]],2)</f>
        <v>6</v>
      </c>
      <c r="O882" t="str" cm="1">
        <f t="array" ref="O8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83" spans="1:15" x14ac:dyDescent="0.3">
      <c r="A883" t="s">
        <v>975</v>
      </c>
      <c r="B883" t="s">
        <v>19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24</v>
      </c>
      <c r="I883" t="s">
        <v>15</v>
      </c>
      <c r="J883">
        <v>4</v>
      </c>
      <c r="K883" t="s">
        <v>16</v>
      </c>
      <c r="L883" t="s">
        <v>30</v>
      </c>
      <c r="M883">
        <f>orders[[#This Row],[Ship Date]]-orders[[#This Row],[Order Date]]</f>
        <v>1</v>
      </c>
      <c r="N883">
        <f>WEEKNUM(orders[[#This Row],[Order Date]],2)</f>
        <v>6</v>
      </c>
      <c r="O883" t="str" cm="1">
        <f t="array" ref="O8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84" spans="1:15" x14ac:dyDescent="0.3">
      <c r="A884" t="s">
        <v>976</v>
      </c>
      <c r="B884" t="s">
        <v>125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24</v>
      </c>
      <c r="I884" t="s">
        <v>67</v>
      </c>
      <c r="J884">
        <v>4</v>
      </c>
      <c r="K884" t="s">
        <v>16</v>
      </c>
      <c r="L884" t="s">
        <v>361</v>
      </c>
      <c r="M884">
        <f>orders[[#This Row],[Ship Date]]-orders[[#This Row],[Order Date]]</f>
        <v>1</v>
      </c>
      <c r="N884">
        <f>WEEKNUM(orders[[#This Row],[Order Date]],2)</f>
        <v>6</v>
      </c>
      <c r="O884" t="str" cm="1">
        <f t="array" ref="O8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85" spans="1:15" x14ac:dyDescent="0.3">
      <c r="A885" t="s">
        <v>977</v>
      </c>
      <c r="B885" t="s">
        <v>36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20</v>
      </c>
      <c r="I885" t="s">
        <v>48</v>
      </c>
      <c r="J885">
        <v>4</v>
      </c>
      <c r="K885" t="s">
        <v>16</v>
      </c>
      <c r="L885" t="s">
        <v>799</v>
      </c>
      <c r="M885">
        <f>orders[[#This Row],[Ship Date]]-orders[[#This Row],[Order Date]]</f>
        <v>3</v>
      </c>
      <c r="N885">
        <f>WEEKNUM(orders[[#This Row],[Order Date]],2)</f>
        <v>6</v>
      </c>
      <c r="O885" t="str" cm="1">
        <f t="array" ref="O8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86" spans="1:15" x14ac:dyDescent="0.3">
      <c r="A886" t="s">
        <v>978</v>
      </c>
      <c r="B886" t="s">
        <v>64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24</v>
      </c>
      <c r="I886" t="s">
        <v>32</v>
      </c>
      <c r="J886">
        <v>5</v>
      </c>
      <c r="K886" t="s">
        <v>16</v>
      </c>
      <c r="L886" t="s">
        <v>185</v>
      </c>
      <c r="M886">
        <f>orders[[#This Row],[Ship Date]]-orders[[#This Row],[Order Date]]</f>
        <v>2</v>
      </c>
      <c r="N886">
        <f>WEEKNUM(orders[[#This Row],[Order Date]],2)</f>
        <v>6</v>
      </c>
      <c r="O886" t="str" cm="1">
        <f t="array" ref="O8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87" spans="1:15" x14ac:dyDescent="0.3">
      <c r="A887" t="s">
        <v>979</v>
      </c>
      <c r="B887" t="s">
        <v>125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20</v>
      </c>
      <c r="I887" t="s">
        <v>37</v>
      </c>
      <c r="J887">
        <v>3</v>
      </c>
      <c r="K887" t="s">
        <v>16</v>
      </c>
      <c r="L887" t="s">
        <v>185</v>
      </c>
      <c r="M887">
        <f>orders[[#This Row],[Ship Date]]-orders[[#This Row],[Order Date]]</f>
        <v>7</v>
      </c>
      <c r="N887">
        <f>WEEKNUM(orders[[#This Row],[Order Date]],2)</f>
        <v>6</v>
      </c>
      <c r="O887" t="str" cm="1">
        <f t="array" ref="O8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88" spans="1:15" x14ac:dyDescent="0.3">
      <c r="A888" t="s">
        <v>980</v>
      </c>
      <c r="B888" t="s">
        <v>23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20</v>
      </c>
      <c r="I888" t="s">
        <v>15</v>
      </c>
      <c r="J888">
        <v>4</v>
      </c>
      <c r="K888" t="s">
        <v>16</v>
      </c>
      <c r="L888" t="s">
        <v>49</v>
      </c>
      <c r="M888">
        <f>orders[[#This Row],[Ship Date]]-orders[[#This Row],[Order Date]]</f>
        <v>1</v>
      </c>
      <c r="N888">
        <f>WEEKNUM(orders[[#This Row],[Order Date]],2)</f>
        <v>6</v>
      </c>
      <c r="O888" t="str" cm="1">
        <f t="array" ref="O88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89" spans="1:15" x14ac:dyDescent="0.3">
      <c r="A889" t="s">
        <v>981</v>
      </c>
      <c r="B889" t="s">
        <v>73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24</v>
      </c>
      <c r="I889" t="s">
        <v>32</v>
      </c>
      <c r="J889">
        <v>3</v>
      </c>
      <c r="K889" t="s">
        <v>16</v>
      </c>
      <c r="L889" t="s">
        <v>52</v>
      </c>
      <c r="M889">
        <f>orders[[#This Row],[Ship Date]]-orders[[#This Row],[Order Date]]</f>
        <v>1</v>
      </c>
      <c r="N889">
        <f>WEEKNUM(orders[[#This Row],[Order Date]],2)</f>
        <v>6</v>
      </c>
      <c r="O889" t="str" cm="1">
        <f t="array" ref="O8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0" spans="1:15" x14ac:dyDescent="0.3">
      <c r="A890" t="s">
        <v>982</v>
      </c>
      <c r="B890" t="s">
        <v>13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24</v>
      </c>
      <c r="I890" t="s">
        <v>32</v>
      </c>
      <c r="J890">
        <v>3</v>
      </c>
      <c r="K890" t="s">
        <v>16</v>
      </c>
      <c r="L890" t="s">
        <v>52</v>
      </c>
      <c r="M890">
        <f>orders[[#This Row],[Ship Date]]-orders[[#This Row],[Order Date]]</f>
        <v>4</v>
      </c>
      <c r="N890">
        <f>WEEKNUM(orders[[#This Row],[Order Date]],2)</f>
        <v>6</v>
      </c>
      <c r="O890" t="str" cm="1">
        <f t="array" ref="O8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1" spans="1:15" x14ac:dyDescent="0.3">
      <c r="A891" t="s">
        <v>983</v>
      </c>
      <c r="B891" t="s">
        <v>39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24</v>
      </c>
      <c r="I891" t="s">
        <v>32</v>
      </c>
      <c r="J891">
        <v>4</v>
      </c>
      <c r="K891" t="s">
        <v>16</v>
      </c>
      <c r="L891" t="s">
        <v>59</v>
      </c>
      <c r="M891">
        <f>orders[[#This Row],[Ship Date]]-orders[[#This Row],[Order Date]]</f>
        <v>1</v>
      </c>
      <c r="N891">
        <f>WEEKNUM(orders[[#This Row],[Order Date]],2)</f>
        <v>6</v>
      </c>
      <c r="O891" t="str" cm="1">
        <f t="array" ref="O8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2" spans="1:15" x14ac:dyDescent="0.3">
      <c r="A892" t="s">
        <v>984</v>
      </c>
      <c r="B892" t="s">
        <v>23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24</v>
      </c>
      <c r="I892" t="s">
        <v>32</v>
      </c>
      <c r="J892">
        <v>3</v>
      </c>
      <c r="K892" t="s">
        <v>16</v>
      </c>
      <c r="L892" t="s">
        <v>59</v>
      </c>
      <c r="M892">
        <f>orders[[#This Row],[Ship Date]]-orders[[#This Row],[Order Date]]</f>
        <v>1</v>
      </c>
      <c r="N892">
        <f>WEEKNUM(orders[[#This Row],[Order Date]],2)</f>
        <v>6</v>
      </c>
      <c r="O892" t="str" cm="1">
        <f t="array" ref="O8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3" spans="1:15" x14ac:dyDescent="0.3">
      <c r="A893" t="s">
        <v>985</v>
      </c>
      <c r="B893" t="s">
        <v>29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20</v>
      </c>
      <c r="I893" t="s">
        <v>37</v>
      </c>
      <c r="J893">
        <v>4</v>
      </c>
      <c r="K893" t="s">
        <v>16</v>
      </c>
      <c r="L893" t="s">
        <v>59</v>
      </c>
      <c r="M893">
        <f>orders[[#This Row],[Ship Date]]-orders[[#This Row],[Order Date]]</f>
        <v>2</v>
      </c>
      <c r="N893">
        <f>WEEKNUM(orders[[#This Row],[Order Date]],2)</f>
        <v>6</v>
      </c>
      <c r="O893" t="str" cm="1">
        <f t="array" ref="O8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94" spans="1:15" x14ac:dyDescent="0.3">
      <c r="A894" t="s">
        <v>986</v>
      </c>
      <c r="B894" t="s">
        <v>78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20</v>
      </c>
      <c r="I894" t="s">
        <v>32</v>
      </c>
      <c r="J894">
        <v>5</v>
      </c>
      <c r="K894" t="s">
        <v>16</v>
      </c>
      <c r="L894" t="s">
        <v>59</v>
      </c>
      <c r="M894">
        <f>orders[[#This Row],[Ship Date]]-orders[[#This Row],[Order Date]]</f>
        <v>6</v>
      </c>
      <c r="N894">
        <f>WEEKNUM(orders[[#This Row],[Order Date]],2)</f>
        <v>6</v>
      </c>
      <c r="O894" t="str" cm="1">
        <f t="array" ref="O8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895" spans="1:15" x14ac:dyDescent="0.3">
      <c r="A895" t="s">
        <v>987</v>
      </c>
      <c r="B895" t="s">
        <v>23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24</v>
      </c>
      <c r="I895" t="s">
        <v>37</v>
      </c>
      <c r="J895">
        <v>4</v>
      </c>
      <c r="K895" t="s">
        <v>16</v>
      </c>
      <c r="L895" t="s">
        <v>71</v>
      </c>
      <c r="M895">
        <f>orders[[#This Row],[Ship Date]]-orders[[#This Row],[Order Date]]</f>
        <v>2</v>
      </c>
      <c r="N895">
        <f>WEEKNUM(orders[[#This Row],[Order Date]],2)</f>
        <v>6</v>
      </c>
      <c r="O895" t="str" cm="1">
        <f t="array" ref="O8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6" spans="1:15" x14ac:dyDescent="0.3">
      <c r="A896" t="s">
        <v>988</v>
      </c>
      <c r="B896" t="s">
        <v>73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24</v>
      </c>
      <c r="I896" t="s">
        <v>32</v>
      </c>
      <c r="J896">
        <v>2</v>
      </c>
      <c r="K896" t="s">
        <v>16</v>
      </c>
      <c r="L896" t="s">
        <v>74</v>
      </c>
      <c r="M896">
        <f>orders[[#This Row],[Ship Date]]-orders[[#This Row],[Order Date]]</f>
        <v>2</v>
      </c>
      <c r="N896">
        <f>WEEKNUM(orders[[#This Row],[Order Date]],2)</f>
        <v>6</v>
      </c>
      <c r="O896" t="str" cm="1">
        <f t="array" ref="O8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7" spans="1:15" x14ac:dyDescent="0.3">
      <c r="A897" t="s">
        <v>989</v>
      </c>
      <c r="B897" t="s">
        <v>23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24</v>
      </c>
      <c r="I897" t="s">
        <v>15</v>
      </c>
      <c r="J897">
        <v>4</v>
      </c>
      <c r="K897" t="s">
        <v>16</v>
      </c>
      <c r="L897" t="s">
        <v>74</v>
      </c>
      <c r="M897">
        <f>orders[[#This Row],[Ship Date]]-orders[[#This Row],[Order Date]]</f>
        <v>1</v>
      </c>
      <c r="N897">
        <f>WEEKNUM(orders[[#This Row],[Order Date]],2)</f>
        <v>6</v>
      </c>
      <c r="O897" t="str" cm="1">
        <f t="array" ref="O8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8" spans="1:15" x14ac:dyDescent="0.3">
      <c r="A898" t="s">
        <v>990</v>
      </c>
      <c r="B898" t="s">
        <v>41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24</v>
      </c>
      <c r="I898" t="s">
        <v>15</v>
      </c>
      <c r="J898">
        <v>4</v>
      </c>
      <c r="K898" t="s">
        <v>16</v>
      </c>
      <c r="L898" t="s">
        <v>107</v>
      </c>
      <c r="M898">
        <f>orders[[#This Row],[Ship Date]]-orders[[#This Row],[Order Date]]</f>
        <v>5</v>
      </c>
      <c r="N898">
        <f>WEEKNUM(orders[[#This Row],[Order Date]],2)</f>
        <v>6</v>
      </c>
      <c r="O898" t="str" cm="1">
        <f t="array" ref="O8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899" spans="1:15" x14ac:dyDescent="0.3">
      <c r="A899" t="s">
        <v>991</v>
      </c>
      <c r="B899" t="s">
        <v>43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24</v>
      </c>
      <c r="I899" t="s">
        <v>37</v>
      </c>
      <c r="J899">
        <v>4</v>
      </c>
      <c r="K899" t="s">
        <v>16</v>
      </c>
      <c r="L899" t="s">
        <v>107</v>
      </c>
      <c r="M899">
        <f>orders[[#This Row],[Ship Date]]-orders[[#This Row],[Order Date]]</f>
        <v>2</v>
      </c>
      <c r="N899">
        <f>WEEKNUM(orders[[#This Row],[Order Date]],2)</f>
        <v>6</v>
      </c>
      <c r="O899" t="str" cm="1">
        <f t="array" ref="O8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00" spans="1:15" x14ac:dyDescent="0.3">
      <c r="A900" t="s">
        <v>992</v>
      </c>
      <c r="B900" t="s">
        <v>66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24</v>
      </c>
      <c r="I900" t="s">
        <v>37</v>
      </c>
      <c r="J900">
        <v>4</v>
      </c>
      <c r="K900" t="s">
        <v>16</v>
      </c>
      <c r="L900" t="s">
        <v>289</v>
      </c>
      <c r="M900">
        <f>orders[[#This Row],[Ship Date]]-orders[[#This Row],[Order Date]]</f>
        <v>1</v>
      </c>
      <c r="N900">
        <f>WEEKNUM(orders[[#This Row],[Order Date]],2)</f>
        <v>6</v>
      </c>
      <c r="O900" t="str" cm="1">
        <f t="array" ref="O9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01" spans="1:15" x14ac:dyDescent="0.3">
      <c r="A901" t="s">
        <v>993</v>
      </c>
      <c r="B901" t="s">
        <v>43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14</v>
      </c>
      <c r="I901" t="s">
        <v>32</v>
      </c>
      <c r="J901">
        <v>4</v>
      </c>
      <c r="K901" t="s">
        <v>16</v>
      </c>
      <c r="L901" t="s">
        <v>994</v>
      </c>
      <c r="M901">
        <f>orders[[#This Row],[Ship Date]]-orders[[#This Row],[Order Date]]</f>
        <v>1</v>
      </c>
      <c r="N901">
        <f>WEEKNUM(orders[[#This Row],[Order Date]],2)</f>
        <v>6</v>
      </c>
      <c r="O901" t="str" cm="1">
        <f t="array" ref="O90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02" spans="1:15" x14ac:dyDescent="0.3">
      <c r="A902" t="s">
        <v>995</v>
      </c>
      <c r="B902" t="s">
        <v>13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24</v>
      </c>
      <c r="I902" t="s">
        <v>37</v>
      </c>
      <c r="J902">
        <v>2</v>
      </c>
      <c r="K902" t="s">
        <v>16</v>
      </c>
      <c r="L902" t="s">
        <v>79</v>
      </c>
      <c r="M902">
        <f>orders[[#This Row],[Ship Date]]-orders[[#This Row],[Order Date]]</f>
        <v>2</v>
      </c>
      <c r="N902">
        <f>WEEKNUM(orders[[#This Row],[Order Date]],2)</f>
        <v>6</v>
      </c>
      <c r="O902" t="str" cm="1">
        <f t="array" ref="O9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03" spans="1:15" x14ac:dyDescent="0.3">
      <c r="A903" t="s">
        <v>996</v>
      </c>
      <c r="B903" t="s">
        <v>13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24</v>
      </c>
      <c r="I903" t="s">
        <v>48</v>
      </c>
      <c r="J903">
        <v>4</v>
      </c>
      <c r="K903" t="s">
        <v>16</v>
      </c>
      <c r="L903" t="s">
        <v>240</v>
      </c>
      <c r="M903">
        <f>orders[[#This Row],[Ship Date]]-orders[[#This Row],[Order Date]]</f>
        <v>1</v>
      </c>
      <c r="N903">
        <f>WEEKNUM(orders[[#This Row],[Order Date]],2)</f>
        <v>6</v>
      </c>
      <c r="O903" t="str" cm="1">
        <f t="array" ref="O9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04" spans="1:15" x14ac:dyDescent="0.3">
      <c r="A904" t="s">
        <v>997</v>
      </c>
      <c r="B904" t="s">
        <v>36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20</v>
      </c>
      <c r="I904" t="s">
        <v>37</v>
      </c>
      <c r="J904">
        <v>3</v>
      </c>
      <c r="K904" t="s">
        <v>16</v>
      </c>
      <c r="L904" t="s">
        <v>30</v>
      </c>
      <c r="M904">
        <f>orders[[#This Row],[Ship Date]]-orders[[#This Row],[Order Date]]</f>
        <v>1</v>
      </c>
      <c r="N904">
        <f>WEEKNUM(orders[[#This Row],[Order Date]],2)</f>
        <v>6</v>
      </c>
      <c r="O904" t="str" cm="1">
        <f t="array" ref="O9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05" spans="1:15" x14ac:dyDescent="0.3">
      <c r="A905" t="s">
        <v>998</v>
      </c>
      <c r="B905" t="s">
        <v>36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24</v>
      </c>
      <c r="I905" t="s">
        <v>32</v>
      </c>
      <c r="J905">
        <v>4</v>
      </c>
      <c r="K905" t="s">
        <v>16</v>
      </c>
      <c r="L905" t="s">
        <v>30</v>
      </c>
      <c r="M905">
        <f>orders[[#This Row],[Ship Date]]-orders[[#This Row],[Order Date]]</f>
        <v>2</v>
      </c>
      <c r="N905">
        <f>WEEKNUM(orders[[#This Row],[Order Date]],2)</f>
        <v>6</v>
      </c>
      <c r="O905" t="str" cm="1">
        <f t="array" ref="O9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06" spans="1:15" x14ac:dyDescent="0.3">
      <c r="A906" t="s">
        <v>999</v>
      </c>
      <c r="B906" t="s">
        <v>73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86</v>
      </c>
      <c r="I906" t="s">
        <v>15</v>
      </c>
      <c r="J906">
        <v>3</v>
      </c>
      <c r="K906" t="s">
        <v>16</v>
      </c>
      <c r="L906" t="s">
        <v>30</v>
      </c>
      <c r="M906">
        <f>orders[[#This Row],[Ship Date]]-orders[[#This Row],[Order Date]]</f>
        <v>3</v>
      </c>
      <c r="N906">
        <f>WEEKNUM(orders[[#This Row],[Order Date]],2)</f>
        <v>6</v>
      </c>
      <c r="O906" t="str" cm="1">
        <f t="array" ref="O906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907" spans="1:15" x14ac:dyDescent="0.3">
      <c r="A907" t="s">
        <v>1000</v>
      </c>
      <c r="B907" t="s">
        <v>43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14</v>
      </c>
      <c r="I907" t="s">
        <v>37</v>
      </c>
      <c r="J907">
        <v>2</v>
      </c>
      <c r="K907" t="s">
        <v>16</v>
      </c>
      <c r="L907" t="s">
        <v>30</v>
      </c>
      <c r="M907">
        <f>orders[[#This Row],[Ship Date]]-orders[[#This Row],[Order Date]]</f>
        <v>4</v>
      </c>
      <c r="N907">
        <f>WEEKNUM(orders[[#This Row],[Order Date]],2)</f>
        <v>6</v>
      </c>
      <c r="O907" t="str" cm="1">
        <f t="array" ref="O90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08" spans="1:15" x14ac:dyDescent="0.3">
      <c r="A908" t="s">
        <v>1001</v>
      </c>
      <c r="B908" t="s">
        <v>43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24</v>
      </c>
      <c r="I908" t="s">
        <v>37</v>
      </c>
      <c r="J908">
        <v>5</v>
      </c>
      <c r="K908" t="s">
        <v>16</v>
      </c>
      <c r="L908" t="s">
        <v>30</v>
      </c>
      <c r="M908">
        <f>orders[[#This Row],[Ship Date]]-orders[[#This Row],[Order Date]]</f>
        <v>13</v>
      </c>
      <c r="N908">
        <f>WEEKNUM(orders[[#This Row],[Order Date]],2)</f>
        <v>6</v>
      </c>
      <c r="O908" t="str" cm="1">
        <f t="array" ref="O9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09" spans="1:15" x14ac:dyDescent="0.3">
      <c r="A909" t="s">
        <v>1002</v>
      </c>
      <c r="B909" t="s">
        <v>41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20</v>
      </c>
      <c r="I909" t="s">
        <v>32</v>
      </c>
      <c r="J909">
        <v>3</v>
      </c>
      <c r="K909" t="s">
        <v>16</v>
      </c>
      <c r="L909" t="s">
        <v>30</v>
      </c>
      <c r="M909">
        <f>orders[[#This Row],[Ship Date]]-orders[[#This Row],[Order Date]]</f>
        <v>2</v>
      </c>
      <c r="N909">
        <f>WEEKNUM(orders[[#This Row],[Order Date]],2)</f>
        <v>6</v>
      </c>
      <c r="O909" t="str" cm="1">
        <f t="array" ref="O9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10" spans="1:15" x14ac:dyDescent="0.3">
      <c r="A910" t="s">
        <v>1003</v>
      </c>
      <c r="B910" t="s">
        <v>66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20</v>
      </c>
      <c r="I910" t="s">
        <v>32</v>
      </c>
      <c r="J910">
        <v>3</v>
      </c>
      <c r="K910" t="s">
        <v>16</v>
      </c>
      <c r="L910" t="s">
        <v>30</v>
      </c>
      <c r="M910">
        <f>orders[[#This Row],[Ship Date]]-orders[[#This Row],[Order Date]]</f>
        <v>1</v>
      </c>
      <c r="N910">
        <f>WEEKNUM(orders[[#This Row],[Order Date]],2)</f>
        <v>6</v>
      </c>
      <c r="O910" t="str" cm="1">
        <f t="array" ref="O9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11" spans="1:15" x14ac:dyDescent="0.3">
      <c r="A911" t="s">
        <v>1004</v>
      </c>
      <c r="B911" t="s">
        <v>41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14</v>
      </c>
      <c r="I911" t="s">
        <v>15</v>
      </c>
      <c r="J911">
        <v>5</v>
      </c>
      <c r="K911" t="s">
        <v>16</v>
      </c>
      <c r="L911" t="s">
        <v>30</v>
      </c>
      <c r="M911">
        <f>orders[[#This Row],[Ship Date]]-orders[[#This Row],[Order Date]]</f>
        <v>0</v>
      </c>
      <c r="N911">
        <f>WEEKNUM(orders[[#This Row],[Order Date]],2)</f>
        <v>6</v>
      </c>
      <c r="O911" t="str" cm="1">
        <f t="array" ref="O91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12" spans="1:15" x14ac:dyDescent="0.3">
      <c r="A912" t="s">
        <v>1005</v>
      </c>
      <c r="B912" t="s">
        <v>29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20</v>
      </c>
      <c r="I912" t="s">
        <v>15</v>
      </c>
      <c r="J912">
        <v>3</v>
      </c>
      <c r="K912" t="s">
        <v>16</v>
      </c>
      <c r="L912" t="s">
        <v>52</v>
      </c>
      <c r="M912">
        <f>orders[[#This Row],[Ship Date]]-orders[[#This Row],[Order Date]]</f>
        <v>1</v>
      </c>
      <c r="N912">
        <f>WEEKNUM(orders[[#This Row],[Order Date]],2)</f>
        <v>6</v>
      </c>
      <c r="O912" t="str" cm="1">
        <f t="array" ref="O9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13" spans="1:15" x14ac:dyDescent="0.3">
      <c r="A913" t="s">
        <v>1006</v>
      </c>
      <c r="B913" t="s">
        <v>23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20</v>
      </c>
      <c r="I913" t="s">
        <v>15</v>
      </c>
      <c r="J913">
        <v>3</v>
      </c>
      <c r="K913" t="s">
        <v>16</v>
      </c>
      <c r="L913" t="s">
        <v>56</v>
      </c>
      <c r="M913">
        <f>orders[[#This Row],[Ship Date]]-orders[[#This Row],[Order Date]]</f>
        <v>2</v>
      </c>
      <c r="N913">
        <f>WEEKNUM(orders[[#This Row],[Order Date]],2)</f>
        <v>6</v>
      </c>
      <c r="O913" t="str" cm="1">
        <f t="array" ref="O91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14" spans="1:15" x14ac:dyDescent="0.3">
      <c r="A914" t="s">
        <v>1007</v>
      </c>
      <c r="B914" t="s">
        <v>36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20</v>
      </c>
      <c r="I914" t="s">
        <v>15</v>
      </c>
      <c r="J914">
        <v>4</v>
      </c>
      <c r="K914" t="s">
        <v>16</v>
      </c>
      <c r="L914" t="s">
        <v>100</v>
      </c>
      <c r="M914">
        <f>orders[[#This Row],[Ship Date]]-orders[[#This Row],[Order Date]]</f>
        <v>2</v>
      </c>
      <c r="N914">
        <f>WEEKNUM(orders[[#This Row],[Order Date]],2)</f>
        <v>6</v>
      </c>
      <c r="O914" t="str" cm="1">
        <f t="array" ref="O9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15" spans="1:15" x14ac:dyDescent="0.3">
      <c r="A915" t="s">
        <v>1008</v>
      </c>
      <c r="B915" t="s">
        <v>78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14</v>
      </c>
      <c r="I915" t="s">
        <v>15</v>
      </c>
      <c r="J915">
        <v>3</v>
      </c>
      <c r="K915" t="s">
        <v>16</v>
      </c>
      <c r="L915" t="s">
        <v>71</v>
      </c>
      <c r="M915">
        <f>orders[[#This Row],[Ship Date]]-orders[[#This Row],[Order Date]]</f>
        <v>2</v>
      </c>
      <c r="N915">
        <f>WEEKNUM(orders[[#This Row],[Order Date]],2)</f>
        <v>6</v>
      </c>
      <c r="O915" t="str" cm="1">
        <f t="array" ref="O91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16" spans="1:15" x14ac:dyDescent="0.3">
      <c r="A916" t="s">
        <v>1009</v>
      </c>
      <c r="B916" t="s">
        <v>36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24</v>
      </c>
      <c r="I916" t="s">
        <v>48</v>
      </c>
      <c r="J916">
        <v>5</v>
      </c>
      <c r="K916" t="s">
        <v>16</v>
      </c>
      <c r="L916" t="s">
        <v>74</v>
      </c>
      <c r="M916">
        <f>orders[[#This Row],[Ship Date]]-orders[[#This Row],[Order Date]]</f>
        <v>1</v>
      </c>
      <c r="N916">
        <f>WEEKNUM(orders[[#This Row],[Order Date]],2)</f>
        <v>6</v>
      </c>
      <c r="O916" t="str" cm="1">
        <f t="array" ref="O9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17" spans="1:15" x14ac:dyDescent="0.3">
      <c r="A917" t="s">
        <v>1010</v>
      </c>
      <c r="B917" t="s">
        <v>120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24</v>
      </c>
      <c r="I917" t="s">
        <v>15</v>
      </c>
      <c r="J917">
        <v>3</v>
      </c>
      <c r="K917" t="s">
        <v>16</v>
      </c>
      <c r="L917" t="s">
        <v>81</v>
      </c>
      <c r="M917">
        <f>orders[[#This Row],[Ship Date]]-orders[[#This Row],[Order Date]]</f>
        <v>4</v>
      </c>
      <c r="N917">
        <f>WEEKNUM(orders[[#This Row],[Order Date]],2)</f>
        <v>6</v>
      </c>
      <c r="O917" t="str" cm="1">
        <f t="array" ref="O9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18" spans="1:15" x14ac:dyDescent="0.3">
      <c r="A918" t="s">
        <v>1011</v>
      </c>
      <c r="B918" t="s">
        <v>51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20</v>
      </c>
      <c r="I918" t="s">
        <v>37</v>
      </c>
      <c r="J918">
        <v>3</v>
      </c>
      <c r="K918" t="s">
        <v>16</v>
      </c>
      <c r="L918" t="s">
        <v>25</v>
      </c>
      <c r="M918">
        <f>orders[[#This Row],[Ship Date]]-orders[[#This Row],[Order Date]]</f>
        <v>2</v>
      </c>
      <c r="N918">
        <f>WEEKNUM(orders[[#This Row],[Order Date]],2)</f>
        <v>6</v>
      </c>
      <c r="O918" t="str" cm="1">
        <f t="array" ref="O91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19" spans="1:15" x14ac:dyDescent="0.3">
      <c r="A919" t="s">
        <v>1012</v>
      </c>
      <c r="B919" t="s">
        <v>23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24</v>
      </c>
      <c r="I919" t="s">
        <v>32</v>
      </c>
      <c r="J919">
        <v>2</v>
      </c>
      <c r="K919" t="s">
        <v>16</v>
      </c>
      <c r="L919" t="s">
        <v>584</v>
      </c>
      <c r="M919">
        <f>orders[[#This Row],[Ship Date]]-orders[[#This Row],[Order Date]]</f>
        <v>4</v>
      </c>
      <c r="N919">
        <f>WEEKNUM(orders[[#This Row],[Order Date]],2)</f>
        <v>6</v>
      </c>
      <c r="O919" t="str" cm="1">
        <f t="array" ref="O9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20" spans="1:15" x14ac:dyDescent="0.3">
      <c r="A920" t="s">
        <v>1013</v>
      </c>
      <c r="B920" t="s">
        <v>41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20</v>
      </c>
      <c r="I920" t="s">
        <v>15</v>
      </c>
      <c r="J920">
        <v>4</v>
      </c>
      <c r="K920" t="s">
        <v>16</v>
      </c>
      <c r="L920" t="s">
        <v>144</v>
      </c>
      <c r="M920">
        <f>orders[[#This Row],[Ship Date]]-orders[[#This Row],[Order Date]]</f>
        <v>4</v>
      </c>
      <c r="N920">
        <f>WEEKNUM(orders[[#This Row],[Order Date]],2)</f>
        <v>6</v>
      </c>
      <c r="O920" t="str" cm="1">
        <f t="array" ref="O9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21" spans="1:15" x14ac:dyDescent="0.3">
      <c r="A921" t="s">
        <v>1014</v>
      </c>
      <c r="B921" t="s">
        <v>143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24</v>
      </c>
      <c r="I921" t="s">
        <v>15</v>
      </c>
      <c r="J921">
        <v>4</v>
      </c>
      <c r="K921" t="s">
        <v>16</v>
      </c>
      <c r="L921" t="s">
        <v>30</v>
      </c>
      <c r="M921">
        <f>orders[[#This Row],[Ship Date]]-orders[[#This Row],[Order Date]]</f>
        <v>3</v>
      </c>
      <c r="N921">
        <f>WEEKNUM(orders[[#This Row],[Order Date]],2)</f>
        <v>6</v>
      </c>
      <c r="O921" t="str" cm="1">
        <f t="array" ref="O9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22" spans="1:15" x14ac:dyDescent="0.3">
      <c r="A922" t="s">
        <v>1015</v>
      </c>
      <c r="B922" t="s">
        <v>43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14</v>
      </c>
      <c r="I922" t="s">
        <v>15</v>
      </c>
      <c r="J922">
        <v>3</v>
      </c>
      <c r="K922" t="s">
        <v>16</v>
      </c>
      <c r="L922" t="s">
        <v>30</v>
      </c>
      <c r="M922">
        <f>orders[[#This Row],[Ship Date]]-orders[[#This Row],[Order Date]]</f>
        <v>1</v>
      </c>
      <c r="N922">
        <f>WEEKNUM(orders[[#This Row],[Order Date]],2)</f>
        <v>6</v>
      </c>
      <c r="O922" t="str" cm="1">
        <f t="array" ref="O92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23" spans="1:15" x14ac:dyDescent="0.3">
      <c r="A923" t="s">
        <v>1016</v>
      </c>
      <c r="B923" t="s">
        <v>41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86</v>
      </c>
      <c r="I923" t="s">
        <v>32</v>
      </c>
      <c r="J923">
        <v>5</v>
      </c>
      <c r="K923" t="s">
        <v>16</v>
      </c>
      <c r="L923" t="s">
        <v>30</v>
      </c>
      <c r="M923">
        <f>orders[[#This Row],[Ship Date]]-orders[[#This Row],[Order Date]]</f>
        <v>2</v>
      </c>
      <c r="N923">
        <f>WEEKNUM(orders[[#This Row],[Order Date]],2)</f>
        <v>6</v>
      </c>
      <c r="O923" t="str" cm="1">
        <f t="array" ref="O92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924" spans="1:15" x14ac:dyDescent="0.3">
      <c r="A924" t="s">
        <v>1017</v>
      </c>
      <c r="B924" t="s">
        <v>43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24</v>
      </c>
      <c r="I924" t="s">
        <v>37</v>
      </c>
      <c r="J924">
        <v>5</v>
      </c>
      <c r="K924" t="s">
        <v>16</v>
      </c>
      <c r="L924" t="s">
        <v>30</v>
      </c>
      <c r="M924">
        <f>orders[[#This Row],[Ship Date]]-orders[[#This Row],[Order Date]]</f>
        <v>5</v>
      </c>
      <c r="N924">
        <f>WEEKNUM(orders[[#This Row],[Order Date]],2)</f>
        <v>6</v>
      </c>
      <c r="O924" t="str" cm="1">
        <f t="array" ref="O9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25" spans="1:15" x14ac:dyDescent="0.3">
      <c r="A925" t="s">
        <v>1018</v>
      </c>
      <c r="B925" t="s">
        <v>132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24</v>
      </c>
      <c r="I925" t="s">
        <v>37</v>
      </c>
      <c r="J925">
        <v>5</v>
      </c>
      <c r="K925" t="s">
        <v>16</v>
      </c>
      <c r="L925" t="s">
        <v>30</v>
      </c>
      <c r="M925">
        <f>orders[[#This Row],[Ship Date]]-orders[[#This Row],[Order Date]]</f>
        <v>2</v>
      </c>
      <c r="N925">
        <f>WEEKNUM(orders[[#This Row],[Order Date]],2)</f>
        <v>6</v>
      </c>
      <c r="O925" t="str" cm="1">
        <f t="array" ref="O9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26" spans="1:15" x14ac:dyDescent="0.3">
      <c r="A926" t="s">
        <v>1019</v>
      </c>
      <c r="B926" t="s">
        <v>13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20</v>
      </c>
      <c r="I926" t="s">
        <v>48</v>
      </c>
      <c r="J926">
        <v>5</v>
      </c>
      <c r="K926" t="s">
        <v>16</v>
      </c>
      <c r="L926" t="s">
        <v>30</v>
      </c>
      <c r="M926">
        <f>orders[[#This Row],[Ship Date]]-orders[[#This Row],[Order Date]]</f>
        <v>4</v>
      </c>
      <c r="N926">
        <f>WEEKNUM(orders[[#This Row],[Order Date]],2)</f>
        <v>6</v>
      </c>
      <c r="O926" t="str" cm="1">
        <f t="array" ref="O9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27" spans="1:15" x14ac:dyDescent="0.3">
      <c r="A927" t="s">
        <v>1020</v>
      </c>
      <c r="B927" t="s">
        <v>41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14</v>
      </c>
      <c r="I927" t="s">
        <v>15</v>
      </c>
      <c r="J927">
        <v>3</v>
      </c>
      <c r="K927" t="s">
        <v>16</v>
      </c>
      <c r="L927" t="s">
        <v>30</v>
      </c>
      <c r="M927">
        <f>orders[[#This Row],[Ship Date]]-orders[[#This Row],[Order Date]]</f>
        <v>2</v>
      </c>
      <c r="N927">
        <f>WEEKNUM(orders[[#This Row],[Order Date]],2)</f>
        <v>6</v>
      </c>
      <c r="O927" t="str" cm="1">
        <f t="array" ref="O92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28" spans="1:15" x14ac:dyDescent="0.3">
      <c r="A928" t="s">
        <v>1021</v>
      </c>
      <c r="B928" t="s">
        <v>29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24</v>
      </c>
      <c r="I928" t="s">
        <v>32</v>
      </c>
      <c r="J928">
        <v>4</v>
      </c>
      <c r="K928" t="s">
        <v>16</v>
      </c>
      <c r="L928" t="s">
        <v>30</v>
      </c>
      <c r="M928">
        <f>orders[[#This Row],[Ship Date]]-orders[[#This Row],[Order Date]]</f>
        <v>2</v>
      </c>
      <c r="N928">
        <f>WEEKNUM(orders[[#This Row],[Order Date]],2)</f>
        <v>6</v>
      </c>
      <c r="O928" t="str" cm="1">
        <f t="array" ref="O9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29" spans="1:15" x14ac:dyDescent="0.3">
      <c r="A929" t="s">
        <v>1022</v>
      </c>
      <c r="B929" t="s">
        <v>13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24</v>
      </c>
      <c r="I929" t="s">
        <v>15</v>
      </c>
      <c r="J929">
        <v>4</v>
      </c>
      <c r="K929" t="s">
        <v>16</v>
      </c>
      <c r="L929" t="s">
        <v>30</v>
      </c>
      <c r="M929">
        <f>orders[[#This Row],[Ship Date]]-orders[[#This Row],[Order Date]]</f>
        <v>2</v>
      </c>
      <c r="N929">
        <f>WEEKNUM(orders[[#This Row],[Order Date]],2)</f>
        <v>6</v>
      </c>
      <c r="O929" t="str" cm="1">
        <f t="array" ref="O9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30" spans="1:15" x14ac:dyDescent="0.3">
      <c r="A930" t="s">
        <v>1023</v>
      </c>
      <c r="B930" t="s">
        <v>29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24</v>
      </c>
      <c r="I930" t="s">
        <v>67</v>
      </c>
      <c r="J930">
        <v>5</v>
      </c>
      <c r="K930" t="s">
        <v>16</v>
      </c>
      <c r="L930" t="s">
        <v>30</v>
      </c>
      <c r="M930">
        <f>orders[[#This Row],[Ship Date]]-orders[[#This Row],[Order Date]]</f>
        <v>2</v>
      </c>
      <c r="N930">
        <f>WEEKNUM(orders[[#This Row],[Order Date]],2)</f>
        <v>6</v>
      </c>
      <c r="O930" t="str" cm="1">
        <f t="array" ref="O9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31" spans="1:15" x14ac:dyDescent="0.3">
      <c r="A931" t="s">
        <v>1024</v>
      </c>
      <c r="B931" t="s">
        <v>132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24</v>
      </c>
      <c r="I931" t="s">
        <v>15</v>
      </c>
      <c r="J931">
        <v>3</v>
      </c>
      <c r="K931" t="s">
        <v>16</v>
      </c>
      <c r="L931" t="s">
        <v>30</v>
      </c>
      <c r="M931">
        <f>orders[[#This Row],[Ship Date]]-orders[[#This Row],[Order Date]]</f>
        <v>8</v>
      </c>
      <c r="N931">
        <f>WEEKNUM(orders[[#This Row],[Order Date]],2)</f>
        <v>6</v>
      </c>
      <c r="O931" t="str" cm="1">
        <f t="array" ref="O9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32" spans="1:15" x14ac:dyDescent="0.3">
      <c r="A932" t="s">
        <v>1025</v>
      </c>
      <c r="B932" t="s">
        <v>51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24</v>
      </c>
      <c r="I932" t="s">
        <v>37</v>
      </c>
      <c r="J932">
        <v>3</v>
      </c>
      <c r="K932" t="s">
        <v>16</v>
      </c>
      <c r="L932" t="s">
        <v>30</v>
      </c>
      <c r="M932">
        <f>orders[[#This Row],[Ship Date]]-orders[[#This Row],[Order Date]]</f>
        <v>0</v>
      </c>
      <c r="N932">
        <f>WEEKNUM(orders[[#This Row],[Order Date]],2)</f>
        <v>6</v>
      </c>
      <c r="O932" t="str" cm="1">
        <f t="array" ref="O9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33" spans="1:15" x14ac:dyDescent="0.3">
      <c r="A933" t="s">
        <v>1026</v>
      </c>
      <c r="B933" t="s">
        <v>36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20</v>
      </c>
      <c r="I933" t="s">
        <v>15</v>
      </c>
      <c r="J933">
        <v>5</v>
      </c>
      <c r="K933" t="s">
        <v>16</v>
      </c>
      <c r="L933" t="s">
        <v>52</v>
      </c>
      <c r="M933">
        <f>orders[[#This Row],[Ship Date]]-orders[[#This Row],[Order Date]]</f>
        <v>1</v>
      </c>
      <c r="N933">
        <f>WEEKNUM(orders[[#This Row],[Order Date]],2)</f>
        <v>6</v>
      </c>
      <c r="O933" t="str" cm="1">
        <f t="array" ref="O9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34" spans="1:15" x14ac:dyDescent="0.3">
      <c r="A934" t="s">
        <v>1027</v>
      </c>
      <c r="B934" t="s">
        <v>34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24</v>
      </c>
      <c r="I934" t="s">
        <v>15</v>
      </c>
      <c r="J934">
        <v>3</v>
      </c>
      <c r="K934" t="s">
        <v>16</v>
      </c>
      <c r="L934" t="s">
        <v>52</v>
      </c>
      <c r="M934">
        <f>orders[[#This Row],[Ship Date]]-orders[[#This Row],[Order Date]]</f>
        <v>1</v>
      </c>
      <c r="N934">
        <f>WEEKNUM(orders[[#This Row],[Order Date]],2)</f>
        <v>6</v>
      </c>
      <c r="O934" t="str" cm="1">
        <f t="array" ref="O9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35" spans="1:15" x14ac:dyDescent="0.3">
      <c r="A935" t="s">
        <v>1028</v>
      </c>
      <c r="B935" t="s">
        <v>13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24</v>
      </c>
      <c r="I935" t="s">
        <v>15</v>
      </c>
      <c r="J935">
        <v>5</v>
      </c>
      <c r="K935" t="s">
        <v>16</v>
      </c>
      <c r="L935" t="s">
        <v>339</v>
      </c>
      <c r="M935">
        <f>orders[[#This Row],[Ship Date]]-orders[[#This Row],[Order Date]]</f>
        <v>3</v>
      </c>
      <c r="N935">
        <f>WEEKNUM(orders[[#This Row],[Order Date]],2)</f>
        <v>6</v>
      </c>
      <c r="O935" t="str" cm="1">
        <f t="array" ref="O9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36" spans="1:15" x14ac:dyDescent="0.3">
      <c r="A936" t="s">
        <v>1029</v>
      </c>
      <c r="B936" t="s">
        <v>41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20</v>
      </c>
      <c r="I936" t="s">
        <v>32</v>
      </c>
      <c r="J936">
        <v>4</v>
      </c>
      <c r="K936" t="s">
        <v>16</v>
      </c>
      <c r="L936" t="s">
        <v>56</v>
      </c>
      <c r="M936">
        <f>orders[[#This Row],[Ship Date]]-orders[[#This Row],[Order Date]]</f>
        <v>7</v>
      </c>
      <c r="N936">
        <f>WEEKNUM(orders[[#This Row],[Order Date]],2)</f>
        <v>6</v>
      </c>
      <c r="O936" t="str" cm="1">
        <f t="array" ref="O9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37" spans="1:15" x14ac:dyDescent="0.3">
      <c r="A937" t="s">
        <v>1030</v>
      </c>
      <c r="B937" t="s">
        <v>13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24</v>
      </c>
      <c r="I937" t="s">
        <v>15</v>
      </c>
      <c r="J937">
        <v>4</v>
      </c>
      <c r="K937" t="s">
        <v>16</v>
      </c>
      <c r="L937" t="s">
        <v>56</v>
      </c>
      <c r="M937">
        <f>orders[[#This Row],[Ship Date]]-orders[[#This Row],[Order Date]]</f>
        <v>4</v>
      </c>
      <c r="N937">
        <f>WEEKNUM(orders[[#This Row],[Order Date]],2)</f>
        <v>6</v>
      </c>
      <c r="O937" t="str" cm="1">
        <f t="array" ref="O93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38" spans="1:15" x14ac:dyDescent="0.3">
      <c r="A938" t="s">
        <v>1031</v>
      </c>
      <c r="B938" t="s">
        <v>19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20</v>
      </c>
      <c r="I938" t="s">
        <v>67</v>
      </c>
      <c r="J938">
        <v>4</v>
      </c>
      <c r="K938" t="s">
        <v>16</v>
      </c>
      <c r="L938" t="s">
        <v>59</v>
      </c>
      <c r="M938">
        <f>orders[[#This Row],[Ship Date]]-orders[[#This Row],[Order Date]]</f>
        <v>2</v>
      </c>
      <c r="N938">
        <f>WEEKNUM(orders[[#This Row],[Order Date]],2)</f>
        <v>6</v>
      </c>
      <c r="O938" t="str" cm="1">
        <f t="array" ref="O9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39" spans="1:15" x14ac:dyDescent="0.3">
      <c r="A939" t="s">
        <v>1032</v>
      </c>
      <c r="B939" t="s">
        <v>13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20</v>
      </c>
      <c r="I939" t="s">
        <v>37</v>
      </c>
      <c r="J939">
        <v>5</v>
      </c>
      <c r="K939" t="s">
        <v>16</v>
      </c>
      <c r="L939" t="s">
        <v>59</v>
      </c>
      <c r="M939">
        <f>orders[[#This Row],[Ship Date]]-orders[[#This Row],[Order Date]]</f>
        <v>3</v>
      </c>
      <c r="N939">
        <f>WEEKNUM(orders[[#This Row],[Order Date]],2)</f>
        <v>6</v>
      </c>
      <c r="O939" t="str" cm="1">
        <f t="array" ref="O93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40" spans="1:15" x14ac:dyDescent="0.3">
      <c r="A940" t="s">
        <v>1033</v>
      </c>
      <c r="B940" t="s">
        <v>19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24</v>
      </c>
      <c r="I940" t="s">
        <v>32</v>
      </c>
      <c r="J940">
        <v>4</v>
      </c>
      <c r="K940" t="s">
        <v>16</v>
      </c>
      <c r="L940" t="s">
        <v>59</v>
      </c>
      <c r="M940">
        <f>orders[[#This Row],[Ship Date]]-orders[[#This Row],[Order Date]]</f>
        <v>1</v>
      </c>
      <c r="N940">
        <f>WEEKNUM(orders[[#This Row],[Order Date]],2)</f>
        <v>6</v>
      </c>
      <c r="O940" t="str" cm="1">
        <f t="array" ref="O9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41" spans="1:15" x14ac:dyDescent="0.3">
      <c r="A941" t="s">
        <v>1034</v>
      </c>
      <c r="B941" t="s">
        <v>143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24</v>
      </c>
      <c r="I941" t="s">
        <v>15</v>
      </c>
      <c r="J941">
        <v>3</v>
      </c>
      <c r="K941" t="s">
        <v>16</v>
      </c>
      <c r="L941" t="s">
        <v>59</v>
      </c>
      <c r="M941">
        <f>orders[[#This Row],[Ship Date]]-orders[[#This Row],[Order Date]]</f>
        <v>2</v>
      </c>
      <c r="N941">
        <f>WEEKNUM(orders[[#This Row],[Order Date]],2)</f>
        <v>6</v>
      </c>
      <c r="O941" t="str" cm="1">
        <f t="array" ref="O9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42" spans="1:15" x14ac:dyDescent="0.3">
      <c r="A942" t="s">
        <v>1035</v>
      </c>
      <c r="B942" t="s">
        <v>120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20</v>
      </c>
      <c r="I942" t="s">
        <v>15</v>
      </c>
      <c r="J942">
        <v>3</v>
      </c>
      <c r="K942" t="s">
        <v>16</v>
      </c>
      <c r="L942" t="s">
        <v>59</v>
      </c>
      <c r="M942">
        <f>orders[[#This Row],[Ship Date]]-orders[[#This Row],[Order Date]]</f>
        <v>2</v>
      </c>
      <c r="N942">
        <f>WEEKNUM(orders[[#This Row],[Order Date]],2)</f>
        <v>6</v>
      </c>
      <c r="O942" t="str" cm="1">
        <f t="array" ref="O9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43" spans="1:15" x14ac:dyDescent="0.3">
      <c r="A943" t="s">
        <v>1036</v>
      </c>
      <c r="B943" t="s">
        <v>36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20</v>
      </c>
      <c r="I943" t="s">
        <v>32</v>
      </c>
      <c r="J943">
        <v>5</v>
      </c>
      <c r="K943" t="s">
        <v>16</v>
      </c>
      <c r="L943" t="s">
        <v>71</v>
      </c>
      <c r="M943">
        <f>orders[[#This Row],[Ship Date]]-orders[[#This Row],[Order Date]]</f>
        <v>4</v>
      </c>
      <c r="N943">
        <f>WEEKNUM(orders[[#This Row],[Order Date]],2)</f>
        <v>6</v>
      </c>
      <c r="O943" t="str" cm="1">
        <f t="array" ref="O9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44" spans="1:15" x14ac:dyDescent="0.3">
      <c r="A944" t="s">
        <v>1037</v>
      </c>
      <c r="B944" t="s">
        <v>36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14</v>
      </c>
      <c r="I944" t="s">
        <v>67</v>
      </c>
      <c r="J944">
        <v>4</v>
      </c>
      <c r="K944" t="s">
        <v>16</v>
      </c>
      <c r="L944" t="s">
        <v>74</v>
      </c>
      <c r="M944">
        <f>orders[[#This Row],[Ship Date]]-orders[[#This Row],[Order Date]]</f>
        <v>2</v>
      </c>
      <c r="N944">
        <f>WEEKNUM(orders[[#This Row],[Order Date]],2)</f>
        <v>6</v>
      </c>
      <c r="O944" t="str" cm="1">
        <f t="array" ref="O94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45" spans="1:15" x14ac:dyDescent="0.3">
      <c r="A945" t="s">
        <v>1038</v>
      </c>
      <c r="B945" t="s">
        <v>39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20</v>
      </c>
      <c r="I945" t="s">
        <v>32</v>
      </c>
      <c r="J945">
        <v>3</v>
      </c>
      <c r="K945" t="s">
        <v>16</v>
      </c>
      <c r="L945" t="s">
        <v>74</v>
      </c>
      <c r="M945">
        <f>orders[[#This Row],[Ship Date]]-orders[[#This Row],[Order Date]]</f>
        <v>1</v>
      </c>
      <c r="N945">
        <f>WEEKNUM(orders[[#This Row],[Order Date]],2)</f>
        <v>6</v>
      </c>
      <c r="O945" t="str" cm="1">
        <f t="array" ref="O94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46" spans="1:15" x14ac:dyDescent="0.3">
      <c r="A946" t="s">
        <v>1039</v>
      </c>
      <c r="B946" t="s">
        <v>36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20</v>
      </c>
      <c r="I946" t="s">
        <v>37</v>
      </c>
      <c r="J946">
        <v>4</v>
      </c>
      <c r="K946" t="s">
        <v>16</v>
      </c>
      <c r="L946" t="s">
        <v>107</v>
      </c>
      <c r="M946">
        <f>orders[[#This Row],[Ship Date]]-orders[[#This Row],[Order Date]]</f>
        <v>14</v>
      </c>
      <c r="N946">
        <f>WEEKNUM(orders[[#This Row],[Order Date]],2)</f>
        <v>6</v>
      </c>
      <c r="O946" t="str" cm="1">
        <f t="array" ref="O9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47" spans="1:15" x14ac:dyDescent="0.3">
      <c r="A947" t="s">
        <v>1040</v>
      </c>
      <c r="B947" t="s">
        <v>41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24</v>
      </c>
      <c r="I947" t="s">
        <v>48</v>
      </c>
      <c r="J947">
        <v>5</v>
      </c>
      <c r="K947" t="s">
        <v>16</v>
      </c>
      <c r="L947" t="s">
        <v>107</v>
      </c>
      <c r="M947">
        <f>orders[[#This Row],[Ship Date]]-orders[[#This Row],[Order Date]]</f>
        <v>1</v>
      </c>
      <c r="N947">
        <f>WEEKNUM(orders[[#This Row],[Order Date]],2)</f>
        <v>6</v>
      </c>
      <c r="O947" t="str" cm="1">
        <f t="array" ref="O9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48" spans="1:15" x14ac:dyDescent="0.3">
      <c r="A948" t="s">
        <v>1041</v>
      </c>
      <c r="B948" t="s">
        <v>41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24</v>
      </c>
      <c r="I948" t="s">
        <v>48</v>
      </c>
      <c r="J948">
        <v>4</v>
      </c>
      <c r="K948" t="s">
        <v>16</v>
      </c>
      <c r="L948" t="s">
        <v>110</v>
      </c>
      <c r="M948">
        <f>orders[[#This Row],[Ship Date]]-orders[[#This Row],[Order Date]]</f>
        <v>6</v>
      </c>
      <c r="N948">
        <f>WEEKNUM(orders[[#This Row],[Order Date]],2)</f>
        <v>6</v>
      </c>
      <c r="O948" t="str" cm="1">
        <f t="array" ref="O9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49" spans="1:15" x14ac:dyDescent="0.3">
      <c r="A949" t="s">
        <v>1042</v>
      </c>
      <c r="B949" t="s">
        <v>27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24</v>
      </c>
      <c r="I949" t="s">
        <v>15</v>
      </c>
      <c r="J949">
        <v>3</v>
      </c>
      <c r="K949" t="s">
        <v>16</v>
      </c>
      <c r="L949" t="s">
        <v>112</v>
      </c>
      <c r="M949">
        <f>orders[[#This Row],[Ship Date]]-orders[[#This Row],[Order Date]]</f>
        <v>1</v>
      </c>
      <c r="N949">
        <f>WEEKNUM(orders[[#This Row],[Order Date]],2)</f>
        <v>6</v>
      </c>
      <c r="O949" t="str" cm="1">
        <f t="array" ref="O9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50" spans="1:15" x14ac:dyDescent="0.3">
      <c r="A950" t="s">
        <v>1043</v>
      </c>
      <c r="B950" t="s">
        <v>43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24</v>
      </c>
      <c r="I950" t="s">
        <v>37</v>
      </c>
      <c r="J950">
        <v>5</v>
      </c>
      <c r="K950" t="s">
        <v>16</v>
      </c>
      <c r="L950" t="s">
        <v>25</v>
      </c>
      <c r="M950">
        <f>orders[[#This Row],[Ship Date]]-orders[[#This Row],[Order Date]]</f>
        <v>6</v>
      </c>
      <c r="N950">
        <f>WEEKNUM(orders[[#This Row],[Order Date]],2)</f>
        <v>6</v>
      </c>
      <c r="O950" t="str" cm="1">
        <f t="array" ref="O9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51" spans="1:15" x14ac:dyDescent="0.3">
      <c r="A951" t="s">
        <v>1044</v>
      </c>
      <c r="B951" t="s">
        <v>36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24</v>
      </c>
      <c r="I951" t="s">
        <v>32</v>
      </c>
      <c r="J951">
        <v>3</v>
      </c>
      <c r="K951" t="s">
        <v>16</v>
      </c>
      <c r="L951" t="s">
        <v>144</v>
      </c>
      <c r="M951">
        <f>orders[[#This Row],[Ship Date]]-orders[[#This Row],[Order Date]]</f>
        <v>2</v>
      </c>
      <c r="N951">
        <f>WEEKNUM(orders[[#This Row],[Order Date]],2)</f>
        <v>6</v>
      </c>
      <c r="O951" t="str" cm="1">
        <f t="array" ref="O9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52" spans="1:15" x14ac:dyDescent="0.3">
      <c r="A952" t="s">
        <v>1045</v>
      </c>
      <c r="B952" t="s">
        <v>41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20</v>
      </c>
      <c r="I952" t="s">
        <v>15</v>
      </c>
      <c r="J952">
        <v>4</v>
      </c>
      <c r="K952" t="s">
        <v>16</v>
      </c>
      <c r="L952" t="s">
        <v>30</v>
      </c>
      <c r="M952">
        <f>orders[[#This Row],[Ship Date]]-orders[[#This Row],[Order Date]]</f>
        <v>4</v>
      </c>
      <c r="N952">
        <f>WEEKNUM(orders[[#This Row],[Order Date]],2)</f>
        <v>6</v>
      </c>
      <c r="O952" t="str" cm="1">
        <f t="array" ref="O9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53" spans="1:15" x14ac:dyDescent="0.3">
      <c r="A953" t="s">
        <v>1046</v>
      </c>
      <c r="B953" t="s">
        <v>43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24</v>
      </c>
      <c r="I953" t="s">
        <v>48</v>
      </c>
      <c r="J953">
        <v>3</v>
      </c>
      <c r="K953" t="s">
        <v>16</v>
      </c>
      <c r="L953" t="s">
        <v>30</v>
      </c>
      <c r="M953">
        <f>orders[[#This Row],[Ship Date]]-orders[[#This Row],[Order Date]]</f>
        <v>4</v>
      </c>
      <c r="N953">
        <f>WEEKNUM(orders[[#This Row],[Order Date]],2)</f>
        <v>6</v>
      </c>
      <c r="O953" t="str" cm="1">
        <f t="array" ref="O9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54" spans="1:15" x14ac:dyDescent="0.3">
      <c r="A954" t="s">
        <v>1047</v>
      </c>
      <c r="B954" t="s">
        <v>143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20</v>
      </c>
      <c r="I954" t="s">
        <v>32</v>
      </c>
      <c r="J954">
        <v>3</v>
      </c>
      <c r="K954" t="s">
        <v>16</v>
      </c>
      <c r="L954" t="s">
        <v>30</v>
      </c>
      <c r="M954">
        <f>orders[[#This Row],[Ship Date]]-orders[[#This Row],[Order Date]]</f>
        <v>4</v>
      </c>
      <c r="N954">
        <f>WEEKNUM(orders[[#This Row],[Order Date]],2)</f>
        <v>6</v>
      </c>
      <c r="O954" t="str" cm="1">
        <f t="array" ref="O9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55" spans="1:15" x14ac:dyDescent="0.3">
      <c r="A955" t="s">
        <v>1048</v>
      </c>
      <c r="B955" t="s">
        <v>36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20</v>
      </c>
      <c r="I955" t="s">
        <v>15</v>
      </c>
      <c r="J955">
        <v>4</v>
      </c>
      <c r="K955" t="s">
        <v>16</v>
      </c>
      <c r="L955" t="s">
        <v>30</v>
      </c>
      <c r="M955">
        <f>orders[[#This Row],[Ship Date]]-orders[[#This Row],[Order Date]]</f>
        <v>3</v>
      </c>
      <c r="N955">
        <f>WEEKNUM(orders[[#This Row],[Order Date]],2)</f>
        <v>6</v>
      </c>
      <c r="O955" t="str" cm="1">
        <f t="array" ref="O9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56" spans="1:15" x14ac:dyDescent="0.3">
      <c r="A956" t="s">
        <v>1049</v>
      </c>
      <c r="B956" t="s">
        <v>29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20</v>
      </c>
      <c r="I956" t="s">
        <v>37</v>
      </c>
      <c r="J956">
        <v>4</v>
      </c>
      <c r="K956" t="s">
        <v>16</v>
      </c>
      <c r="L956" t="s">
        <v>30</v>
      </c>
      <c r="M956">
        <f>orders[[#This Row],[Ship Date]]-orders[[#This Row],[Order Date]]</f>
        <v>1</v>
      </c>
      <c r="N956">
        <f>WEEKNUM(orders[[#This Row],[Order Date]],2)</f>
        <v>6</v>
      </c>
      <c r="O956" t="str" cm="1">
        <f t="array" ref="O9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57" spans="1:15" x14ac:dyDescent="0.3">
      <c r="A957" t="s">
        <v>1050</v>
      </c>
      <c r="B957" t="s">
        <v>19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20</v>
      </c>
      <c r="I957" t="s">
        <v>67</v>
      </c>
      <c r="J957">
        <v>5</v>
      </c>
      <c r="K957" t="s">
        <v>16</v>
      </c>
      <c r="L957" t="s">
        <v>30</v>
      </c>
      <c r="M957">
        <f>orders[[#This Row],[Ship Date]]-orders[[#This Row],[Order Date]]</f>
        <v>2</v>
      </c>
      <c r="N957">
        <f>WEEKNUM(orders[[#This Row],[Order Date]],2)</f>
        <v>6</v>
      </c>
      <c r="O957" t="str" cm="1">
        <f t="array" ref="O9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58" spans="1:15" x14ac:dyDescent="0.3">
      <c r="A958" t="s">
        <v>1051</v>
      </c>
      <c r="B958" t="s">
        <v>132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20</v>
      </c>
      <c r="I958" t="s">
        <v>32</v>
      </c>
      <c r="J958">
        <v>4</v>
      </c>
      <c r="K958" t="s">
        <v>16</v>
      </c>
      <c r="L958" t="s">
        <v>30</v>
      </c>
      <c r="M958">
        <f>orders[[#This Row],[Ship Date]]-orders[[#This Row],[Order Date]]</f>
        <v>1</v>
      </c>
      <c r="N958">
        <f>WEEKNUM(orders[[#This Row],[Order Date]],2)</f>
        <v>6</v>
      </c>
      <c r="O958" t="str" cm="1">
        <f t="array" ref="O95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59" spans="1:15" x14ac:dyDescent="0.3">
      <c r="A959" t="s">
        <v>1052</v>
      </c>
      <c r="B959" t="s">
        <v>78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20</v>
      </c>
      <c r="I959" t="s">
        <v>37</v>
      </c>
      <c r="J959">
        <v>4</v>
      </c>
      <c r="K959" t="s">
        <v>16</v>
      </c>
      <c r="L959" t="s">
        <v>30</v>
      </c>
      <c r="M959">
        <f>orders[[#This Row],[Ship Date]]-orders[[#This Row],[Order Date]]</f>
        <v>0</v>
      </c>
      <c r="N959">
        <f>WEEKNUM(orders[[#This Row],[Order Date]],2)</f>
        <v>6</v>
      </c>
      <c r="O959" t="str" cm="1">
        <f t="array" ref="O9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60" spans="1:15" x14ac:dyDescent="0.3">
      <c r="A960" t="s">
        <v>1053</v>
      </c>
      <c r="B960" t="s">
        <v>51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24</v>
      </c>
      <c r="I960" t="s">
        <v>48</v>
      </c>
      <c r="J960">
        <v>5</v>
      </c>
      <c r="K960" t="s">
        <v>16</v>
      </c>
      <c r="L960" t="s">
        <v>30</v>
      </c>
      <c r="M960">
        <f>orders[[#This Row],[Ship Date]]-orders[[#This Row],[Order Date]]</f>
        <v>1</v>
      </c>
      <c r="N960">
        <f>WEEKNUM(orders[[#This Row],[Order Date]],2)</f>
        <v>6</v>
      </c>
      <c r="O960" t="str" cm="1">
        <f t="array" ref="O9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61" spans="1:15" x14ac:dyDescent="0.3">
      <c r="A961" t="s">
        <v>1054</v>
      </c>
      <c r="B961" t="s">
        <v>41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24</v>
      </c>
      <c r="I961" t="s">
        <v>37</v>
      </c>
      <c r="J961">
        <v>3</v>
      </c>
      <c r="K961" t="s">
        <v>16</v>
      </c>
      <c r="L961" t="s">
        <v>30</v>
      </c>
      <c r="M961">
        <f>orders[[#This Row],[Ship Date]]-orders[[#This Row],[Order Date]]</f>
        <v>2</v>
      </c>
      <c r="N961">
        <f>WEEKNUM(orders[[#This Row],[Order Date]],2)</f>
        <v>6</v>
      </c>
      <c r="O961" t="str" cm="1">
        <f t="array" ref="O9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62" spans="1:15" x14ac:dyDescent="0.3">
      <c r="A962" t="s">
        <v>1055</v>
      </c>
      <c r="B962" t="s">
        <v>41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24</v>
      </c>
      <c r="I962" t="s">
        <v>37</v>
      </c>
      <c r="J962">
        <v>2</v>
      </c>
      <c r="K962" t="s">
        <v>16</v>
      </c>
      <c r="L962" t="s">
        <v>30</v>
      </c>
      <c r="M962">
        <f>orders[[#This Row],[Ship Date]]-orders[[#This Row],[Order Date]]</f>
        <v>0</v>
      </c>
      <c r="N962">
        <f>WEEKNUM(orders[[#This Row],[Order Date]],2)</f>
        <v>6</v>
      </c>
      <c r="O962" t="str" cm="1">
        <f t="array" ref="O9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63" spans="1:15" x14ac:dyDescent="0.3">
      <c r="A963" t="s">
        <v>1056</v>
      </c>
      <c r="B963" t="s">
        <v>41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20</v>
      </c>
      <c r="I963" t="s">
        <v>48</v>
      </c>
      <c r="J963">
        <v>5</v>
      </c>
      <c r="K963" t="s">
        <v>16</v>
      </c>
      <c r="L963" t="s">
        <v>30</v>
      </c>
      <c r="M963">
        <f>orders[[#This Row],[Ship Date]]-orders[[#This Row],[Order Date]]</f>
        <v>4</v>
      </c>
      <c r="N963">
        <f>WEEKNUM(orders[[#This Row],[Order Date]],2)</f>
        <v>6</v>
      </c>
      <c r="O963" t="str" cm="1">
        <f t="array" ref="O9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64" spans="1:15" x14ac:dyDescent="0.3">
      <c r="A964" t="s">
        <v>1057</v>
      </c>
      <c r="B964" t="s">
        <v>132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24</v>
      </c>
      <c r="I964" t="s">
        <v>15</v>
      </c>
      <c r="J964">
        <v>4</v>
      </c>
      <c r="K964" t="s">
        <v>16</v>
      </c>
      <c r="L964" t="s">
        <v>185</v>
      </c>
      <c r="M964">
        <f>orders[[#This Row],[Ship Date]]-orders[[#This Row],[Order Date]]</f>
        <v>3</v>
      </c>
      <c r="N964">
        <f>WEEKNUM(orders[[#This Row],[Order Date]],2)</f>
        <v>6</v>
      </c>
      <c r="O964" t="str" cm="1">
        <f t="array" ref="O9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65" spans="1:15" x14ac:dyDescent="0.3">
      <c r="A965" t="s">
        <v>1058</v>
      </c>
      <c r="B965" t="s">
        <v>143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24</v>
      </c>
      <c r="I965" t="s">
        <v>15</v>
      </c>
      <c r="J965">
        <v>4</v>
      </c>
      <c r="K965" t="s">
        <v>16</v>
      </c>
      <c r="L965" t="s">
        <v>52</v>
      </c>
      <c r="M965">
        <f>orders[[#This Row],[Ship Date]]-orders[[#This Row],[Order Date]]</f>
        <v>1</v>
      </c>
      <c r="N965">
        <f>WEEKNUM(orders[[#This Row],[Order Date]],2)</f>
        <v>6</v>
      </c>
      <c r="O965" t="str" cm="1">
        <f t="array" ref="O9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66" spans="1:15" x14ac:dyDescent="0.3">
      <c r="A966" t="s">
        <v>1059</v>
      </c>
      <c r="B966" t="s">
        <v>13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24</v>
      </c>
      <c r="I966" t="s">
        <v>15</v>
      </c>
      <c r="J966">
        <v>4</v>
      </c>
      <c r="K966" t="s">
        <v>16</v>
      </c>
      <c r="L966" t="s">
        <v>52</v>
      </c>
      <c r="M966">
        <f>orders[[#This Row],[Ship Date]]-orders[[#This Row],[Order Date]]</f>
        <v>4</v>
      </c>
      <c r="N966">
        <f>WEEKNUM(orders[[#This Row],[Order Date]],2)</f>
        <v>6</v>
      </c>
      <c r="O966" t="str" cm="1">
        <f t="array" ref="O9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67" spans="1:15" x14ac:dyDescent="0.3">
      <c r="A967" t="s">
        <v>1060</v>
      </c>
      <c r="B967" t="s">
        <v>13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20</v>
      </c>
      <c r="I967" t="s">
        <v>37</v>
      </c>
      <c r="J967">
        <v>4</v>
      </c>
      <c r="K967" t="s">
        <v>16</v>
      </c>
      <c r="L967" t="s">
        <v>52</v>
      </c>
      <c r="M967">
        <f>orders[[#This Row],[Ship Date]]-orders[[#This Row],[Order Date]]</f>
        <v>3</v>
      </c>
      <c r="N967">
        <f>WEEKNUM(orders[[#This Row],[Order Date]],2)</f>
        <v>6</v>
      </c>
      <c r="O967" t="str" cm="1">
        <f t="array" ref="O9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68" spans="1:15" x14ac:dyDescent="0.3">
      <c r="A968" t="s">
        <v>1061</v>
      </c>
      <c r="B968" t="s">
        <v>13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20</v>
      </c>
      <c r="I968" t="s">
        <v>48</v>
      </c>
      <c r="J968">
        <v>4</v>
      </c>
      <c r="K968" t="s">
        <v>16</v>
      </c>
      <c r="L968" t="s">
        <v>52</v>
      </c>
      <c r="M968">
        <f>orders[[#This Row],[Ship Date]]-orders[[#This Row],[Order Date]]</f>
        <v>1</v>
      </c>
      <c r="N968">
        <f>WEEKNUM(orders[[#This Row],[Order Date]],2)</f>
        <v>6</v>
      </c>
      <c r="O968" t="str" cm="1">
        <f t="array" ref="O9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69" spans="1:15" x14ac:dyDescent="0.3">
      <c r="A969" t="s">
        <v>1062</v>
      </c>
      <c r="B969" t="s">
        <v>43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24</v>
      </c>
      <c r="I969" t="s">
        <v>67</v>
      </c>
      <c r="J969">
        <v>4</v>
      </c>
      <c r="K969" t="s">
        <v>16</v>
      </c>
      <c r="L969" t="s">
        <v>56</v>
      </c>
      <c r="M969">
        <f>orders[[#This Row],[Ship Date]]-orders[[#This Row],[Order Date]]</f>
        <v>4</v>
      </c>
      <c r="N969">
        <f>WEEKNUM(orders[[#This Row],[Order Date]],2)</f>
        <v>6</v>
      </c>
      <c r="O969" t="str" cm="1">
        <f t="array" ref="O9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0" spans="1:15" x14ac:dyDescent="0.3">
      <c r="A970" t="s">
        <v>1063</v>
      </c>
      <c r="B970" t="s">
        <v>34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20</v>
      </c>
      <c r="I970" t="s">
        <v>37</v>
      </c>
      <c r="J970">
        <v>5</v>
      </c>
      <c r="K970" t="s">
        <v>16</v>
      </c>
      <c r="L970" t="s">
        <v>59</v>
      </c>
      <c r="M970">
        <f>orders[[#This Row],[Ship Date]]-orders[[#This Row],[Order Date]]</f>
        <v>1</v>
      </c>
      <c r="N970">
        <f>WEEKNUM(orders[[#This Row],[Order Date]],2)</f>
        <v>6</v>
      </c>
      <c r="O970" t="str" cm="1">
        <f t="array" ref="O9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71" spans="1:15" x14ac:dyDescent="0.3">
      <c r="A971" t="s">
        <v>1064</v>
      </c>
      <c r="B971" t="s">
        <v>27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24</v>
      </c>
      <c r="I971" t="s">
        <v>32</v>
      </c>
      <c r="J971">
        <v>4</v>
      </c>
      <c r="K971" t="s">
        <v>16</v>
      </c>
      <c r="L971" t="s">
        <v>59</v>
      </c>
      <c r="M971">
        <f>orders[[#This Row],[Ship Date]]-orders[[#This Row],[Order Date]]</f>
        <v>1</v>
      </c>
      <c r="N971">
        <f>WEEKNUM(orders[[#This Row],[Order Date]],2)</f>
        <v>6</v>
      </c>
      <c r="O971" t="str" cm="1">
        <f t="array" ref="O9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2" spans="1:15" x14ac:dyDescent="0.3">
      <c r="A972" t="s">
        <v>1065</v>
      </c>
      <c r="B972" t="s">
        <v>23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24</v>
      </c>
      <c r="I972" t="s">
        <v>32</v>
      </c>
      <c r="J972">
        <v>4</v>
      </c>
      <c r="K972" t="s">
        <v>16</v>
      </c>
      <c r="L972" t="s">
        <v>59</v>
      </c>
      <c r="M972">
        <f>orders[[#This Row],[Ship Date]]-orders[[#This Row],[Order Date]]</f>
        <v>2</v>
      </c>
      <c r="N972">
        <f>WEEKNUM(orders[[#This Row],[Order Date]],2)</f>
        <v>6</v>
      </c>
      <c r="O972" t="str" cm="1">
        <f t="array" ref="O9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3" spans="1:15" x14ac:dyDescent="0.3">
      <c r="A973" t="s">
        <v>1066</v>
      </c>
      <c r="B973" t="s">
        <v>36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20</v>
      </c>
      <c r="I973" t="s">
        <v>32</v>
      </c>
      <c r="J973">
        <v>4</v>
      </c>
      <c r="K973" t="s">
        <v>16</v>
      </c>
      <c r="L973" t="s">
        <v>59</v>
      </c>
      <c r="M973">
        <f>orders[[#This Row],[Ship Date]]-orders[[#This Row],[Order Date]]</f>
        <v>1</v>
      </c>
      <c r="N973">
        <f>WEEKNUM(orders[[#This Row],[Order Date]],2)</f>
        <v>6</v>
      </c>
      <c r="O973" t="str" cm="1">
        <f t="array" ref="O9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74" spans="1:15" x14ac:dyDescent="0.3">
      <c r="A974" t="s">
        <v>1067</v>
      </c>
      <c r="B974" t="s">
        <v>36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24</v>
      </c>
      <c r="I974" t="s">
        <v>32</v>
      </c>
      <c r="J974">
        <v>2</v>
      </c>
      <c r="K974" t="s">
        <v>16</v>
      </c>
      <c r="L974" t="s">
        <v>59</v>
      </c>
      <c r="M974">
        <f>orders[[#This Row],[Ship Date]]-orders[[#This Row],[Order Date]]</f>
        <v>2</v>
      </c>
      <c r="N974">
        <f>WEEKNUM(orders[[#This Row],[Order Date]],2)</f>
        <v>6</v>
      </c>
      <c r="O974" t="str" cm="1">
        <f t="array" ref="O9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5" spans="1:15" x14ac:dyDescent="0.3">
      <c r="A975" t="s">
        <v>1068</v>
      </c>
      <c r="B975" t="s">
        <v>23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20</v>
      </c>
      <c r="I975" t="s">
        <v>37</v>
      </c>
      <c r="J975">
        <v>4</v>
      </c>
      <c r="K975" t="s">
        <v>16</v>
      </c>
      <c r="L975" t="s">
        <v>100</v>
      </c>
      <c r="M975">
        <f>orders[[#This Row],[Ship Date]]-orders[[#This Row],[Order Date]]</f>
        <v>1</v>
      </c>
      <c r="N975">
        <f>WEEKNUM(orders[[#This Row],[Order Date]],2)</f>
        <v>6</v>
      </c>
      <c r="O975" t="str" cm="1">
        <f t="array" ref="O97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76" spans="1:15" x14ac:dyDescent="0.3">
      <c r="A976" t="s">
        <v>1069</v>
      </c>
      <c r="B976" t="s">
        <v>64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24</v>
      </c>
      <c r="I976" t="s">
        <v>48</v>
      </c>
      <c r="J976">
        <v>4</v>
      </c>
      <c r="K976" t="s">
        <v>16</v>
      </c>
      <c r="L976" t="s">
        <v>69</v>
      </c>
      <c r="M976">
        <f>orders[[#This Row],[Ship Date]]-orders[[#This Row],[Order Date]]</f>
        <v>6</v>
      </c>
      <c r="N976">
        <f>WEEKNUM(orders[[#This Row],[Order Date]],2)</f>
        <v>6</v>
      </c>
      <c r="O976" t="str" cm="1">
        <f t="array" ref="O9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7" spans="1:15" x14ac:dyDescent="0.3">
      <c r="A977" t="s">
        <v>1070</v>
      </c>
      <c r="B977" t="s">
        <v>51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24</v>
      </c>
      <c r="I977" t="s">
        <v>37</v>
      </c>
      <c r="J977">
        <v>4</v>
      </c>
      <c r="K977" t="s">
        <v>16</v>
      </c>
      <c r="L977" t="s">
        <v>74</v>
      </c>
      <c r="M977">
        <f>orders[[#This Row],[Ship Date]]-orders[[#This Row],[Order Date]]</f>
        <v>2</v>
      </c>
      <c r="N977">
        <f>WEEKNUM(orders[[#This Row],[Order Date]],2)</f>
        <v>6</v>
      </c>
      <c r="O977" t="str" cm="1">
        <f t="array" ref="O9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8" spans="1:15" x14ac:dyDescent="0.3">
      <c r="A978" t="s">
        <v>1071</v>
      </c>
      <c r="B978" t="s">
        <v>143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24</v>
      </c>
      <c r="I978" t="s">
        <v>37</v>
      </c>
      <c r="J978">
        <v>4</v>
      </c>
      <c r="K978" t="s">
        <v>16</v>
      </c>
      <c r="L978" t="s">
        <v>74</v>
      </c>
      <c r="M978">
        <f>orders[[#This Row],[Ship Date]]-orders[[#This Row],[Order Date]]</f>
        <v>1</v>
      </c>
      <c r="N978">
        <f>WEEKNUM(orders[[#This Row],[Order Date]],2)</f>
        <v>6</v>
      </c>
      <c r="O978" t="str" cm="1">
        <f t="array" ref="O9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79" spans="1:15" x14ac:dyDescent="0.3">
      <c r="A979" t="s">
        <v>1072</v>
      </c>
      <c r="B979" t="s">
        <v>19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24</v>
      </c>
      <c r="I979" t="s">
        <v>37</v>
      </c>
      <c r="J979">
        <v>5</v>
      </c>
      <c r="K979" t="s">
        <v>16</v>
      </c>
      <c r="L979" t="s">
        <v>105</v>
      </c>
      <c r="M979">
        <f>orders[[#This Row],[Ship Date]]-orders[[#This Row],[Order Date]]</f>
        <v>3</v>
      </c>
      <c r="N979">
        <f>WEEKNUM(orders[[#This Row],[Order Date]],2)</f>
        <v>6</v>
      </c>
      <c r="O979" t="str" cm="1">
        <f t="array" ref="O9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80" spans="1:15" x14ac:dyDescent="0.3">
      <c r="A980" t="s">
        <v>1073</v>
      </c>
      <c r="B980" t="s">
        <v>51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24</v>
      </c>
      <c r="I980" t="s">
        <v>15</v>
      </c>
      <c r="J980">
        <v>3</v>
      </c>
      <c r="K980" t="s">
        <v>16</v>
      </c>
      <c r="L980" t="s">
        <v>107</v>
      </c>
      <c r="M980">
        <f>orders[[#This Row],[Ship Date]]-orders[[#This Row],[Order Date]]</f>
        <v>4</v>
      </c>
      <c r="N980">
        <f>WEEKNUM(orders[[#This Row],[Order Date]],2)</f>
        <v>6</v>
      </c>
      <c r="O980" t="str" cm="1">
        <f t="array" ref="O9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81" spans="1:15" x14ac:dyDescent="0.3">
      <c r="A981" t="s">
        <v>1074</v>
      </c>
      <c r="B981" t="s">
        <v>39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24</v>
      </c>
      <c r="I981" t="s">
        <v>15</v>
      </c>
      <c r="J981">
        <v>4</v>
      </c>
      <c r="K981" t="s">
        <v>16</v>
      </c>
      <c r="L981" t="s">
        <v>79</v>
      </c>
      <c r="M981">
        <f>orders[[#This Row],[Ship Date]]-orders[[#This Row],[Order Date]]</f>
        <v>5</v>
      </c>
      <c r="N981">
        <f>WEEKNUM(orders[[#This Row],[Order Date]],2)</f>
        <v>6</v>
      </c>
      <c r="O981" t="str" cm="1">
        <f t="array" ref="O9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82" spans="1:15" x14ac:dyDescent="0.3">
      <c r="A982" t="s">
        <v>1075</v>
      </c>
      <c r="B982" t="s">
        <v>29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20</v>
      </c>
      <c r="I982" t="s">
        <v>15</v>
      </c>
      <c r="J982">
        <v>5</v>
      </c>
      <c r="K982" t="s">
        <v>16</v>
      </c>
      <c r="L982" t="s">
        <v>112</v>
      </c>
      <c r="M982">
        <f>orders[[#This Row],[Ship Date]]-orders[[#This Row],[Order Date]]</f>
        <v>5</v>
      </c>
      <c r="N982">
        <f>WEEKNUM(orders[[#This Row],[Order Date]],2)</f>
        <v>6</v>
      </c>
      <c r="O982" t="str" cm="1">
        <f t="array" ref="O9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83" spans="1:15" x14ac:dyDescent="0.3">
      <c r="A983" t="s">
        <v>1076</v>
      </c>
      <c r="B983" t="s">
        <v>66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24</v>
      </c>
      <c r="I983" t="s">
        <v>15</v>
      </c>
      <c r="J983">
        <v>4</v>
      </c>
      <c r="K983" t="s">
        <v>16</v>
      </c>
      <c r="L983" t="s">
        <v>112</v>
      </c>
      <c r="M983">
        <f>orders[[#This Row],[Ship Date]]-orders[[#This Row],[Order Date]]</f>
        <v>3</v>
      </c>
      <c r="N983">
        <f>WEEKNUM(orders[[#This Row],[Order Date]],2)</f>
        <v>6</v>
      </c>
      <c r="O983" t="str" cm="1">
        <f t="array" ref="O9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84" spans="1:15" x14ac:dyDescent="0.3">
      <c r="A984" t="s">
        <v>1077</v>
      </c>
      <c r="B984" t="s">
        <v>23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24</v>
      </c>
      <c r="I984" t="s">
        <v>48</v>
      </c>
      <c r="J984">
        <v>5</v>
      </c>
      <c r="K984" t="s">
        <v>16</v>
      </c>
      <c r="L984" t="s">
        <v>112</v>
      </c>
      <c r="M984">
        <f>orders[[#This Row],[Ship Date]]-orders[[#This Row],[Order Date]]</f>
        <v>1</v>
      </c>
      <c r="N984">
        <f>WEEKNUM(orders[[#This Row],[Order Date]],2)</f>
        <v>6</v>
      </c>
      <c r="O984" t="str" cm="1">
        <f t="array" ref="O9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85" spans="1:15" x14ac:dyDescent="0.3">
      <c r="A985" t="s">
        <v>1078</v>
      </c>
      <c r="B985" t="s">
        <v>51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24</v>
      </c>
      <c r="I985" t="s">
        <v>37</v>
      </c>
      <c r="J985">
        <v>3</v>
      </c>
      <c r="K985" t="s">
        <v>16</v>
      </c>
      <c r="L985" t="s">
        <v>112</v>
      </c>
      <c r="M985">
        <f>orders[[#This Row],[Ship Date]]-orders[[#This Row],[Order Date]]</f>
        <v>1</v>
      </c>
      <c r="N985">
        <f>WEEKNUM(orders[[#This Row],[Order Date]],2)</f>
        <v>6</v>
      </c>
      <c r="O985" t="str" cm="1">
        <f t="array" ref="O9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86" spans="1:15" x14ac:dyDescent="0.3">
      <c r="A986" t="s">
        <v>1079</v>
      </c>
      <c r="B986" t="s">
        <v>41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20</v>
      </c>
      <c r="I986" t="s">
        <v>67</v>
      </c>
      <c r="J986">
        <v>5</v>
      </c>
      <c r="K986" t="s">
        <v>16</v>
      </c>
      <c r="L986" t="s">
        <v>21</v>
      </c>
      <c r="M986">
        <f>orders[[#This Row],[Ship Date]]-orders[[#This Row],[Order Date]]</f>
        <v>4</v>
      </c>
      <c r="N986">
        <f>WEEKNUM(orders[[#This Row],[Order Date]],2)</f>
        <v>6</v>
      </c>
      <c r="O986" t="str" cm="1">
        <f t="array" ref="O9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87" spans="1:15" x14ac:dyDescent="0.3">
      <c r="A987" t="s">
        <v>1080</v>
      </c>
      <c r="B987" t="s">
        <v>36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20</v>
      </c>
      <c r="I987" t="s">
        <v>32</v>
      </c>
      <c r="J987">
        <v>3</v>
      </c>
      <c r="K987" t="s">
        <v>16</v>
      </c>
      <c r="L987" t="s">
        <v>21</v>
      </c>
      <c r="M987">
        <f>orders[[#This Row],[Ship Date]]-orders[[#This Row],[Order Date]]</f>
        <v>1</v>
      </c>
      <c r="N987">
        <f>WEEKNUM(orders[[#This Row],[Order Date]],2)</f>
        <v>6</v>
      </c>
      <c r="O987" t="str" cm="1">
        <f t="array" ref="O9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88" spans="1:15" x14ac:dyDescent="0.3">
      <c r="A988" t="s">
        <v>1081</v>
      </c>
      <c r="B988" t="s">
        <v>41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14</v>
      </c>
      <c r="I988" t="s">
        <v>32</v>
      </c>
      <c r="J988">
        <v>5</v>
      </c>
      <c r="K988" t="s">
        <v>16</v>
      </c>
      <c r="L988" t="s">
        <v>25</v>
      </c>
      <c r="M988">
        <f>orders[[#This Row],[Ship Date]]-orders[[#This Row],[Order Date]]</f>
        <v>2</v>
      </c>
      <c r="N988">
        <f>WEEKNUM(orders[[#This Row],[Order Date]],2)</f>
        <v>6</v>
      </c>
      <c r="O988" t="str" cm="1">
        <f t="array" ref="O98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89" spans="1:15" x14ac:dyDescent="0.3">
      <c r="A989" t="s">
        <v>1082</v>
      </c>
      <c r="B989" t="s">
        <v>29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20</v>
      </c>
      <c r="I989" t="s">
        <v>48</v>
      </c>
      <c r="J989">
        <v>4</v>
      </c>
      <c r="K989" t="s">
        <v>16</v>
      </c>
      <c r="L989" t="s">
        <v>25</v>
      </c>
      <c r="M989">
        <f>orders[[#This Row],[Ship Date]]-orders[[#This Row],[Order Date]]</f>
        <v>3</v>
      </c>
      <c r="N989">
        <f>WEEKNUM(orders[[#This Row],[Order Date]],2)</f>
        <v>6</v>
      </c>
      <c r="O989" t="str" cm="1">
        <f t="array" ref="O9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990" spans="1:15" x14ac:dyDescent="0.3">
      <c r="A990" t="s">
        <v>1083</v>
      </c>
      <c r="B990" t="s">
        <v>13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24</v>
      </c>
      <c r="I990" t="s">
        <v>32</v>
      </c>
      <c r="J990">
        <v>4</v>
      </c>
      <c r="K990" t="s">
        <v>16</v>
      </c>
      <c r="L990" t="s">
        <v>144</v>
      </c>
      <c r="M990">
        <f>orders[[#This Row],[Ship Date]]-orders[[#This Row],[Order Date]]</f>
        <v>4</v>
      </c>
      <c r="N990">
        <f>WEEKNUM(orders[[#This Row],[Order Date]],2)</f>
        <v>6</v>
      </c>
      <c r="O990" t="str" cm="1">
        <f t="array" ref="O9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91" spans="1:15" x14ac:dyDescent="0.3">
      <c r="A991" t="s">
        <v>1084</v>
      </c>
      <c r="B991" t="s">
        <v>19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24</v>
      </c>
      <c r="I991" t="s">
        <v>15</v>
      </c>
      <c r="J991">
        <v>4</v>
      </c>
      <c r="K991" t="s">
        <v>16</v>
      </c>
      <c r="L991" t="s">
        <v>331</v>
      </c>
      <c r="M991">
        <f>orders[[#This Row],[Ship Date]]-orders[[#This Row],[Order Date]]</f>
        <v>1</v>
      </c>
      <c r="N991">
        <f>WEEKNUM(orders[[#This Row],[Order Date]],2)</f>
        <v>6</v>
      </c>
      <c r="O991" t="str" cm="1">
        <f t="array" ref="O9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92" spans="1:15" x14ac:dyDescent="0.3">
      <c r="A992" t="s">
        <v>1085</v>
      </c>
      <c r="B992" t="s">
        <v>36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14</v>
      </c>
      <c r="I992" t="s">
        <v>15</v>
      </c>
      <c r="J992">
        <v>4</v>
      </c>
      <c r="K992" t="s">
        <v>16</v>
      </c>
      <c r="L992" t="s">
        <v>30</v>
      </c>
      <c r="M992">
        <f>orders[[#This Row],[Ship Date]]-orders[[#This Row],[Order Date]]</f>
        <v>6</v>
      </c>
      <c r="N992">
        <f>WEEKNUM(orders[[#This Row],[Order Date]],2)</f>
        <v>6</v>
      </c>
      <c r="O992" t="str" cm="1">
        <f t="array" ref="O99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993" spans="1:15" x14ac:dyDescent="0.3">
      <c r="A993" t="s">
        <v>1086</v>
      </c>
      <c r="B993" t="s">
        <v>36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24</v>
      </c>
      <c r="I993" t="s">
        <v>32</v>
      </c>
      <c r="J993">
        <v>5</v>
      </c>
      <c r="K993" t="s">
        <v>16</v>
      </c>
      <c r="L993" t="s">
        <v>30</v>
      </c>
      <c r="M993">
        <f>orders[[#This Row],[Ship Date]]-orders[[#This Row],[Order Date]]</f>
        <v>1</v>
      </c>
      <c r="N993">
        <f>WEEKNUM(orders[[#This Row],[Order Date]],2)</f>
        <v>6</v>
      </c>
      <c r="O993" t="str" cm="1">
        <f t="array" ref="O9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94" spans="1:15" x14ac:dyDescent="0.3">
      <c r="A994" t="s">
        <v>1087</v>
      </c>
      <c r="B994" t="s">
        <v>34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86</v>
      </c>
      <c r="I994" t="s">
        <v>37</v>
      </c>
      <c r="J994">
        <v>5</v>
      </c>
      <c r="K994" t="s">
        <v>16</v>
      </c>
      <c r="L994" t="s">
        <v>30</v>
      </c>
      <c r="M994">
        <f>orders[[#This Row],[Ship Date]]-orders[[#This Row],[Order Date]]</f>
        <v>1</v>
      </c>
      <c r="N994">
        <f>WEEKNUM(orders[[#This Row],[Order Date]],2)</f>
        <v>6</v>
      </c>
      <c r="O994" t="str" cm="1">
        <f t="array" ref="O99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995" spans="1:15" x14ac:dyDescent="0.3">
      <c r="A995" t="s">
        <v>1088</v>
      </c>
      <c r="B995" t="s">
        <v>23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24</v>
      </c>
      <c r="I995" t="s">
        <v>37</v>
      </c>
      <c r="J995">
        <v>4</v>
      </c>
      <c r="K995" t="s">
        <v>16</v>
      </c>
      <c r="L995" t="s">
        <v>30</v>
      </c>
      <c r="M995">
        <f>orders[[#This Row],[Ship Date]]-orders[[#This Row],[Order Date]]</f>
        <v>4</v>
      </c>
      <c r="N995">
        <f>WEEKNUM(orders[[#This Row],[Order Date]],2)</f>
        <v>6</v>
      </c>
      <c r="O995" t="str" cm="1">
        <f t="array" ref="O9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96" spans="1:15" x14ac:dyDescent="0.3">
      <c r="A996" t="s">
        <v>1089</v>
      </c>
      <c r="B996" t="s">
        <v>23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24</v>
      </c>
      <c r="I996" t="s">
        <v>48</v>
      </c>
      <c r="J996">
        <v>4</v>
      </c>
      <c r="K996" t="s">
        <v>16</v>
      </c>
      <c r="L996" t="s">
        <v>30</v>
      </c>
      <c r="M996">
        <f>orders[[#This Row],[Ship Date]]-orders[[#This Row],[Order Date]]</f>
        <v>3</v>
      </c>
      <c r="N996">
        <f>WEEKNUM(orders[[#This Row],[Order Date]],2)</f>
        <v>6</v>
      </c>
      <c r="O996" t="str" cm="1">
        <f t="array" ref="O9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97" spans="1:15" x14ac:dyDescent="0.3">
      <c r="A997" t="s">
        <v>1090</v>
      </c>
      <c r="B997" t="s">
        <v>34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24</v>
      </c>
      <c r="I997" t="s">
        <v>15</v>
      </c>
      <c r="J997">
        <v>5</v>
      </c>
      <c r="K997" t="s">
        <v>16</v>
      </c>
      <c r="L997" t="s">
        <v>30</v>
      </c>
      <c r="M997">
        <f>orders[[#This Row],[Ship Date]]-orders[[#This Row],[Order Date]]</f>
        <v>1</v>
      </c>
      <c r="N997">
        <f>WEEKNUM(orders[[#This Row],[Order Date]],2)</f>
        <v>6</v>
      </c>
      <c r="O997" t="str" cm="1">
        <f t="array" ref="O9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98" spans="1:15" x14ac:dyDescent="0.3">
      <c r="A998" t="s">
        <v>1091</v>
      </c>
      <c r="B998" t="s">
        <v>78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24</v>
      </c>
      <c r="I998" t="s">
        <v>67</v>
      </c>
      <c r="J998">
        <v>4</v>
      </c>
      <c r="K998" t="s">
        <v>16</v>
      </c>
      <c r="L998" t="s">
        <v>30</v>
      </c>
      <c r="M998">
        <f>orders[[#This Row],[Ship Date]]-orders[[#This Row],[Order Date]]</f>
        <v>3</v>
      </c>
      <c r="N998">
        <f>WEEKNUM(orders[[#This Row],[Order Date]],2)</f>
        <v>6</v>
      </c>
      <c r="O998" t="str" cm="1">
        <f t="array" ref="O9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999" spans="1:15" x14ac:dyDescent="0.3">
      <c r="A999" t="s">
        <v>1092</v>
      </c>
      <c r="B999" t="s">
        <v>36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24</v>
      </c>
      <c r="I999" t="s">
        <v>15</v>
      </c>
      <c r="J999">
        <v>4</v>
      </c>
      <c r="K999" t="s">
        <v>16</v>
      </c>
      <c r="L999" t="s">
        <v>30</v>
      </c>
      <c r="M999">
        <f>orders[[#This Row],[Ship Date]]-orders[[#This Row],[Order Date]]</f>
        <v>3</v>
      </c>
      <c r="N999">
        <f>WEEKNUM(orders[[#This Row],[Order Date]],2)</f>
        <v>6</v>
      </c>
      <c r="O999" t="str" cm="1">
        <f t="array" ref="O9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0" spans="1:15" x14ac:dyDescent="0.3">
      <c r="A1000" t="s">
        <v>1093</v>
      </c>
      <c r="B1000" t="s">
        <v>41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24</v>
      </c>
      <c r="I1000" t="s">
        <v>32</v>
      </c>
      <c r="J1000">
        <v>4</v>
      </c>
      <c r="K1000" t="s">
        <v>16</v>
      </c>
      <c r="L1000" t="s">
        <v>30</v>
      </c>
      <c r="M1000">
        <f>orders[[#This Row],[Ship Date]]-orders[[#This Row],[Order Date]]</f>
        <v>2</v>
      </c>
      <c r="N1000">
        <f>WEEKNUM(orders[[#This Row],[Order Date]],2)</f>
        <v>6</v>
      </c>
      <c r="O1000" t="str" cm="1">
        <f t="array" ref="O10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1" spans="1:15" x14ac:dyDescent="0.3">
      <c r="A1001" t="s">
        <v>1094</v>
      </c>
      <c r="B1001" t="s">
        <v>132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24</v>
      </c>
      <c r="I1001" t="s">
        <v>15</v>
      </c>
      <c r="J1001">
        <v>3</v>
      </c>
      <c r="K1001" t="s">
        <v>16</v>
      </c>
      <c r="L1001" t="s">
        <v>30</v>
      </c>
      <c r="M1001">
        <f>orders[[#This Row],[Ship Date]]-orders[[#This Row],[Order Date]]</f>
        <v>1</v>
      </c>
      <c r="N1001">
        <f>WEEKNUM(orders[[#This Row],[Order Date]],2)</f>
        <v>6</v>
      </c>
      <c r="O1001" t="str" cm="1">
        <f t="array" ref="O10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2" spans="1:15" x14ac:dyDescent="0.3">
      <c r="A1002" t="s">
        <v>1095</v>
      </c>
      <c r="B1002" t="s">
        <v>39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24</v>
      </c>
      <c r="I1002" t="s">
        <v>37</v>
      </c>
      <c r="J1002">
        <v>5</v>
      </c>
      <c r="K1002" t="s">
        <v>16</v>
      </c>
      <c r="L1002" t="s">
        <v>30</v>
      </c>
      <c r="M1002">
        <f>orders[[#This Row],[Ship Date]]-orders[[#This Row],[Order Date]]</f>
        <v>4</v>
      </c>
      <c r="N1002">
        <f>WEEKNUM(orders[[#This Row],[Order Date]],2)</f>
        <v>6</v>
      </c>
      <c r="O1002" t="str" cm="1">
        <f t="array" ref="O10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3" spans="1:15" x14ac:dyDescent="0.3">
      <c r="A1003" t="s">
        <v>1096</v>
      </c>
      <c r="B1003" t="s">
        <v>41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24</v>
      </c>
      <c r="I1003" t="s">
        <v>32</v>
      </c>
      <c r="J1003">
        <v>3</v>
      </c>
      <c r="K1003" t="s">
        <v>16</v>
      </c>
      <c r="L1003" t="s">
        <v>799</v>
      </c>
      <c r="M1003">
        <f>orders[[#This Row],[Ship Date]]-orders[[#This Row],[Order Date]]</f>
        <v>11</v>
      </c>
      <c r="N1003">
        <f>WEEKNUM(orders[[#This Row],[Order Date]],2)</f>
        <v>6</v>
      </c>
      <c r="O1003" t="str" cm="1">
        <f t="array" ref="O10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4" spans="1:15" x14ac:dyDescent="0.3">
      <c r="A1004" t="s">
        <v>1097</v>
      </c>
      <c r="B1004" t="s">
        <v>29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24</v>
      </c>
      <c r="I1004" t="s">
        <v>48</v>
      </c>
      <c r="J1004">
        <v>3</v>
      </c>
      <c r="K1004" t="s">
        <v>16</v>
      </c>
      <c r="L1004" t="s">
        <v>185</v>
      </c>
      <c r="M1004">
        <f>orders[[#This Row],[Ship Date]]-orders[[#This Row],[Order Date]]</f>
        <v>2</v>
      </c>
      <c r="N1004">
        <f>WEEKNUM(orders[[#This Row],[Order Date]],2)</f>
        <v>6</v>
      </c>
      <c r="O1004" t="str" cm="1">
        <f t="array" ref="O10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5" spans="1:15" x14ac:dyDescent="0.3">
      <c r="A1005" t="s">
        <v>1098</v>
      </c>
      <c r="B1005" t="s">
        <v>36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20</v>
      </c>
      <c r="I1005" t="s">
        <v>32</v>
      </c>
      <c r="J1005">
        <v>5</v>
      </c>
      <c r="K1005" t="s">
        <v>16</v>
      </c>
      <c r="L1005" t="s">
        <v>49</v>
      </c>
      <c r="M1005">
        <f>orders[[#This Row],[Ship Date]]-orders[[#This Row],[Order Date]]</f>
        <v>2</v>
      </c>
      <c r="N1005">
        <f>WEEKNUM(orders[[#This Row],[Order Date]],2)</f>
        <v>6</v>
      </c>
      <c r="O1005" t="str" cm="1">
        <f t="array" ref="O10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06" spans="1:15" x14ac:dyDescent="0.3">
      <c r="A1006" t="s">
        <v>1099</v>
      </c>
      <c r="B1006" t="s">
        <v>51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20</v>
      </c>
      <c r="I1006" t="s">
        <v>48</v>
      </c>
      <c r="J1006">
        <v>2</v>
      </c>
      <c r="K1006" t="s">
        <v>16</v>
      </c>
      <c r="L1006" t="s">
        <v>49</v>
      </c>
      <c r="M1006">
        <f>orders[[#This Row],[Ship Date]]-orders[[#This Row],[Order Date]]</f>
        <v>1</v>
      </c>
      <c r="N1006">
        <f>WEEKNUM(orders[[#This Row],[Order Date]],2)</f>
        <v>6</v>
      </c>
      <c r="O1006" t="str" cm="1">
        <f t="array" ref="O10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07" spans="1:15" x14ac:dyDescent="0.3">
      <c r="A1007" t="s">
        <v>1100</v>
      </c>
      <c r="B1007" t="s">
        <v>29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24</v>
      </c>
      <c r="I1007" t="s">
        <v>37</v>
      </c>
      <c r="J1007">
        <v>1</v>
      </c>
      <c r="K1007" t="s">
        <v>16</v>
      </c>
      <c r="L1007" t="s">
        <v>52</v>
      </c>
      <c r="M1007">
        <f>orders[[#This Row],[Ship Date]]-orders[[#This Row],[Order Date]]</f>
        <v>1</v>
      </c>
      <c r="N1007">
        <f>WEEKNUM(orders[[#This Row],[Order Date]],2)</f>
        <v>6</v>
      </c>
      <c r="O1007" t="str" cm="1">
        <f t="array" ref="O10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8" spans="1:15" x14ac:dyDescent="0.3">
      <c r="A1008" t="s">
        <v>1101</v>
      </c>
      <c r="B1008" t="s">
        <v>13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24</v>
      </c>
      <c r="I1008" t="s">
        <v>48</v>
      </c>
      <c r="J1008">
        <v>4</v>
      </c>
      <c r="K1008" t="s">
        <v>16</v>
      </c>
      <c r="L1008" t="s">
        <v>52</v>
      </c>
      <c r="M1008">
        <f>orders[[#This Row],[Ship Date]]-orders[[#This Row],[Order Date]]</f>
        <v>2</v>
      </c>
      <c r="N1008">
        <f>WEEKNUM(orders[[#This Row],[Order Date]],2)</f>
        <v>6</v>
      </c>
      <c r="O1008" t="str" cm="1">
        <f t="array" ref="O10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09" spans="1:15" x14ac:dyDescent="0.3">
      <c r="A1009" t="s">
        <v>1102</v>
      </c>
      <c r="B1009" t="s">
        <v>23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14</v>
      </c>
      <c r="I1009" t="s">
        <v>37</v>
      </c>
      <c r="J1009">
        <v>4</v>
      </c>
      <c r="K1009" t="s">
        <v>16</v>
      </c>
      <c r="L1009" t="s">
        <v>56</v>
      </c>
      <c r="M1009">
        <f>orders[[#This Row],[Ship Date]]-orders[[#This Row],[Order Date]]</f>
        <v>2</v>
      </c>
      <c r="N1009">
        <f>WEEKNUM(orders[[#This Row],[Order Date]],2)</f>
        <v>6</v>
      </c>
      <c r="O1009" t="str" cm="1">
        <f t="array" ref="O100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010" spans="1:15" x14ac:dyDescent="0.3">
      <c r="A1010" t="s">
        <v>1103</v>
      </c>
      <c r="B1010" t="s">
        <v>36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24</v>
      </c>
      <c r="I1010" t="s">
        <v>32</v>
      </c>
      <c r="J1010">
        <v>3</v>
      </c>
      <c r="K1010" t="s">
        <v>16</v>
      </c>
      <c r="L1010" t="s">
        <v>56</v>
      </c>
      <c r="M1010">
        <f>orders[[#This Row],[Ship Date]]-orders[[#This Row],[Order Date]]</f>
        <v>1</v>
      </c>
      <c r="N1010">
        <f>WEEKNUM(orders[[#This Row],[Order Date]],2)</f>
        <v>6</v>
      </c>
      <c r="O1010" t="str" cm="1">
        <f t="array" ref="O10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11" spans="1:15" x14ac:dyDescent="0.3">
      <c r="A1011" t="s">
        <v>1104</v>
      </c>
      <c r="B1011" t="s">
        <v>41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86</v>
      </c>
      <c r="I1011" t="s">
        <v>32</v>
      </c>
      <c r="J1011">
        <v>4</v>
      </c>
      <c r="K1011" t="s">
        <v>16</v>
      </c>
      <c r="L1011" t="s">
        <v>56</v>
      </c>
      <c r="M1011">
        <f>orders[[#This Row],[Ship Date]]-orders[[#This Row],[Order Date]]</f>
        <v>2</v>
      </c>
      <c r="N1011">
        <f>WEEKNUM(orders[[#This Row],[Order Date]],2)</f>
        <v>6</v>
      </c>
      <c r="O1011" t="str" cm="1">
        <f t="array" ref="O1011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012" spans="1:15" x14ac:dyDescent="0.3">
      <c r="A1012" t="s">
        <v>1105</v>
      </c>
      <c r="B1012" t="s">
        <v>23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24</v>
      </c>
      <c r="I1012" t="s">
        <v>15</v>
      </c>
      <c r="J1012">
        <v>4</v>
      </c>
      <c r="K1012" t="s">
        <v>16</v>
      </c>
      <c r="L1012" t="s">
        <v>59</v>
      </c>
      <c r="M1012">
        <f>orders[[#This Row],[Ship Date]]-orders[[#This Row],[Order Date]]</f>
        <v>3</v>
      </c>
      <c r="N1012">
        <f>WEEKNUM(orders[[#This Row],[Order Date]],2)</f>
        <v>6</v>
      </c>
      <c r="O1012" t="str" cm="1">
        <f t="array" ref="O10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13" spans="1:15" x14ac:dyDescent="0.3">
      <c r="A1013" t="s">
        <v>1106</v>
      </c>
      <c r="B1013" t="s">
        <v>43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86</v>
      </c>
      <c r="I1013" t="s">
        <v>15</v>
      </c>
      <c r="J1013">
        <v>5</v>
      </c>
      <c r="K1013" t="s">
        <v>16</v>
      </c>
      <c r="L1013" t="s">
        <v>59</v>
      </c>
      <c r="M1013">
        <f>orders[[#This Row],[Ship Date]]-orders[[#This Row],[Order Date]]</f>
        <v>3</v>
      </c>
      <c r="N1013">
        <f>WEEKNUM(orders[[#This Row],[Order Date]],2)</f>
        <v>6</v>
      </c>
      <c r="O1013" t="str" cm="1">
        <f t="array" ref="O101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014" spans="1:15" x14ac:dyDescent="0.3">
      <c r="A1014" t="s">
        <v>1107</v>
      </c>
      <c r="B1014" t="s">
        <v>66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14</v>
      </c>
      <c r="I1014" t="s">
        <v>37</v>
      </c>
      <c r="J1014">
        <v>5</v>
      </c>
      <c r="K1014" t="s">
        <v>16</v>
      </c>
      <c r="L1014" t="s">
        <v>59</v>
      </c>
      <c r="M1014">
        <f>orders[[#This Row],[Ship Date]]-orders[[#This Row],[Order Date]]</f>
        <v>2</v>
      </c>
      <c r="N1014">
        <f>WEEKNUM(orders[[#This Row],[Order Date]],2)</f>
        <v>6</v>
      </c>
      <c r="O1014" t="str" cm="1">
        <f t="array" ref="O101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015" spans="1:15" x14ac:dyDescent="0.3">
      <c r="A1015" t="s">
        <v>1108</v>
      </c>
      <c r="B1015" t="s">
        <v>34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24</v>
      </c>
      <c r="I1015" t="s">
        <v>15</v>
      </c>
      <c r="J1015">
        <v>4</v>
      </c>
      <c r="K1015" t="s">
        <v>16</v>
      </c>
      <c r="L1015" t="s">
        <v>59</v>
      </c>
      <c r="M1015">
        <f>orders[[#This Row],[Ship Date]]-orders[[#This Row],[Order Date]]</f>
        <v>2</v>
      </c>
      <c r="N1015">
        <f>WEEKNUM(orders[[#This Row],[Order Date]],2)</f>
        <v>6</v>
      </c>
      <c r="O1015" t="str" cm="1">
        <f t="array" ref="O10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16" spans="1:15" x14ac:dyDescent="0.3">
      <c r="A1016" t="s">
        <v>1109</v>
      </c>
      <c r="B1016" t="s">
        <v>73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20</v>
      </c>
      <c r="I1016" t="s">
        <v>32</v>
      </c>
      <c r="J1016">
        <v>4</v>
      </c>
      <c r="K1016" t="s">
        <v>16</v>
      </c>
      <c r="L1016" t="s">
        <v>59</v>
      </c>
      <c r="M1016">
        <f>orders[[#This Row],[Ship Date]]-orders[[#This Row],[Order Date]]</f>
        <v>3</v>
      </c>
      <c r="N1016">
        <f>WEEKNUM(orders[[#This Row],[Order Date]],2)</f>
        <v>6</v>
      </c>
      <c r="O1016" t="str" cm="1">
        <f t="array" ref="O10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17" spans="1:15" x14ac:dyDescent="0.3">
      <c r="A1017" t="s">
        <v>1110</v>
      </c>
      <c r="B1017" t="s">
        <v>23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24</v>
      </c>
      <c r="I1017" t="s">
        <v>15</v>
      </c>
      <c r="J1017">
        <v>4</v>
      </c>
      <c r="K1017" t="s">
        <v>16</v>
      </c>
      <c r="L1017" t="s">
        <v>59</v>
      </c>
      <c r="M1017">
        <f>orders[[#This Row],[Ship Date]]-orders[[#This Row],[Order Date]]</f>
        <v>1</v>
      </c>
      <c r="N1017">
        <f>WEEKNUM(orders[[#This Row],[Order Date]],2)</f>
        <v>6</v>
      </c>
      <c r="O1017" t="str" cm="1">
        <f t="array" ref="O10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18" spans="1:15" x14ac:dyDescent="0.3">
      <c r="A1018" t="s">
        <v>1111</v>
      </c>
      <c r="B1018" t="s">
        <v>19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24</v>
      </c>
      <c r="I1018" t="s">
        <v>37</v>
      </c>
      <c r="J1018">
        <v>4</v>
      </c>
      <c r="K1018" t="s">
        <v>16</v>
      </c>
      <c r="L1018" t="s">
        <v>74</v>
      </c>
      <c r="M1018">
        <f>orders[[#This Row],[Ship Date]]-orders[[#This Row],[Order Date]]</f>
        <v>1</v>
      </c>
      <c r="N1018">
        <f>WEEKNUM(orders[[#This Row],[Order Date]],2)</f>
        <v>6</v>
      </c>
      <c r="O1018" t="str" cm="1">
        <f t="array" ref="O10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19" spans="1:15" x14ac:dyDescent="0.3">
      <c r="A1019" t="s">
        <v>1112</v>
      </c>
      <c r="B1019" t="s">
        <v>36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14</v>
      </c>
      <c r="I1019" t="s">
        <v>15</v>
      </c>
      <c r="J1019">
        <v>4</v>
      </c>
      <c r="K1019" t="s">
        <v>16</v>
      </c>
      <c r="L1019" t="s">
        <v>1113</v>
      </c>
      <c r="M1019">
        <f>orders[[#This Row],[Ship Date]]-orders[[#This Row],[Order Date]]</f>
        <v>1</v>
      </c>
      <c r="N1019">
        <f>WEEKNUM(orders[[#This Row],[Order Date]],2)</f>
        <v>6</v>
      </c>
      <c r="O1019" t="str" cm="1">
        <f t="array" ref="O101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020" spans="1:15" x14ac:dyDescent="0.3">
      <c r="A1020" t="s">
        <v>1114</v>
      </c>
      <c r="B1020" t="s">
        <v>66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24</v>
      </c>
      <c r="I1020" t="s">
        <v>32</v>
      </c>
      <c r="J1020">
        <v>3</v>
      </c>
      <c r="K1020" t="s">
        <v>16</v>
      </c>
      <c r="L1020" t="s">
        <v>1113</v>
      </c>
      <c r="M1020">
        <f>orders[[#This Row],[Ship Date]]-orders[[#This Row],[Order Date]]</f>
        <v>2</v>
      </c>
      <c r="N1020">
        <f>WEEKNUM(orders[[#This Row],[Order Date]],2)</f>
        <v>6</v>
      </c>
      <c r="O1020" t="str" cm="1">
        <f t="array" ref="O10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21" spans="1:15" x14ac:dyDescent="0.3">
      <c r="A1021" t="s">
        <v>1115</v>
      </c>
      <c r="B1021" t="s">
        <v>41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20</v>
      </c>
      <c r="I1021" t="s">
        <v>37</v>
      </c>
      <c r="J1021">
        <v>5</v>
      </c>
      <c r="K1021" t="s">
        <v>16</v>
      </c>
      <c r="L1021" t="s">
        <v>107</v>
      </c>
      <c r="M1021">
        <f>orders[[#This Row],[Ship Date]]-orders[[#This Row],[Order Date]]</f>
        <v>4</v>
      </c>
      <c r="N1021">
        <f>WEEKNUM(orders[[#This Row],[Order Date]],2)</f>
        <v>6</v>
      </c>
      <c r="O1021" t="str" cm="1">
        <f t="array" ref="O10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22" spans="1:15" x14ac:dyDescent="0.3">
      <c r="A1022" t="s">
        <v>1116</v>
      </c>
      <c r="B1022" t="s">
        <v>23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24</v>
      </c>
      <c r="I1022" t="s">
        <v>37</v>
      </c>
      <c r="J1022">
        <v>3</v>
      </c>
      <c r="K1022" t="s">
        <v>16</v>
      </c>
      <c r="L1022" t="s">
        <v>107</v>
      </c>
      <c r="M1022">
        <f>orders[[#This Row],[Ship Date]]-orders[[#This Row],[Order Date]]</f>
        <v>7</v>
      </c>
      <c r="N1022">
        <f>WEEKNUM(orders[[#This Row],[Order Date]],2)</f>
        <v>7</v>
      </c>
      <c r="O1022" t="str" cm="1">
        <f t="array" ref="O10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23" spans="1:15" x14ac:dyDescent="0.3">
      <c r="A1023" t="s">
        <v>1117</v>
      </c>
      <c r="B1023" t="s">
        <v>41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20</v>
      </c>
      <c r="I1023" t="s">
        <v>37</v>
      </c>
      <c r="J1023">
        <v>5</v>
      </c>
      <c r="K1023" t="s">
        <v>16</v>
      </c>
      <c r="L1023" t="s">
        <v>112</v>
      </c>
      <c r="M1023">
        <f>orders[[#This Row],[Ship Date]]-orders[[#This Row],[Order Date]]</f>
        <v>2</v>
      </c>
      <c r="N1023">
        <f>WEEKNUM(orders[[#This Row],[Order Date]],2)</f>
        <v>7</v>
      </c>
      <c r="O1023" t="str" cm="1">
        <f t="array" ref="O10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24" spans="1:15" x14ac:dyDescent="0.3">
      <c r="A1024" t="s">
        <v>1118</v>
      </c>
      <c r="B1024" t="s">
        <v>36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20</v>
      </c>
      <c r="I1024" t="s">
        <v>37</v>
      </c>
      <c r="J1024">
        <v>4</v>
      </c>
      <c r="K1024" t="s">
        <v>16</v>
      </c>
      <c r="L1024" t="s">
        <v>112</v>
      </c>
      <c r="M1024">
        <f>orders[[#This Row],[Ship Date]]-orders[[#This Row],[Order Date]]</f>
        <v>2</v>
      </c>
      <c r="N1024">
        <f>WEEKNUM(orders[[#This Row],[Order Date]],2)</f>
        <v>7</v>
      </c>
      <c r="O1024" t="str" cm="1">
        <f t="array" ref="O102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25" spans="1:15" x14ac:dyDescent="0.3">
      <c r="A1025" t="s">
        <v>1119</v>
      </c>
      <c r="B1025" t="s">
        <v>36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20</v>
      </c>
      <c r="I1025" t="s">
        <v>15</v>
      </c>
      <c r="J1025">
        <v>5</v>
      </c>
      <c r="K1025" t="s">
        <v>16</v>
      </c>
      <c r="L1025" t="s">
        <v>144</v>
      </c>
      <c r="M1025">
        <f>orders[[#This Row],[Ship Date]]-orders[[#This Row],[Order Date]]</f>
        <v>0</v>
      </c>
      <c r="N1025">
        <f>WEEKNUM(orders[[#This Row],[Order Date]],2)</f>
        <v>7</v>
      </c>
      <c r="O1025" t="str" cm="1">
        <f t="array" ref="O10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26" spans="1:15" x14ac:dyDescent="0.3">
      <c r="A1026" t="s">
        <v>1120</v>
      </c>
      <c r="B1026" t="s">
        <v>19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24</v>
      </c>
      <c r="I1026" t="s">
        <v>32</v>
      </c>
      <c r="J1026">
        <v>4</v>
      </c>
      <c r="K1026" t="s">
        <v>16</v>
      </c>
      <c r="L1026" t="s">
        <v>30</v>
      </c>
      <c r="M1026">
        <f>orders[[#This Row],[Ship Date]]-orders[[#This Row],[Order Date]]</f>
        <v>1</v>
      </c>
      <c r="N1026">
        <f>WEEKNUM(orders[[#This Row],[Order Date]],2)</f>
        <v>7</v>
      </c>
      <c r="O1026" t="str" cm="1">
        <f t="array" ref="O10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27" spans="1:15" x14ac:dyDescent="0.3">
      <c r="A1027" t="s">
        <v>1121</v>
      </c>
      <c r="B1027" t="s">
        <v>13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24</v>
      </c>
      <c r="I1027" t="s">
        <v>37</v>
      </c>
      <c r="J1027">
        <v>3</v>
      </c>
      <c r="K1027" t="s">
        <v>16</v>
      </c>
      <c r="L1027" t="s">
        <v>30</v>
      </c>
      <c r="M1027">
        <f>orders[[#This Row],[Ship Date]]-orders[[#This Row],[Order Date]]</f>
        <v>4</v>
      </c>
      <c r="N1027">
        <f>WEEKNUM(orders[[#This Row],[Order Date]],2)</f>
        <v>7</v>
      </c>
      <c r="O1027" t="str" cm="1">
        <f t="array" ref="O10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28" spans="1:15" x14ac:dyDescent="0.3">
      <c r="A1028" t="s">
        <v>1122</v>
      </c>
      <c r="B1028" t="s">
        <v>13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24</v>
      </c>
      <c r="I1028" t="s">
        <v>37</v>
      </c>
      <c r="J1028">
        <v>4</v>
      </c>
      <c r="K1028" t="s">
        <v>16</v>
      </c>
      <c r="L1028" t="s">
        <v>30</v>
      </c>
      <c r="M1028">
        <f>orders[[#This Row],[Ship Date]]-orders[[#This Row],[Order Date]]</f>
        <v>3</v>
      </c>
      <c r="N1028">
        <f>WEEKNUM(orders[[#This Row],[Order Date]],2)</f>
        <v>7</v>
      </c>
      <c r="O1028" t="str" cm="1">
        <f t="array" ref="O10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29" spans="1:15" x14ac:dyDescent="0.3">
      <c r="A1029" t="s">
        <v>1123</v>
      </c>
      <c r="B1029" t="s">
        <v>19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24</v>
      </c>
      <c r="I1029" t="s">
        <v>15</v>
      </c>
      <c r="J1029">
        <v>4</v>
      </c>
      <c r="K1029" t="s">
        <v>16</v>
      </c>
      <c r="L1029" t="s">
        <v>30</v>
      </c>
      <c r="M1029">
        <f>orders[[#This Row],[Ship Date]]-orders[[#This Row],[Order Date]]</f>
        <v>5</v>
      </c>
      <c r="N1029">
        <f>WEEKNUM(orders[[#This Row],[Order Date]],2)</f>
        <v>7</v>
      </c>
      <c r="O1029" t="str" cm="1">
        <f t="array" ref="O10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30" spans="1:15" x14ac:dyDescent="0.3">
      <c r="A1030" t="s">
        <v>1124</v>
      </c>
      <c r="B1030" t="s">
        <v>51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24</v>
      </c>
      <c r="I1030" t="s">
        <v>15</v>
      </c>
      <c r="J1030">
        <v>4</v>
      </c>
      <c r="K1030" t="s">
        <v>16</v>
      </c>
      <c r="L1030" t="s">
        <v>30</v>
      </c>
      <c r="M1030">
        <f>orders[[#This Row],[Ship Date]]-orders[[#This Row],[Order Date]]</f>
        <v>5</v>
      </c>
      <c r="N1030">
        <f>WEEKNUM(orders[[#This Row],[Order Date]],2)</f>
        <v>7</v>
      </c>
      <c r="O1030" t="str" cm="1">
        <f t="array" ref="O10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31" spans="1:15" x14ac:dyDescent="0.3">
      <c r="A1031" t="s">
        <v>1125</v>
      </c>
      <c r="B1031" t="s">
        <v>36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20</v>
      </c>
      <c r="I1031" t="s">
        <v>37</v>
      </c>
      <c r="J1031">
        <v>5</v>
      </c>
      <c r="K1031" t="s">
        <v>16</v>
      </c>
      <c r="L1031" t="s">
        <v>30</v>
      </c>
      <c r="M1031">
        <f>orders[[#This Row],[Ship Date]]-orders[[#This Row],[Order Date]]</f>
        <v>1</v>
      </c>
      <c r="N1031">
        <f>WEEKNUM(orders[[#This Row],[Order Date]],2)</f>
        <v>7</v>
      </c>
      <c r="O1031" t="str" cm="1">
        <f t="array" ref="O10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32" spans="1:15" x14ac:dyDescent="0.3">
      <c r="A1032" t="s">
        <v>1126</v>
      </c>
      <c r="B1032" t="s">
        <v>51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24</v>
      </c>
      <c r="I1032" t="s">
        <v>15</v>
      </c>
      <c r="J1032">
        <v>3</v>
      </c>
      <c r="K1032" t="s">
        <v>16</v>
      </c>
      <c r="L1032" t="s">
        <v>30</v>
      </c>
      <c r="M1032">
        <f>orders[[#This Row],[Ship Date]]-orders[[#This Row],[Order Date]]</f>
        <v>1</v>
      </c>
      <c r="N1032">
        <f>WEEKNUM(orders[[#This Row],[Order Date]],2)</f>
        <v>7</v>
      </c>
      <c r="O1032" t="str" cm="1">
        <f t="array" ref="O10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33" spans="1:15" x14ac:dyDescent="0.3">
      <c r="A1033" t="s">
        <v>1127</v>
      </c>
      <c r="B1033" t="s">
        <v>34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20</v>
      </c>
      <c r="I1033" t="s">
        <v>15</v>
      </c>
      <c r="J1033">
        <v>5</v>
      </c>
      <c r="K1033" t="s">
        <v>16</v>
      </c>
      <c r="L1033" t="s">
        <v>30</v>
      </c>
      <c r="M1033">
        <f>orders[[#This Row],[Ship Date]]-orders[[#This Row],[Order Date]]</f>
        <v>7</v>
      </c>
      <c r="N1033">
        <f>WEEKNUM(orders[[#This Row],[Order Date]],2)</f>
        <v>7</v>
      </c>
      <c r="O1033" t="str" cm="1">
        <f t="array" ref="O10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34" spans="1:15" x14ac:dyDescent="0.3">
      <c r="A1034" t="s">
        <v>1128</v>
      </c>
      <c r="B1034" t="s">
        <v>41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24</v>
      </c>
      <c r="I1034" t="s">
        <v>15</v>
      </c>
      <c r="J1034">
        <v>5</v>
      </c>
      <c r="K1034" t="s">
        <v>16</v>
      </c>
      <c r="L1034" t="s">
        <v>30</v>
      </c>
      <c r="M1034">
        <f>orders[[#This Row],[Ship Date]]-orders[[#This Row],[Order Date]]</f>
        <v>4</v>
      </c>
      <c r="N1034">
        <f>WEEKNUM(orders[[#This Row],[Order Date]],2)</f>
        <v>7</v>
      </c>
      <c r="O1034" t="str" cm="1">
        <f t="array" ref="O10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35" spans="1:15" x14ac:dyDescent="0.3">
      <c r="A1035" t="s">
        <v>1129</v>
      </c>
      <c r="B1035" t="s">
        <v>36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14</v>
      </c>
      <c r="I1035" t="s">
        <v>15</v>
      </c>
      <c r="J1035">
        <v>5</v>
      </c>
      <c r="K1035" t="s">
        <v>16</v>
      </c>
      <c r="L1035" t="s">
        <v>30</v>
      </c>
      <c r="M1035">
        <f>orders[[#This Row],[Ship Date]]-orders[[#This Row],[Order Date]]</f>
        <v>4</v>
      </c>
      <c r="N1035">
        <f>WEEKNUM(orders[[#This Row],[Order Date]],2)</f>
        <v>7</v>
      </c>
      <c r="O1035" t="str" cm="1">
        <f t="array" ref="O103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036" spans="1:15" x14ac:dyDescent="0.3">
      <c r="A1036" t="s">
        <v>1130</v>
      </c>
      <c r="B1036" t="s">
        <v>23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24</v>
      </c>
      <c r="I1036" t="s">
        <v>67</v>
      </c>
      <c r="J1036">
        <v>4</v>
      </c>
      <c r="K1036" t="s">
        <v>16</v>
      </c>
      <c r="L1036" t="s">
        <v>30</v>
      </c>
      <c r="M1036">
        <f>orders[[#This Row],[Ship Date]]-orders[[#This Row],[Order Date]]</f>
        <v>1</v>
      </c>
      <c r="N1036">
        <f>WEEKNUM(orders[[#This Row],[Order Date]],2)</f>
        <v>7</v>
      </c>
      <c r="O1036" t="str" cm="1">
        <f t="array" ref="O10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37" spans="1:15" x14ac:dyDescent="0.3">
      <c r="A1037" t="s">
        <v>1131</v>
      </c>
      <c r="B1037" t="s">
        <v>29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20</v>
      </c>
      <c r="I1037" t="s">
        <v>37</v>
      </c>
      <c r="J1037">
        <v>5</v>
      </c>
      <c r="K1037" t="s">
        <v>16</v>
      </c>
      <c r="L1037" t="s">
        <v>542</v>
      </c>
      <c r="M1037">
        <f>orders[[#This Row],[Ship Date]]-orders[[#This Row],[Order Date]]</f>
        <v>1</v>
      </c>
      <c r="N1037">
        <f>WEEKNUM(orders[[#This Row],[Order Date]],2)</f>
        <v>7</v>
      </c>
      <c r="O1037" t="str" cm="1">
        <f t="array" ref="O10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38" spans="1:15" x14ac:dyDescent="0.3">
      <c r="A1038" t="s">
        <v>1132</v>
      </c>
      <c r="B1038" t="s">
        <v>29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20</v>
      </c>
      <c r="I1038" t="s">
        <v>67</v>
      </c>
      <c r="J1038">
        <v>5</v>
      </c>
      <c r="K1038" t="s">
        <v>16</v>
      </c>
      <c r="L1038" t="s">
        <v>185</v>
      </c>
      <c r="M1038">
        <f>orders[[#This Row],[Ship Date]]-orders[[#This Row],[Order Date]]</f>
        <v>1</v>
      </c>
      <c r="N1038">
        <f>WEEKNUM(orders[[#This Row],[Order Date]],2)</f>
        <v>7</v>
      </c>
      <c r="O1038" t="str" cm="1">
        <f t="array" ref="O10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39" spans="1:15" x14ac:dyDescent="0.3">
      <c r="A1039" t="s">
        <v>1133</v>
      </c>
      <c r="B1039" t="s">
        <v>73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24</v>
      </c>
      <c r="I1039" t="s">
        <v>15</v>
      </c>
      <c r="J1039">
        <v>3</v>
      </c>
      <c r="K1039" t="s">
        <v>16</v>
      </c>
      <c r="L1039" t="s">
        <v>52</v>
      </c>
      <c r="M1039">
        <f>orders[[#This Row],[Ship Date]]-orders[[#This Row],[Order Date]]</f>
        <v>3</v>
      </c>
      <c r="N1039">
        <f>WEEKNUM(orders[[#This Row],[Order Date]],2)</f>
        <v>7</v>
      </c>
      <c r="O1039" t="str" cm="1">
        <f t="array" ref="O10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40" spans="1:15" x14ac:dyDescent="0.3">
      <c r="A1040" t="s">
        <v>1134</v>
      </c>
      <c r="B1040" t="s">
        <v>36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24</v>
      </c>
      <c r="I1040" t="s">
        <v>15</v>
      </c>
      <c r="J1040">
        <v>5</v>
      </c>
      <c r="K1040" t="s">
        <v>16</v>
      </c>
      <c r="L1040" t="s">
        <v>52</v>
      </c>
      <c r="M1040">
        <f>orders[[#This Row],[Ship Date]]-orders[[#This Row],[Order Date]]</f>
        <v>2</v>
      </c>
      <c r="N1040">
        <f>WEEKNUM(orders[[#This Row],[Order Date]],2)</f>
        <v>7</v>
      </c>
      <c r="O1040" t="str" cm="1">
        <f t="array" ref="O10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41" spans="1:15" x14ac:dyDescent="0.3">
      <c r="A1041" t="s">
        <v>1135</v>
      </c>
      <c r="B1041" t="s">
        <v>41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20</v>
      </c>
      <c r="I1041" t="s">
        <v>15</v>
      </c>
      <c r="J1041">
        <v>4</v>
      </c>
      <c r="K1041" t="s">
        <v>16</v>
      </c>
      <c r="L1041" t="s">
        <v>339</v>
      </c>
      <c r="M1041">
        <f>orders[[#This Row],[Ship Date]]-orders[[#This Row],[Order Date]]</f>
        <v>2</v>
      </c>
      <c r="N1041">
        <f>WEEKNUM(orders[[#This Row],[Order Date]],2)</f>
        <v>7</v>
      </c>
      <c r="O1041" t="str" cm="1">
        <f t="array" ref="O10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42" spans="1:15" x14ac:dyDescent="0.3">
      <c r="A1042" t="s">
        <v>1136</v>
      </c>
      <c r="B1042" t="s">
        <v>143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14</v>
      </c>
      <c r="I1042" t="s">
        <v>37</v>
      </c>
      <c r="J1042">
        <v>3</v>
      </c>
      <c r="K1042" t="s">
        <v>16</v>
      </c>
      <c r="L1042" t="s">
        <v>56</v>
      </c>
      <c r="M1042">
        <f>orders[[#This Row],[Ship Date]]-orders[[#This Row],[Order Date]]</f>
        <v>1</v>
      </c>
      <c r="N1042">
        <f>WEEKNUM(orders[[#This Row],[Order Date]],2)</f>
        <v>7</v>
      </c>
      <c r="O1042" t="str" cm="1">
        <f t="array" ref="O104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043" spans="1:15" x14ac:dyDescent="0.3">
      <c r="A1043" t="s">
        <v>1137</v>
      </c>
      <c r="B1043" t="s">
        <v>132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24</v>
      </c>
      <c r="I1043" t="s">
        <v>32</v>
      </c>
      <c r="J1043">
        <v>4</v>
      </c>
      <c r="K1043" t="s">
        <v>16</v>
      </c>
      <c r="L1043" t="s">
        <v>56</v>
      </c>
      <c r="M1043">
        <f>orders[[#This Row],[Ship Date]]-orders[[#This Row],[Order Date]]</f>
        <v>7</v>
      </c>
      <c r="N1043">
        <f>WEEKNUM(orders[[#This Row],[Order Date]],2)</f>
        <v>7</v>
      </c>
      <c r="O1043" t="str" cm="1">
        <f t="array" ref="O10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44" spans="1:15" x14ac:dyDescent="0.3">
      <c r="A1044" t="s">
        <v>1138</v>
      </c>
      <c r="B1044" t="s">
        <v>13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20</v>
      </c>
      <c r="I1044" t="s">
        <v>32</v>
      </c>
      <c r="J1044">
        <v>4</v>
      </c>
      <c r="K1044" t="s">
        <v>16</v>
      </c>
      <c r="L1044" t="s">
        <v>56</v>
      </c>
      <c r="M1044">
        <f>orders[[#This Row],[Ship Date]]-orders[[#This Row],[Order Date]]</f>
        <v>1</v>
      </c>
      <c r="N1044">
        <f>WEEKNUM(orders[[#This Row],[Order Date]],2)</f>
        <v>7</v>
      </c>
      <c r="O1044" t="str" cm="1">
        <f t="array" ref="O10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45" spans="1:15" x14ac:dyDescent="0.3">
      <c r="A1045" t="s">
        <v>1139</v>
      </c>
      <c r="B1045" t="s">
        <v>23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24</v>
      </c>
      <c r="I1045" t="s">
        <v>15</v>
      </c>
      <c r="J1045">
        <v>4</v>
      </c>
      <c r="K1045" t="s">
        <v>16</v>
      </c>
      <c r="L1045" t="s">
        <v>56</v>
      </c>
      <c r="M1045">
        <f>orders[[#This Row],[Ship Date]]-orders[[#This Row],[Order Date]]</f>
        <v>1</v>
      </c>
      <c r="N1045">
        <f>WEEKNUM(orders[[#This Row],[Order Date]],2)</f>
        <v>7</v>
      </c>
      <c r="O1045" t="str" cm="1">
        <f t="array" ref="O10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46" spans="1:15" x14ac:dyDescent="0.3">
      <c r="A1046" t="s">
        <v>1140</v>
      </c>
      <c r="B1046" t="s">
        <v>29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20</v>
      </c>
      <c r="I1046" t="s">
        <v>15</v>
      </c>
      <c r="J1046">
        <v>5</v>
      </c>
      <c r="K1046" t="s">
        <v>16</v>
      </c>
      <c r="L1046" t="s">
        <v>59</v>
      </c>
      <c r="M1046">
        <f>orders[[#This Row],[Ship Date]]-orders[[#This Row],[Order Date]]</f>
        <v>1</v>
      </c>
      <c r="N1046">
        <f>WEEKNUM(orders[[#This Row],[Order Date]],2)</f>
        <v>7</v>
      </c>
      <c r="O1046" t="str" cm="1">
        <f t="array" ref="O10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47" spans="1:15" x14ac:dyDescent="0.3">
      <c r="A1047" t="s">
        <v>1141</v>
      </c>
      <c r="B1047" t="s">
        <v>43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24</v>
      </c>
      <c r="I1047" t="s">
        <v>15</v>
      </c>
      <c r="J1047">
        <v>3</v>
      </c>
      <c r="K1047" t="s">
        <v>16</v>
      </c>
      <c r="L1047" t="s">
        <v>59</v>
      </c>
      <c r="M1047">
        <f>orders[[#This Row],[Ship Date]]-orders[[#This Row],[Order Date]]</f>
        <v>8</v>
      </c>
      <c r="N1047">
        <f>WEEKNUM(orders[[#This Row],[Order Date]],2)</f>
        <v>7</v>
      </c>
      <c r="O1047" t="str" cm="1">
        <f t="array" ref="O10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48" spans="1:15" x14ac:dyDescent="0.3">
      <c r="A1048" t="s">
        <v>1142</v>
      </c>
      <c r="B1048" t="s">
        <v>41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24</v>
      </c>
      <c r="I1048" t="s">
        <v>15</v>
      </c>
      <c r="J1048">
        <v>4</v>
      </c>
      <c r="K1048" t="s">
        <v>16</v>
      </c>
      <c r="L1048" t="s">
        <v>59</v>
      </c>
      <c r="M1048">
        <f>orders[[#This Row],[Ship Date]]-orders[[#This Row],[Order Date]]</f>
        <v>2</v>
      </c>
      <c r="N1048">
        <f>WEEKNUM(orders[[#This Row],[Order Date]],2)</f>
        <v>7</v>
      </c>
      <c r="O1048" t="str" cm="1">
        <f t="array" ref="O10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49" spans="1:15" x14ac:dyDescent="0.3">
      <c r="A1049" t="s">
        <v>1143</v>
      </c>
      <c r="B1049" t="s">
        <v>23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24</v>
      </c>
      <c r="I1049" t="s">
        <v>48</v>
      </c>
      <c r="J1049">
        <v>5</v>
      </c>
      <c r="K1049" t="s">
        <v>16</v>
      </c>
      <c r="L1049" t="s">
        <v>69</v>
      </c>
      <c r="M1049">
        <f>orders[[#This Row],[Ship Date]]-orders[[#This Row],[Order Date]]</f>
        <v>0</v>
      </c>
      <c r="N1049">
        <f>WEEKNUM(orders[[#This Row],[Order Date]],2)</f>
        <v>7</v>
      </c>
      <c r="O1049" t="str" cm="1">
        <f t="array" ref="O10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50" spans="1:15" x14ac:dyDescent="0.3">
      <c r="A1050" t="s">
        <v>1144</v>
      </c>
      <c r="B1050" t="s">
        <v>27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24</v>
      </c>
      <c r="I1050" t="s">
        <v>32</v>
      </c>
      <c r="J1050">
        <v>5</v>
      </c>
      <c r="K1050" t="s">
        <v>16</v>
      </c>
      <c r="L1050" t="s">
        <v>69</v>
      </c>
      <c r="M1050">
        <f>orders[[#This Row],[Ship Date]]-orders[[#This Row],[Order Date]]</f>
        <v>4</v>
      </c>
      <c r="N1050">
        <f>WEEKNUM(orders[[#This Row],[Order Date]],2)</f>
        <v>7</v>
      </c>
      <c r="O1050" t="str" cm="1">
        <f t="array" ref="O10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51" spans="1:15" x14ac:dyDescent="0.3">
      <c r="A1051" t="s">
        <v>1145</v>
      </c>
      <c r="B1051" t="s">
        <v>36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20</v>
      </c>
      <c r="I1051" t="s">
        <v>48</v>
      </c>
      <c r="J1051">
        <v>4</v>
      </c>
      <c r="K1051" t="s">
        <v>16</v>
      </c>
      <c r="L1051" t="s">
        <v>74</v>
      </c>
      <c r="M1051">
        <f>orders[[#This Row],[Ship Date]]-orders[[#This Row],[Order Date]]</f>
        <v>2</v>
      </c>
      <c r="N1051">
        <f>WEEKNUM(orders[[#This Row],[Order Date]],2)</f>
        <v>7</v>
      </c>
      <c r="O1051" t="str" cm="1">
        <f t="array" ref="O10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52" spans="1:15" x14ac:dyDescent="0.3">
      <c r="A1052" t="s">
        <v>1146</v>
      </c>
      <c r="B1052" t="s">
        <v>64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20</v>
      </c>
      <c r="I1052" t="s">
        <v>15</v>
      </c>
      <c r="J1052">
        <v>4</v>
      </c>
      <c r="K1052" t="s">
        <v>16</v>
      </c>
      <c r="L1052" t="s">
        <v>74</v>
      </c>
      <c r="M1052">
        <f>orders[[#This Row],[Ship Date]]-orders[[#This Row],[Order Date]]</f>
        <v>3</v>
      </c>
      <c r="N1052">
        <f>WEEKNUM(orders[[#This Row],[Order Date]],2)</f>
        <v>7</v>
      </c>
      <c r="O1052" t="str" cm="1">
        <f t="array" ref="O10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53" spans="1:15" x14ac:dyDescent="0.3">
      <c r="A1053" t="s">
        <v>1147</v>
      </c>
      <c r="B1053" t="s">
        <v>29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24</v>
      </c>
      <c r="I1053" t="s">
        <v>15</v>
      </c>
      <c r="J1053">
        <v>5</v>
      </c>
      <c r="K1053" t="s">
        <v>16</v>
      </c>
      <c r="L1053" t="s">
        <v>74</v>
      </c>
      <c r="M1053">
        <f>orders[[#This Row],[Ship Date]]-orders[[#This Row],[Order Date]]</f>
        <v>1</v>
      </c>
      <c r="N1053">
        <f>WEEKNUM(orders[[#This Row],[Order Date]],2)</f>
        <v>7</v>
      </c>
      <c r="O1053" t="str" cm="1">
        <f t="array" ref="O10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54" spans="1:15" x14ac:dyDescent="0.3">
      <c r="A1054" t="s">
        <v>1148</v>
      </c>
      <c r="B1054" t="s">
        <v>125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20</v>
      </c>
      <c r="I1054" t="s">
        <v>15</v>
      </c>
      <c r="J1054">
        <v>4</v>
      </c>
      <c r="K1054" t="s">
        <v>16</v>
      </c>
      <c r="L1054" t="s">
        <v>1113</v>
      </c>
      <c r="M1054">
        <f>orders[[#This Row],[Ship Date]]-orders[[#This Row],[Order Date]]</f>
        <v>1</v>
      </c>
      <c r="N1054">
        <f>WEEKNUM(orders[[#This Row],[Order Date]],2)</f>
        <v>7</v>
      </c>
      <c r="O1054" t="str" cm="1">
        <f t="array" ref="O10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55" spans="1:15" x14ac:dyDescent="0.3">
      <c r="A1055" t="s">
        <v>1149</v>
      </c>
      <c r="B1055" t="s">
        <v>23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24</v>
      </c>
      <c r="I1055" t="s">
        <v>32</v>
      </c>
      <c r="J1055">
        <v>5</v>
      </c>
      <c r="K1055" t="s">
        <v>16</v>
      </c>
      <c r="L1055" t="s">
        <v>105</v>
      </c>
      <c r="M1055">
        <f>orders[[#This Row],[Ship Date]]-orders[[#This Row],[Order Date]]</f>
        <v>1</v>
      </c>
      <c r="N1055">
        <f>WEEKNUM(orders[[#This Row],[Order Date]],2)</f>
        <v>7</v>
      </c>
      <c r="O1055" t="str" cm="1">
        <f t="array" ref="O10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56" spans="1:15" x14ac:dyDescent="0.3">
      <c r="A1056" t="s">
        <v>1150</v>
      </c>
      <c r="B1056" t="s">
        <v>66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20</v>
      </c>
      <c r="I1056" t="s">
        <v>15</v>
      </c>
      <c r="J1056">
        <v>4</v>
      </c>
      <c r="K1056" t="s">
        <v>16</v>
      </c>
      <c r="L1056" t="s">
        <v>112</v>
      </c>
      <c r="M1056">
        <f>orders[[#This Row],[Ship Date]]-orders[[#This Row],[Order Date]]</f>
        <v>4</v>
      </c>
      <c r="N1056">
        <f>WEEKNUM(orders[[#This Row],[Order Date]],2)</f>
        <v>7</v>
      </c>
      <c r="O1056" t="str" cm="1">
        <f t="array" ref="O10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57" spans="1:15" x14ac:dyDescent="0.3">
      <c r="A1057" t="s">
        <v>1151</v>
      </c>
      <c r="B1057" t="s">
        <v>41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20</v>
      </c>
      <c r="I1057" t="s">
        <v>37</v>
      </c>
      <c r="J1057">
        <v>5</v>
      </c>
      <c r="K1057" t="s">
        <v>16</v>
      </c>
      <c r="L1057" t="s">
        <v>112</v>
      </c>
      <c r="M1057">
        <f>orders[[#This Row],[Ship Date]]-orders[[#This Row],[Order Date]]</f>
        <v>2</v>
      </c>
      <c r="N1057">
        <f>WEEKNUM(orders[[#This Row],[Order Date]],2)</f>
        <v>7</v>
      </c>
      <c r="O1057" t="str" cm="1">
        <f t="array" ref="O10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58" spans="1:15" x14ac:dyDescent="0.3">
      <c r="A1058" t="s">
        <v>1152</v>
      </c>
      <c r="B1058" t="s">
        <v>43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24</v>
      </c>
      <c r="I1058" t="s">
        <v>15</v>
      </c>
      <c r="J1058">
        <v>4</v>
      </c>
      <c r="K1058" t="s">
        <v>16</v>
      </c>
      <c r="L1058" t="s">
        <v>25</v>
      </c>
      <c r="M1058">
        <f>orders[[#This Row],[Ship Date]]-orders[[#This Row],[Order Date]]</f>
        <v>3</v>
      </c>
      <c r="N1058">
        <f>WEEKNUM(orders[[#This Row],[Order Date]],2)</f>
        <v>7</v>
      </c>
      <c r="O1058" t="str" cm="1">
        <f t="array" ref="O10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59" spans="1:15" x14ac:dyDescent="0.3">
      <c r="A1059" t="s">
        <v>1153</v>
      </c>
      <c r="B1059" t="s">
        <v>143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24</v>
      </c>
      <c r="I1059" t="s">
        <v>15</v>
      </c>
      <c r="J1059">
        <v>4</v>
      </c>
      <c r="K1059" t="s">
        <v>16</v>
      </c>
      <c r="L1059" t="s">
        <v>25</v>
      </c>
      <c r="M1059">
        <f>orders[[#This Row],[Ship Date]]-orders[[#This Row],[Order Date]]</f>
        <v>3</v>
      </c>
      <c r="N1059">
        <f>WEEKNUM(orders[[#This Row],[Order Date]],2)</f>
        <v>7</v>
      </c>
      <c r="O1059" t="str" cm="1">
        <f t="array" ref="O10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60" spans="1:15" x14ac:dyDescent="0.3">
      <c r="A1060" t="s">
        <v>1154</v>
      </c>
      <c r="B1060" t="s">
        <v>43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24</v>
      </c>
      <c r="I1060" t="s">
        <v>15</v>
      </c>
      <c r="J1060">
        <v>3</v>
      </c>
      <c r="K1060" t="s">
        <v>16</v>
      </c>
      <c r="L1060" t="s">
        <v>584</v>
      </c>
      <c r="M1060">
        <f>orders[[#This Row],[Ship Date]]-orders[[#This Row],[Order Date]]</f>
        <v>1</v>
      </c>
      <c r="N1060">
        <f>WEEKNUM(orders[[#This Row],[Order Date]],2)</f>
        <v>7</v>
      </c>
      <c r="O1060" t="str" cm="1">
        <f t="array" ref="O10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61" spans="1:15" x14ac:dyDescent="0.3">
      <c r="A1061" t="s">
        <v>1155</v>
      </c>
      <c r="B1061" t="s">
        <v>120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20</v>
      </c>
      <c r="I1061" t="s">
        <v>15</v>
      </c>
      <c r="J1061">
        <v>4</v>
      </c>
      <c r="K1061" t="s">
        <v>16</v>
      </c>
      <c r="L1061" t="s">
        <v>144</v>
      </c>
      <c r="M1061">
        <f>orders[[#This Row],[Ship Date]]-orders[[#This Row],[Order Date]]</f>
        <v>1</v>
      </c>
      <c r="N1061">
        <f>WEEKNUM(orders[[#This Row],[Order Date]],2)</f>
        <v>7</v>
      </c>
      <c r="O1061" t="str" cm="1">
        <f t="array" ref="O10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62" spans="1:15" x14ac:dyDescent="0.3">
      <c r="A1062" t="s">
        <v>1156</v>
      </c>
      <c r="B1062" t="s">
        <v>143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14</v>
      </c>
      <c r="I1062" t="s">
        <v>37</v>
      </c>
      <c r="J1062">
        <v>5</v>
      </c>
      <c r="K1062" t="s">
        <v>16</v>
      </c>
      <c r="L1062" t="s">
        <v>30</v>
      </c>
      <c r="M1062">
        <f>orders[[#This Row],[Ship Date]]-orders[[#This Row],[Order Date]]</f>
        <v>2</v>
      </c>
      <c r="N1062">
        <f>WEEKNUM(orders[[#This Row],[Order Date]],2)</f>
        <v>7</v>
      </c>
      <c r="O1062" t="str" cm="1">
        <f t="array" ref="O106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063" spans="1:15" x14ac:dyDescent="0.3">
      <c r="A1063" t="s">
        <v>1157</v>
      </c>
      <c r="B1063" t="s">
        <v>120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20</v>
      </c>
      <c r="I1063" t="s">
        <v>32</v>
      </c>
      <c r="J1063">
        <v>5</v>
      </c>
      <c r="K1063" t="s">
        <v>16</v>
      </c>
      <c r="L1063" t="s">
        <v>30</v>
      </c>
      <c r="M1063">
        <f>orders[[#This Row],[Ship Date]]-orders[[#This Row],[Order Date]]</f>
        <v>1</v>
      </c>
      <c r="N1063">
        <f>WEEKNUM(orders[[#This Row],[Order Date]],2)</f>
        <v>7</v>
      </c>
      <c r="O1063" t="str" cm="1">
        <f t="array" ref="O10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64" spans="1:15" x14ac:dyDescent="0.3">
      <c r="A1064" t="s">
        <v>1158</v>
      </c>
      <c r="B1064" t="s">
        <v>73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20</v>
      </c>
      <c r="I1064" t="s">
        <v>32</v>
      </c>
      <c r="J1064">
        <v>4</v>
      </c>
      <c r="K1064" t="s">
        <v>16</v>
      </c>
      <c r="L1064" t="s">
        <v>30</v>
      </c>
      <c r="M1064">
        <f>orders[[#This Row],[Ship Date]]-orders[[#This Row],[Order Date]]</f>
        <v>2</v>
      </c>
      <c r="N1064">
        <f>WEEKNUM(orders[[#This Row],[Order Date]],2)</f>
        <v>7</v>
      </c>
      <c r="O1064" t="str" cm="1">
        <f t="array" ref="O10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65" spans="1:15" x14ac:dyDescent="0.3">
      <c r="A1065" t="s">
        <v>1159</v>
      </c>
      <c r="B1065" t="s">
        <v>41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24</v>
      </c>
      <c r="I1065" t="s">
        <v>67</v>
      </c>
      <c r="J1065">
        <v>3</v>
      </c>
      <c r="K1065" t="s">
        <v>16</v>
      </c>
      <c r="L1065" t="s">
        <v>30</v>
      </c>
      <c r="M1065">
        <f>orders[[#This Row],[Ship Date]]-orders[[#This Row],[Order Date]]</f>
        <v>2</v>
      </c>
      <c r="N1065">
        <f>WEEKNUM(orders[[#This Row],[Order Date]],2)</f>
        <v>7</v>
      </c>
      <c r="O1065" t="str" cm="1">
        <f t="array" ref="O10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66" spans="1:15" x14ac:dyDescent="0.3">
      <c r="A1066" t="s">
        <v>1160</v>
      </c>
      <c r="B1066" t="s">
        <v>41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20</v>
      </c>
      <c r="I1066" t="s">
        <v>37</v>
      </c>
      <c r="J1066">
        <v>2</v>
      </c>
      <c r="K1066" t="s">
        <v>16</v>
      </c>
      <c r="L1066" t="s">
        <v>30</v>
      </c>
      <c r="M1066">
        <f>orders[[#This Row],[Ship Date]]-orders[[#This Row],[Order Date]]</f>
        <v>2</v>
      </c>
      <c r="N1066">
        <f>WEEKNUM(orders[[#This Row],[Order Date]],2)</f>
        <v>7</v>
      </c>
      <c r="O1066" t="str" cm="1">
        <f t="array" ref="O10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67" spans="1:15" x14ac:dyDescent="0.3">
      <c r="A1067" t="s">
        <v>1161</v>
      </c>
      <c r="B1067" t="s">
        <v>143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20</v>
      </c>
      <c r="I1067" t="s">
        <v>32</v>
      </c>
      <c r="J1067">
        <v>4</v>
      </c>
      <c r="K1067" t="s">
        <v>16</v>
      </c>
      <c r="L1067" t="s">
        <v>30</v>
      </c>
      <c r="M1067">
        <f>orders[[#This Row],[Ship Date]]-orders[[#This Row],[Order Date]]</f>
        <v>0</v>
      </c>
      <c r="N1067">
        <f>WEEKNUM(orders[[#This Row],[Order Date]],2)</f>
        <v>7</v>
      </c>
      <c r="O1067" t="str" cm="1">
        <f t="array" ref="O10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68" spans="1:15" x14ac:dyDescent="0.3">
      <c r="A1068" t="s">
        <v>1162</v>
      </c>
      <c r="B1068" t="s">
        <v>23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24</v>
      </c>
      <c r="I1068" t="s">
        <v>37</v>
      </c>
      <c r="J1068">
        <v>4</v>
      </c>
      <c r="K1068" t="s">
        <v>16</v>
      </c>
      <c r="L1068" t="s">
        <v>30</v>
      </c>
      <c r="M1068">
        <f>orders[[#This Row],[Ship Date]]-orders[[#This Row],[Order Date]]</f>
        <v>3</v>
      </c>
      <c r="N1068">
        <f>WEEKNUM(orders[[#This Row],[Order Date]],2)</f>
        <v>7</v>
      </c>
      <c r="O1068" t="str" cm="1">
        <f t="array" ref="O10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69" spans="1:15" x14ac:dyDescent="0.3">
      <c r="A1069" t="s">
        <v>1163</v>
      </c>
      <c r="B1069" t="s">
        <v>66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20</v>
      </c>
      <c r="I1069" t="s">
        <v>15</v>
      </c>
      <c r="J1069">
        <v>3</v>
      </c>
      <c r="K1069" t="s">
        <v>16</v>
      </c>
      <c r="L1069" t="s">
        <v>30</v>
      </c>
      <c r="M1069">
        <f>orders[[#This Row],[Ship Date]]-orders[[#This Row],[Order Date]]</f>
        <v>3</v>
      </c>
      <c r="N1069">
        <f>WEEKNUM(orders[[#This Row],[Order Date]],2)</f>
        <v>7</v>
      </c>
      <c r="O1069" t="str" cm="1">
        <f t="array" ref="O106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70" spans="1:15" x14ac:dyDescent="0.3">
      <c r="A1070" t="s">
        <v>1164</v>
      </c>
      <c r="B1070" t="s">
        <v>43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24</v>
      </c>
      <c r="I1070" t="s">
        <v>48</v>
      </c>
      <c r="J1070">
        <v>5</v>
      </c>
      <c r="K1070" t="s">
        <v>16</v>
      </c>
      <c r="L1070" t="s">
        <v>30</v>
      </c>
      <c r="M1070">
        <f>orders[[#This Row],[Ship Date]]-orders[[#This Row],[Order Date]]</f>
        <v>8</v>
      </c>
      <c r="N1070">
        <f>WEEKNUM(orders[[#This Row],[Order Date]],2)</f>
        <v>7</v>
      </c>
      <c r="O1070" t="str" cm="1">
        <f t="array" ref="O10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71" spans="1:15" x14ac:dyDescent="0.3">
      <c r="A1071" t="s">
        <v>1165</v>
      </c>
      <c r="B1071" t="s">
        <v>41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24</v>
      </c>
      <c r="I1071" t="s">
        <v>32</v>
      </c>
      <c r="J1071">
        <v>4</v>
      </c>
      <c r="K1071" t="s">
        <v>16</v>
      </c>
      <c r="L1071" t="s">
        <v>30</v>
      </c>
      <c r="M1071">
        <f>orders[[#This Row],[Ship Date]]-orders[[#This Row],[Order Date]]</f>
        <v>2</v>
      </c>
      <c r="N1071">
        <f>WEEKNUM(orders[[#This Row],[Order Date]],2)</f>
        <v>7</v>
      </c>
      <c r="O1071" t="str" cm="1">
        <f t="array" ref="O10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72" spans="1:15" x14ac:dyDescent="0.3">
      <c r="A1072" t="s">
        <v>1166</v>
      </c>
      <c r="B1072" t="s">
        <v>39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20</v>
      </c>
      <c r="I1072" t="s">
        <v>37</v>
      </c>
      <c r="J1072">
        <v>2</v>
      </c>
      <c r="K1072" t="s">
        <v>16</v>
      </c>
      <c r="L1072" t="s">
        <v>30</v>
      </c>
      <c r="M1072">
        <f>orders[[#This Row],[Ship Date]]-orders[[#This Row],[Order Date]]</f>
        <v>2</v>
      </c>
      <c r="N1072">
        <f>WEEKNUM(orders[[#This Row],[Order Date]],2)</f>
        <v>7</v>
      </c>
      <c r="O1072" t="str" cm="1">
        <f t="array" ref="O10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73" spans="1:15" x14ac:dyDescent="0.3">
      <c r="A1073" t="s">
        <v>1167</v>
      </c>
      <c r="B1073" t="s">
        <v>19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24</v>
      </c>
      <c r="I1073" t="s">
        <v>48</v>
      </c>
      <c r="J1073">
        <v>4</v>
      </c>
      <c r="K1073" t="s">
        <v>16</v>
      </c>
      <c r="L1073" t="s">
        <v>183</v>
      </c>
      <c r="M1073">
        <f>orders[[#This Row],[Ship Date]]-orders[[#This Row],[Order Date]]</f>
        <v>3</v>
      </c>
      <c r="N1073">
        <f>WEEKNUM(orders[[#This Row],[Order Date]],2)</f>
        <v>7</v>
      </c>
      <c r="O1073" t="str" cm="1">
        <f t="array" ref="O10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74" spans="1:15" x14ac:dyDescent="0.3">
      <c r="A1074" t="s">
        <v>1168</v>
      </c>
      <c r="B1074" t="s">
        <v>27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20</v>
      </c>
      <c r="I1074" t="s">
        <v>32</v>
      </c>
      <c r="J1074">
        <v>3</v>
      </c>
      <c r="K1074" t="s">
        <v>16</v>
      </c>
      <c r="L1074" t="s">
        <v>52</v>
      </c>
      <c r="M1074">
        <f>orders[[#This Row],[Ship Date]]-orders[[#This Row],[Order Date]]</f>
        <v>3</v>
      </c>
      <c r="N1074">
        <f>WEEKNUM(orders[[#This Row],[Order Date]],2)</f>
        <v>7</v>
      </c>
      <c r="O1074" t="str" cm="1">
        <f t="array" ref="O10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75" spans="1:15" x14ac:dyDescent="0.3">
      <c r="A1075" t="s">
        <v>1169</v>
      </c>
      <c r="B1075" t="s">
        <v>41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20</v>
      </c>
      <c r="I1075" t="s">
        <v>32</v>
      </c>
      <c r="J1075">
        <v>5</v>
      </c>
      <c r="K1075" t="s">
        <v>16</v>
      </c>
      <c r="L1075" t="s">
        <v>52</v>
      </c>
      <c r="M1075">
        <f>orders[[#This Row],[Ship Date]]-orders[[#This Row],[Order Date]]</f>
        <v>14</v>
      </c>
      <c r="N1075">
        <f>WEEKNUM(orders[[#This Row],[Order Date]],2)</f>
        <v>7</v>
      </c>
      <c r="O1075" t="str" cm="1">
        <f t="array" ref="O107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76" spans="1:15" x14ac:dyDescent="0.3">
      <c r="A1076" t="s">
        <v>1170</v>
      </c>
      <c r="B1076" t="s">
        <v>23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20</v>
      </c>
      <c r="I1076" t="s">
        <v>37</v>
      </c>
      <c r="J1076">
        <v>2</v>
      </c>
      <c r="K1076" t="s">
        <v>16</v>
      </c>
      <c r="L1076" t="s">
        <v>52</v>
      </c>
      <c r="M1076">
        <f>orders[[#This Row],[Ship Date]]-orders[[#This Row],[Order Date]]</f>
        <v>0</v>
      </c>
      <c r="N1076">
        <f>WEEKNUM(orders[[#This Row],[Order Date]],2)</f>
        <v>7</v>
      </c>
      <c r="O1076" t="str" cm="1">
        <f t="array" ref="O10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77" spans="1:15" x14ac:dyDescent="0.3">
      <c r="A1077" t="s">
        <v>1171</v>
      </c>
      <c r="B1077" t="s">
        <v>23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20</v>
      </c>
      <c r="I1077" t="s">
        <v>15</v>
      </c>
      <c r="J1077">
        <v>4</v>
      </c>
      <c r="K1077" t="s">
        <v>16</v>
      </c>
      <c r="L1077" t="s">
        <v>59</v>
      </c>
      <c r="M1077">
        <f>orders[[#This Row],[Ship Date]]-orders[[#This Row],[Order Date]]</f>
        <v>1</v>
      </c>
      <c r="N1077">
        <f>WEEKNUM(orders[[#This Row],[Order Date]],2)</f>
        <v>7</v>
      </c>
      <c r="O1077" t="str" cm="1">
        <f t="array" ref="O10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78" spans="1:15" x14ac:dyDescent="0.3">
      <c r="A1078" t="s">
        <v>1172</v>
      </c>
      <c r="B1078" t="s">
        <v>36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20</v>
      </c>
      <c r="I1078" t="s">
        <v>37</v>
      </c>
      <c r="J1078">
        <v>3</v>
      </c>
      <c r="K1078" t="s">
        <v>16</v>
      </c>
      <c r="L1078" t="s">
        <v>59</v>
      </c>
      <c r="M1078">
        <f>orders[[#This Row],[Ship Date]]-orders[[#This Row],[Order Date]]</f>
        <v>1</v>
      </c>
      <c r="N1078">
        <f>WEEKNUM(orders[[#This Row],[Order Date]],2)</f>
        <v>7</v>
      </c>
      <c r="O1078" t="str" cm="1">
        <f t="array" ref="O107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79" spans="1:15" x14ac:dyDescent="0.3">
      <c r="A1079" t="s">
        <v>1173</v>
      </c>
      <c r="B1079" t="s">
        <v>34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20</v>
      </c>
      <c r="I1079" t="s">
        <v>15</v>
      </c>
      <c r="J1079">
        <v>3</v>
      </c>
      <c r="K1079" t="s">
        <v>16</v>
      </c>
      <c r="L1079" t="s">
        <v>100</v>
      </c>
      <c r="M1079">
        <f>orders[[#This Row],[Ship Date]]-orders[[#This Row],[Order Date]]</f>
        <v>5</v>
      </c>
      <c r="N1079">
        <f>WEEKNUM(orders[[#This Row],[Order Date]],2)</f>
        <v>7</v>
      </c>
      <c r="O1079" t="str" cm="1">
        <f t="array" ref="O10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80" spans="1:15" x14ac:dyDescent="0.3">
      <c r="A1080" t="s">
        <v>1174</v>
      </c>
      <c r="B1080" t="s">
        <v>23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20</v>
      </c>
      <c r="I1080" t="s">
        <v>67</v>
      </c>
      <c r="J1080">
        <v>5</v>
      </c>
      <c r="K1080" t="s">
        <v>16</v>
      </c>
      <c r="L1080" t="s">
        <v>100</v>
      </c>
      <c r="M1080">
        <f>orders[[#This Row],[Ship Date]]-orders[[#This Row],[Order Date]]</f>
        <v>0</v>
      </c>
      <c r="N1080">
        <f>WEEKNUM(orders[[#This Row],[Order Date]],2)</f>
        <v>7</v>
      </c>
      <c r="O1080" t="str" cm="1">
        <f t="array" ref="O108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81" spans="1:15" x14ac:dyDescent="0.3">
      <c r="A1081" t="s">
        <v>1175</v>
      </c>
      <c r="B1081" t="s">
        <v>120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20</v>
      </c>
      <c r="I1081" t="s">
        <v>48</v>
      </c>
      <c r="J1081">
        <v>3</v>
      </c>
      <c r="K1081" t="s">
        <v>16</v>
      </c>
      <c r="L1081" t="s">
        <v>74</v>
      </c>
      <c r="M1081">
        <f>orders[[#This Row],[Ship Date]]-orders[[#This Row],[Order Date]]</f>
        <v>1</v>
      </c>
      <c r="N1081">
        <f>WEEKNUM(orders[[#This Row],[Order Date]],2)</f>
        <v>7</v>
      </c>
      <c r="O1081" t="str" cm="1">
        <f t="array" ref="O10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82" spans="1:15" x14ac:dyDescent="0.3">
      <c r="A1082" t="s">
        <v>1176</v>
      </c>
      <c r="B1082" t="s">
        <v>51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24</v>
      </c>
      <c r="I1082" t="s">
        <v>15</v>
      </c>
      <c r="J1082">
        <v>4</v>
      </c>
      <c r="K1082" t="s">
        <v>16</v>
      </c>
      <c r="L1082" t="s">
        <v>74</v>
      </c>
      <c r="M1082">
        <f>orders[[#This Row],[Ship Date]]-orders[[#This Row],[Order Date]]</f>
        <v>2</v>
      </c>
      <c r="N1082">
        <f>WEEKNUM(orders[[#This Row],[Order Date]],2)</f>
        <v>7</v>
      </c>
      <c r="O1082" t="str" cm="1">
        <f t="array" ref="O10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3" spans="1:15" x14ac:dyDescent="0.3">
      <c r="A1083" t="s">
        <v>1177</v>
      </c>
      <c r="B1083" t="s">
        <v>43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24</v>
      </c>
      <c r="I1083" t="s">
        <v>32</v>
      </c>
      <c r="J1083">
        <v>5</v>
      </c>
      <c r="K1083" t="s">
        <v>16</v>
      </c>
      <c r="L1083" t="s">
        <v>110</v>
      </c>
      <c r="M1083">
        <f>orders[[#This Row],[Ship Date]]-orders[[#This Row],[Order Date]]</f>
        <v>2</v>
      </c>
      <c r="N1083">
        <f>WEEKNUM(orders[[#This Row],[Order Date]],2)</f>
        <v>7</v>
      </c>
      <c r="O1083" t="str" cm="1">
        <f t="array" ref="O10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4" spans="1:15" x14ac:dyDescent="0.3">
      <c r="A1084" t="s">
        <v>1178</v>
      </c>
      <c r="B1084" t="s">
        <v>51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24</v>
      </c>
      <c r="I1084" t="s">
        <v>15</v>
      </c>
      <c r="J1084">
        <v>4</v>
      </c>
      <c r="K1084" t="s">
        <v>16</v>
      </c>
      <c r="L1084" t="s">
        <v>994</v>
      </c>
      <c r="M1084">
        <f>orders[[#This Row],[Ship Date]]-orders[[#This Row],[Order Date]]</f>
        <v>2</v>
      </c>
      <c r="N1084">
        <f>WEEKNUM(orders[[#This Row],[Order Date]],2)</f>
        <v>7</v>
      </c>
      <c r="O1084" t="str" cm="1">
        <f t="array" ref="O10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5" spans="1:15" x14ac:dyDescent="0.3">
      <c r="A1085" t="s">
        <v>1179</v>
      </c>
      <c r="B1085" t="s">
        <v>34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24</v>
      </c>
      <c r="I1085" t="s">
        <v>67</v>
      </c>
      <c r="J1085">
        <v>3</v>
      </c>
      <c r="K1085" t="s">
        <v>16</v>
      </c>
      <c r="L1085" t="s">
        <v>79</v>
      </c>
      <c r="M1085">
        <f>orders[[#This Row],[Ship Date]]-orders[[#This Row],[Order Date]]</f>
        <v>1</v>
      </c>
      <c r="N1085">
        <f>WEEKNUM(orders[[#This Row],[Order Date]],2)</f>
        <v>7</v>
      </c>
      <c r="O1085" t="str" cm="1">
        <f t="array" ref="O10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6" spans="1:15" x14ac:dyDescent="0.3">
      <c r="A1086" t="s">
        <v>1180</v>
      </c>
      <c r="B1086" t="s">
        <v>125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24</v>
      </c>
      <c r="I1086" t="s">
        <v>15</v>
      </c>
      <c r="J1086">
        <v>4</v>
      </c>
      <c r="K1086" t="s">
        <v>16</v>
      </c>
      <c r="L1086" t="s">
        <v>112</v>
      </c>
      <c r="M1086">
        <f>orders[[#This Row],[Ship Date]]-orders[[#This Row],[Order Date]]</f>
        <v>1</v>
      </c>
      <c r="N1086">
        <f>WEEKNUM(orders[[#This Row],[Order Date]],2)</f>
        <v>7</v>
      </c>
      <c r="O1086" t="str" cm="1">
        <f t="array" ref="O10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7" spans="1:15" x14ac:dyDescent="0.3">
      <c r="A1087" t="s">
        <v>1181</v>
      </c>
      <c r="B1087" t="s">
        <v>39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24</v>
      </c>
      <c r="I1087" t="s">
        <v>32</v>
      </c>
      <c r="J1087">
        <v>2</v>
      </c>
      <c r="K1087" t="s">
        <v>16</v>
      </c>
      <c r="L1087" t="s">
        <v>112</v>
      </c>
      <c r="M1087">
        <f>orders[[#This Row],[Ship Date]]-orders[[#This Row],[Order Date]]</f>
        <v>2</v>
      </c>
      <c r="N1087">
        <f>WEEKNUM(orders[[#This Row],[Order Date]],2)</f>
        <v>7</v>
      </c>
      <c r="O1087" t="str" cm="1">
        <f t="array" ref="O10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8" spans="1:15" x14ac:dyDescent="0.3">
      <c r="A1088" t="s">
        <v>1182</v>
      </c>
      <c r="B1088" t="s">
        <v>23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24</v>
      </c>
      <c r="I1088" t="s">
        <v>15</v>
      </c>
      <c r="J1088">
        <v>3</v>
      </c>
      <c r="K1088" t="s">
        <v>16</v>
      </c>
      <c r="L1088" t="s">
        <v>638</v>
      </c>
      <c r="M1088">
        <f>orders[[#This Row],[Ship Date]]-orders[[#This Row],[Order Date]]</f>
        <v>2</v>
      </c>
      <c r="N1088">
        <f>WEEKNUM(orders[[#This Row],[Order Date]],2)</f>
        <v>7</v>
      </c>
      <c r="O1088" t="str" cm="1">
        <f t="array" ref="O10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89" spans="1:15" x14ac:dyDescent="0.3">
      <c r="A1089" t="s">
        <v>1183</v>
      </c>
      <c r="B1089" t="s">
        <v>36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20</v>
      </c>
      <c r="I1089" t="s">
        <v>37</v>
      </c>
      <c r="J1089">
        <v>4</v>
      </c>
      <c r="K1089" t="s">
        <v>16</v>
      </c>
      <c r="L1089" t="s">
        <v>144</v>
      </c>
      <c r="M1089">
        <f>orders[[#This Row],[Ship Date]]-orders[[#This Row],[Order Date]]</f>
        <v>3</v>
      </c>
      <c r="N1089">
        <f>WEEKNUM(orders[[#This Row],[Order Date]],2)</f>
        <v>7</v>
      </c>
      <c r="O1089" t="str" cm="1">
        <f t="array" ref="O10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90" spans="1:15" x14ac:dyDescent="0.3">
      <c r="A1090" t="s">
        <v>1184</v>
      </c>
      <c r="B1090" t="s">
        <v>39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24</v>
      </c>
      <c r="I1090" t="s">
        <v>32</v>
      </c>
      <c r="J1090">
        <v>3</v>
      </c>
      <c r="K1090" t="s">
        <v>16</v>
      </c>
      <c r="L1090" t="s">
        <v>331</v>
      </c>
      <c r="M1090">
        <f>orders[[#This Row],[Ship Date]]-orders[[#This Row],[Order Date]]</f>
        <v>2</v>
      </c>
      <c r="N1090">
        <f>WEEKNUM(orders[[#This Row],[Order Date]],2)</f>
        <v>7</v>
      </c>
      <c r="O1090" t="str" cm="1">
        <f t="array" ref="O10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91" spans="1:15" x14ac:dyDescent="0.3">
      <c r="A1091" t="s">
        <v>1185</v>
      </c>
      <c r="B1091" t="s">
        <v>13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20</v>
      </c>
      <c r="I1091" t="s">
        <v>48</v>
      </c>
      <c r="J1091">
        <v>3</v>
      </c>
      <c r="K1091" t="s">
        <v>16</v>
      </c>
      <c r="L1091" t="s">
        <v>30</v>
      </c>
      <c r="M1091">
        <f>orders[[#This Row],[Ship Date]]-orders[[#This Row],[Order Date]]</f>
        <v>2</v>
      </c>
      <c r="N1091">
        <f>WEEKNUM(orders[[#This Row],[Order Date]],2)</f>
        <v>7</v>
      </c>
      <c r="O1091" t="str" cm="1">
        <f t="array" ref="O10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92" spans="1:15" x14ac:dyDescent="0.3">
      <c r="A1092" t="s">
        <v>1186</v>
      </c>
      <c r="B1092" t="s">
        <v>23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14</v>
      </c>
      <c r="I1092" t="s">
        <v>32</v>
      </c>
      <c r="J1092">
        <v>2</v>
      </c>
      <c r="K1092" t="s">
        <v>16</v>
      </c>
      <c r="L1092" t="s">
        <v>30</v>
      </c>
      <c r="M1092">
        <f>orders[[#This Row],[Ship Date]]-orders[[#This Row],[Order Date]]</f>
        <v>1</v>
      </c>
      <c r="N1092">
        <f>WEEKNUM(orders[[#This Row],[Order Date]],2)</f>
        <v>7</v>
      </c>
      <c r="O1092" t="str" cm="1">
        <f t="array" ref="O109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093" spans="1:15" x14ac:dyDescent="0.3">
      <c r="A1093" t="s">
        <v>1187</v>
      </c>
      <c r="B1093" t="s">
        <v>23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24</v>
      </c>
      <c r="I1093" t="s">
        <v>32</v>
      </c>
      <c r="J1093">
        <v>2</v>
      </c>
      <c r="K1093" t="s">
        <v>16</v>
      </c>
      <c r="L1093" t="s">
        <v>30</v>
      </c>
      <c r="M1093">
        <f>orders[[#This Row],[Ship Date]]-orders[[#This Row],[Order Date]]</f>
        <v>1</v>
      </c>
      <c r="N1093">
        <f>WEEKNUM(orders[[#This Row],[Order Date]],2)</f>
        <v>7</v>
      </c>
      <c r="O1093" t="str" cm="1">
        <f t="array" ref="O10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94" spans="1:15" x14ac:dyDescent="0.3">
      <c r="A1094" t="s">
        <v>1188</v>
      </c>
      <c r="B1094" t="s">
        <v>143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24</v>
      </c>
      <c r="I1094" t="s">
        <v>15</v>
      </c>
      <c r="J1094">
        <v>5</v>
      </c>
      <c r="K1094" t="s">
        <v>16</v>
      </c>
      <c r="L1094" t="s">
        <v>30</v>
      </c>
      <c r="M1094">
        <f>orders[[#This Row],[Ship Date]]-orders[[#This Row],[Order Date]]</f>
        <v>5</v>
      </c>
      <c r="N1094">
        <f>WEEKNUM(orders[[#This Row],[Order Date]],2)</f>
        <v>7</v>
      </c>
      <c r="O1094" t="str" cm="1">
        <f t="array" ref="O10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95" spans="1:15" x14ac:dyDescent="0.3">
      <c r="A1095" t="s">
        <v>1189</v>
      </c>
      <c r="B1095" t="s">
        <v>13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20</v>
      </c>
      <c r="I1095" t="s">
        <v>37</v>
      </c>
      <c r="J1095">
        <v>4</v>
      </c>
      <c r="K1095" t="s">
        <v>16</v>
      </c>
      <c r="L1095" t="s">
        <v>30</v>
      </c>
      <c r="M1095">
        <f>orders[[#This Row],[Ship Date]]-orders[[#This Row],[Order Date]]</f>
        <v>14</v>
      </c>
      <c r="N1095">
        <f>WEEKNUM(orders[[#This Row],[Order Date]],2)</f>
        <v>7</v>
      </c>
      <c r="O1095" t="str" cm="1">
        <f t="array" ref="O10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096" spans="1:15" x14ac:dyDescent="0.3">
      <c r="A1096" t="s">
        <v>1190</v>
      </c>
      <c r="B1096" t="s">
        <v>132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24</v>
      </c>
      <c r="I1096" t="s">
        <v>15</v>
      </c>
      <c r="J1096">
        <v>4</v>
      </c>
      <c r="K1096" t="s">
        <v>16</v>
      </c>
      <c r="L1096" t="s">
        <v>183</v>
      </c>
      <c r="M1096">
        <f>orders[[#This Row],[Ship Date]]-orders[[#This Row],[Order Date]]</f>
        <v>2</v>
      </c>
      <c r="N1096">
        <f>WEEKNUM(orders[[#This Row],[Order Date]],2)</f>
        <v>7</v>
      </c>
      <c r="O1096" t="str" cm="1">
        <f t="array" ref="O10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97" spans="1:15" x14ac:dyDescent="0.3">
      <c r="A1097" t="s">
        <v>1191</v>
      </c>
      <c r="B1097" t="s">
        <v>19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24</v>
      </c>
      <c r="I1097" t="s">
        <v>48</v>
      </c>
      <c r="J1097">
        <v>5</v>
      </c>
      <c r="K1097" t="s">
        <v>16</v>
      </c>
      <c r="L1097" t="s">
        <v>52</v>
      </c>
      <c r="M1097">
        <f>orders[[#This Row],[Ship Date]]-orders[[#This Row],[Order Date]]</f>
        <v>3</v>
      </c>
      <c r="N1097">
        <f>WEEKNUM(orders[[#This Row],[Order Date]],2)</f>
        <v>7</v>
      </c>
      <c r="O1097" t="str" cm="1">
        <f t="array" ref="O10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98" spans="1:15" x14ac:dyDescent="0.3">
      <c r="A1098" t="s">
        <v>1192</v>
      </c>
      <c r="B1098" t="s">
        <v>120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24</v>
      </c>
      <c r="I1098" t="s">
        <v>15</v>
      </c>
      <c r="J1098">
        <v>4</v>
      </c>
      <c r="K1098" t="s">
        <v>16</v>
      </c>
      <c r="L1098" t="s">
        <v>52</v>
      </c>
      <c r="M1098">
        <f>orders[[#This Row],[Ship Date]]-orders[[#This Row],[Order Date]]</f>
        <v>1</v>
      </c>
      <c r="N1098">
        <f>WEEKNUM(orders[[#This Row],[Order Date]],2)</f>
        <v>7</v>
      </c>
      <c r="O1098" t="str" cm="1">
        <f t="array" ref="O10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099" spans="1:15" x14ac:dyDescent="0.3">
      <c r="A1099" t="s">
        <v>1193</v>
      </c>
      <c r="B1099" t="s">
        <v>39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20</v>
      </c>
      <c r="I1099" t="s">
        <v>48</v>
      </c>
      <c r="J1099">
        <v>4</v>
      </c>
      <c r="K1099" t="s">
        <v>16</v>
      </c>
      <c r="L1099" t="s">
        <v>339</v>
      </c>
      <c r="M1099">
        <f>orders[[#This Row],[Ship Date]]-orders[[#This Row],[Order Date]]</f>
        <v>1</v>
      </c>
      <c r="N1099">
        <f>WEEKNUM(orders[[#This Row],[Order Date]],2)</f>
        <v>7</v>
      </c>
      <c r="O1099" t="str" cm="1">
        <f t="array" ref="O10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00" spans="1:15" x14ac:dyDescent="0.3">
      <c r="A1100" t="s">
        <v>1194</v>
      </c>
      <c r="B1100" t="s">
        <v>43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24</v>
      </c>
      <c r="I1100" t="s">
        <v>15</v>
      </c>
      <c r="J1100">
        <v>4</v>
      </c>
      <c r="K1100" t="s">
        <v>16</v>
      </c>
      <c r="L1100" t="s">
        <v>59</v>
      </c>
      <c r="M1100">
        <f>orders[[#This Row],[Ship Date]]-orders[[#This Row],[Order Date]]</f>
        <v>2</v>
      </c>
      <c r="N1100">
        <f>WEEKNUM(orders[[#This Row],[Order Date]],2)</f>
        <v>7</v>
      </c>
      <c r="O1100" t="str" cm="1">
        <f t="array" ref="O11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01" spans="1:15" x14ac:dyDescent="0.3">
      <c r="A1101" t="s">
        <v>1195</v>
      </c>
      <c r="B1101" t="s">
        <v>23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24</v>
      </c>
      <c r="I1101" t="s">
        <v>48</v>
      </c>
      <c r="J1101">
        <v>5</v>
      </c>
      <c r="K1101" t="s">
        <v>16</v>
      </c>
      <c r="L1101" t="s">
        <v>59</v>
      </c>
      <c r="M1101">
        <f>orders[[#This Row],[Ship Date]]-orders[[#This Row],[Order Date]]</f>
        <v>1</v>
      </c>
      <c r="N1101">
        <f>WEEKNUM(orders[[#This Row],[Order Date]],2)</f>
        <v>7</v>
      </c>
      <c r="O1101" t="str" cm="1">
        <f t="array" ref="O11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02" spans="1:15" x14ac:dyDescent="0.3">
      <c r="A1102" t="s">
        <v>1196</v>
      </c>
      <c r="B1102" t="s">
        <v>51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24</v>
      </c>
      <c r="I1102" t="s">
        <v>15</v>
      </c>
      <c r="J1102">
        <v>5</v>
      </c>
      <c r="K1102" t="s">
        <v>16</v>
      </c>
      <c r="L1102" t="s">
        <v>59</v>
      </c>
      <c r="M1102">
        <f>orders[[#This Row],[Ship Date]]-orders[[#This Row],[Order Date]]</f>
        <v>3</v>
      </c>
      <c r="N1102">
        <f>WEEKNUM(orders[[#This Row],[Order Date]],2)</f>
        <v>7</v>
      </c>
      <c r="O1102" t="str" cm="1">
        <f t="array" ref="O11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03" spans="1:15" x14ac:dyDescent="0.3">
      <c r="A1103" t="s">
        <v>1197</v>
      </c>
      <c r="B1103" t="s">
        <v>64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20</v>
      </c>
      <c r="I1103" t="s">
        <v>32</v>
      </c>
      <c r="J1103">
        <v>2</v>
      </c>
      <c r="K1103" t="s">
        <v>16</v>
      </c>
      <c r="L1103" t="s">
        <v>59</v>
      </c>
      <c r="M1103">
        <f>orders[[#This Row],[Ship Date]]-orders[[#This Row],[Order Date]]</f>
        <v>2</v>
      </c>
      <c r="N1103">
        <f>WEEKNUM(orders[[#This Row],[Order Date]],2)</f>
        <v>7</v>
      </c>
      <c r="O1103" t="str" cm="1">
        <f t="array" ref="O11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04" spans="1:15" x14ac:dyDescent="0.3">
      <c r="A1104" t="s">
        <v>1198</v>
      </c>
      <c r="B1104" t="s">
        <v>143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14</v>
      </c>
      <c r="I1104" t="s">
        <v>37</v>
      </c>
      <c r="J1104">
        <v>3</v>
      </c>
      <c r="K1104" t="s">
        <v>16</v>
      </c>
      <c r="L1104" t="s">
        <v>69</v>
      </c>
      <c r="M1104">
        <f>orders[[#This Row],[Ship Date]]-orders[[#This Row],[Order Date]]</f>
        <v>1</v>
      </c>
      <c r="N1104">
        <f>WEEKNUM(orders[[#This Row],[Order Date]],2)</f>
        <v>7</v>
      </c>
      <c r="O1104" t="str" cm="1">
        <f t="array" ref="O110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105" spans="1:15" x14ac:dyDescent="0.3">
      <c r="A1105" t="s">
        <v>1199</v>
      </c>
      <c r="B1105" t="s">
        <v>19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24</v>
      </c>
      <c r="I1105" t="s">
        <v>15</v>
      </c>
      <c r="J1105">
        <v>4</v>
      </c>
      <c r="K1105" t="s">
        <v>16</v>
      </c>
      <c r="L1105" t="s">
        <v>69</v>
      </c>
      <c r="M1105">
        <f>orders[[#This Row],[Ship Date]]-orders[[#This Row],[Order Date]]</f>
        <v>0</v>
      </c>
      <c r="N1105">
        <f>WEEKNUM(orders[[#This Row],[Order Date]],2)</f>
        <v>7</v>
      </c>
      <c r="O1105" t="str" cm="1">
        <f t="array" ref="O11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06" spans="1:15" x14ac:dyDescent="0.3">
      <c r="A1106" t="s">
        <v>1200</v>
      </c>
      <c r="B1106" t="s">
        <v>27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20</v>
      </c>
      <c r="I1106" t="s">
        <v>48</v>
      </c>
      <c r="J1106">
        <v>4</v>
      </c>
      <c r="K1106" t="s">
        <v>16</v>
      </c>
      <c r="L1106" t="s">
        <v>74</v>
      </c>
      <c r="M1106">
        <f>orders[[#This Row],[Ship Date]]-orders[[#This Row],[Order Date]]</f>
        <v>3</v>
      </c>
      <c r="N1106">
        <f>WEEKNUM(orders[[#This Row],[Order Date]],2)</f>
        <v>7</v>
      </c>
      <c r="O1106" t="str" cm="1">
        <f t="array" ref="O11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07" spans="1:15" x14ac:dyDescent="0.3">
      <c r="A1107" t="s">
        <v>1201</v>
      </c>
      <c r="B1107" t="s">
        <v>168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86</v>
      </c>
      <c r="I1107" t="s">
        <v>15</v>
      </c>
      <c r="J1107">
        <v>5</v>
      </c>
      <c r="K1107" t="s">
        <v>16</v>
      </c>
      <c r="L1107" t="s">
        <v>74</v>
      </c>
      <c r="M1107">
        <f>orders[[#This Row],[Ship Date]]-orders[[#This Row],[Order Date]]</f>
        <v>1</v>
      </c>
      <c r="N1107">
        <f>WEEKNUM(orders[[#This Row],[Order Date]],2)</f>
        <v>7</v>
      </c>
      <c r="O1107" t="str" cm="1">
        <f t="array" ref="O110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108" spans="1:15" x14ac:dyDescent="0.3">
      <c r="A1108" t="s">
        <v>1202</v>
      </c>
      <c r="B1108" t="s">
        <v>41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20</v>
      </c>
      <c r="I1108" t="s">
        <v>37</v>
      </c>
      <c r="J1108">
        <v>5</v>
      </c>
      <c r="K1108" t="s">
        <v>16</v>
      </c>
      <c r="L1108" t="s">
        <v>1113</v>
      </c>
      <c r="M1108">
        <f>orders[[#This Row],[Ship Date]]-orders[[#This Row],[Order Date]]</f>
        <v>1</v>
      </c>
      <c r="N1108">
        <f>WEEKNUM(orders[[#This Row],[Order Date]],2)</f>
        <v>7</v>
      </c>
      <c r="O1108" t="str" cm="1">
        <f t="array" ref="O11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09" spans="1:15" x14ac:dyDescent="0.3">
      <c r="A1109" t="s">
        <v>1203</v>
      </c>
      <c r="B1109" t="s">
        <v>120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24</v>
      </c>
      <c r="I1109" t="s">
        <v>15</v>
      </c>
      <c r="J1109">
        <v>4</v>
      </c>
      <c r="K1109" t="s">
        <v>16</v>
      </c>
      <c r="L1109" t="s">
        <v>112</v>
      </c>
      <c r="M1109">
        <f>orders[[#This Row],[Ship Date]]-orders[[#This Row],[Order Date]]</f>
        <v>5</v>
      </c>
      <c r="N1109">
        <f>WEEKNUM(orders[[#This Row],[Order Date]],2)</f>
        <v>7</v>
      </c>
      <c r="O1109" t="str" cm="1">
        <f t="array" ref="O11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0" spans="1:15" x14ac:dyDescent="0.3">
      <c r="A1110" t="s">
        <v>1204</v>
      </c>
      <c r="B1110" t="s">
        <v>64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24</v>
      </c>
      <c r="I1110" t="s">
        <v>37</v>
      </c>
      <c r="J1110">
        <v>4</v>
      </c>
      <c r="K1110" t="s">
        <v>16</v>
      </c>
      <c r="L1110" t="s">
        <v>112</v>
      </c>
      <c r="M1110">
        <f>orders[[#This Row],[Ship Date]]-orders[[#This Row],[Order Date]]</f>
        <v>1</v>
      </c>
      <c r="N1110">
        <f>WEEKNUM(orders[[#This Row],[Order Date]],2)</f>
        <v>7</v>
      </c>
      <c r="O1110" t="str" cm="1">
        <f t="array" ref="O11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1" spans="1:15" x14ac:dyDescent="0.3">
      <c r="A1111" t="s">
        <v>1205</v>
      </c>
      <c r="B1111" t="s">
        <v>36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24</v>
      </c>
      <c r="I1111" t="s">
        <v>67</v>
      </c>
      <c r="J1111">
        <v>5</v>
      </c>
      <c r="K1111" t="s">
        <v>16</v>
      </c>
      <c r="L1111" t="s">
        <v>112</v>
      </c>
      <c r="M1111">
        <f>orders[[#This Row],[Ship Date]]-orders[[#This Row],[Order Date]]</f>
        <v>3</v>
      </c>
      <c r="N1111">
        <f>WEEKNUM(orders[[#This Row],[Order Date]],2)</f>
        <v>7</v>
      </c>
      <c r="O1111" t="str" cm="1">
        <f t="array" ref="O11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2" spans="1:15" x14ac:dyDescent="0.3">
      <c r="A1112" t="s">
        <v>1206</v>
      </c>
      <c r="B1112" t="s">
        <v>13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20</v>
      </c>
      <c r="I1112" t="s">
        <v>67</v>
      </c>
      <c r="J1112">
        <v>5</v>
      </c>
      <c r="K1112" t="s">
        <v>16</v>
      </c>
      <c r="L1112" t="s">
        <v>112</v>
      </c>
      <c r="M1112">
        <f>orders[[#This Row],[Ship Date]]-orders[[#This Row],[Order Date]]</f>
        <v>2</v>
      </c>
      <c r="N1112">
        <f>WEEKNUM(orders[[#This Row],[Order Date]],2)</f>
        <v>7</v>
      </c>
      <c r="O1112" t="str" cm="1">
        <f t="array" ref="O11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13" spans="1:15" x14ac:dyDescent="0.3">
      <c r="A1113" t="s">
        <v>1207</v>
      </c>
      <c r="B1113" t="s">
        <v>23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86</v>
      </c>
      <c r="I1113" t="s">
        <v>15</v>
      </c>
      <c r="J1113">
        <v>5</v>
      </c>
      <c r="K1113" t="s">
        <v>16</v>
      </c>
      <c r="L1113" t="s">
        <v>21</v>
      </c>
      <c r="M1113">
        <f>orders[[#This Row],[Ship Date]]-orders[[#This Row],[Order Date]]</f>
        <v>3</v>
      </c>
      <c r="N1113">
        <f>WEEKNUM(orders[[#This Row],[Order Date]],2)</f>
        <v>7</v>
      </c>
      <c r="O1113" t="str" cm="1">
        <f t="array" ref="O111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114" spans="1:15" x14ac:dyDescent="0.3">
      <c r="A1114" t="s">
        <v>1208</v>
      </c>
      <c r="B1114" t="s">
        <v>29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24</v>
      </c>
      <c r="I1114" t="s">
        <v>15</v>
      </c>
      <c r="J1114">
        <v>4</v>
      </c>
      <c r="K1114" t="s">
        <v>16</v>
      </c>
      <c r="L1114" t="s">
        <v>434</v>
      </c>
      <c r="M1114">
        <f>orders[[#This Row],[Ship Date]]-orders[[#This Row],[Order Date]]</f>
        <v>1</v>
      </c>
      <c r="N1114">
        <f>WEEKNUM(orders[[#This Row],[Order Date]],2)</f>
        <v>7</v>
      </c>
      <c r="O1114" t="str" cm="1">
        <f t="array" ref="O11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5" spans="1:15" x14ac:dyDescent="0.3">
      <c r="A1115" t="s">
        <v>1209</v>
      </c>
      <c r="B1115" t="s">
        <v>41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24</v>
      </c>
      <c r="I1115" t="s">
        <v>15</v>
      </c>
      <c r="J1115">
        <v>4</v>
      </c>
      <c r="K1115" t="s">
        <v>16</v>
      </c>
      <c r="L1115" t="s">
        <v>328</v>
      </c>
      <c r="M1115">
        <f>orders[[#This Row],[Ship Date]]-orders[[#This Row],[Order Date]]</f>
        <v>7</v>
      </c>
      <c r="N1115">
        <f>WEEKNUM(orders[[#This Row],[Order Date]],2)</f>
        <v>7</v>
      </c>
      <c r="O1115" t="str" cm="1">
        <f t="array" ref="O11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6" spans="1:15" x14ac:dyDescent="0.3">
      <c r="A1116" t="s">
        <v>1210</v>
      </c>
      <c r="B1116" t="s">
        <v>132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24</v>
      </c>
      <c r="I1116" t="s">
        <v>15</v>
      </c>
      <c r="J1116">
        <v>5</v>
      </c>
      <c r="K1116" t="s">
        <v>16</v>
      </c>
      <c r="L1116" t="s">
        <v>30</v>
      </c>
      <c r="M1116">
        <f>orders[[#This Row],[Ship Date]]-orders[[#This Row],[Order Date]]</f>
        <v>4</v>
      </c>
      <c r="N1116">
        <f>WEEKNUM(orders[[#This Row],[Order Date]],2)</f>
        <v>7</v>
      </c>
      <c r="O1116" t="str" cm="1">
        <f t="array" ref="O11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7" spans="1:15" x14ac:dyDescent="0.3">
      <c r="A1117" t="s">
        <v>1211</v>
      </c>
      <c r="B1117" t="s">
        <v>34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24</v>
      </c>
      <c r="I1117" t="s">
        <v>37</v>
      </c>
      <c r="J1117">
        <v>4</v>
      </c>
      <c r="K1117" t="s">
        <v>16</v>
      </c>
      <c r="L1117" t="s">
        <v>30</v>
      </c>
      <c r="M1117">
        <f>orders[[#This Row],[Ship Date]]-orders[[#This Row],[Order Date]]</f>
        <v>3</v>
      </c>
      <c r="N1117">
        <f>WEEKNUM(orders[[#This Row],[Order Date]],2)</f>
        <v>7</v>
      </c>
      <c r="O1117" t="str" cm="1">
        <f t="array" ref="O11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8" spans="1:15" x14ac:dyDescent="0.3">
      <c r="A1118" t="s">
        <v>1212</v>
      </c>
      <c r="B1118" t="s">
        <v>34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24</v>
      </c>
      <c r="I1118" t="s">
        <v>15</v>
      </c>
      <c r="J1118">
        <v>4</v>
      </c>
      <c r="K1118" t="s">
        <v>16</v>
      </c>
      <c r="L1118" t="s">
        <v>30</v>
      </c>
      <c r="M1118">
        <f>orders[[#This Row],[Ship Date]]-orders[[#This Row],[Order Date]]</f>
        <v>1</v>
      </c>
      <c r="N1118">
        <f>WEEKNUM(orders[[#This Row],[Order Date]],2)</f>
        <v>7</v>
      </c>
      <c r="O1118" t="str" cm="1">
        <f t="array" ref="O11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19" spans="1:15" x14ac:dyDescent="0.3">
      <c r="A1119" t="s">
        <v>1213</v>
      </c>
      <c r="B1119" t="s">
        <v>36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24</v>
      </c>
      <c r="I1119" t="s">
        <v>15</v>
      </c>
      <c r="J1119">
        <v>4</v>
      </c>
      <c r="K1119" t="s">
        <v>16</v>
      </c>
      <c r="L1119" t="s">
        <v>30</v>
      </c>
      <c r="M1119">
        <f>orders[[#This Row],[Ship Date]]-orders[[#This Row],[Order Date]]</f>
        <v>0</v>
      </c>
      <c r="N1119">
        <f>WEEKNUM(orders[[#This Row],[Order Date]],2)</f>
        <v>7</v>
      </c>
      <c r="O1119" t="str" cm="1">
        <f t="array" ref="O11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0" spans="1:15" x14ac:dyDescent="0.3">
      <c r="A1120" t="s">
        <v>1214</v>
      </c>
      <c r="B1120" t="s">
        <v>13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24</v>
      </c>
      <c r="I1120" t="s">
        <v>15</v>
      </c>
      <c r="J1120">
        <v>5</v>
      </c>
      <c r="K1120" t="s">
        <v>16</v>
      </c>
      <c r="L1120" t="s">
        <v>30</v>
      </c>
      <c r="M1120">
        <f>orders[[#This Row],[Ship Date]]-orders[[#This Row],[Order Date]]</f>
        <v>3</v>
      </c>
      <c r="N1120">
        <f>WEEKNUM(orders[[#This Row],[Order Date]],2)</f>
        <v>7</v>
      </c>
      <c r="O1120" t="str" cm="1">
        <f t="array" ref="O11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1" spans="1:15" x14ac:dyDescent="0.3">
      <c r="A1121" t="s">
        <v>1215</v>
      </c>
      <c r="B1121" t="s">
        <v>66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24</v>
      </c>
      <c r="I1121" t="s">
        <v>32</v>
      </c>
      <c r="J1121">
        <v>3</v>
      </c>
      <c r="K1121" t="s">
        <v>16</v>
      </c>
      <c r="L1121" t="s">
        <v>30</v>
      </c>
      <c r="M1121">
        <f>orders[[#This Row],[Ship Date]]-orders[[#This Row],[Order Date]]</f>
        <v>1</v>
      </c>
      <c r="N1121">
        <f>WEEKNUM(orders[[#This Row],[Order Date]],2)</f>
        <v>7</v>
      </c>
      <c r="O1121" t="str" cm="1">
        <f t="array" ref="O11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2" spans="1:15" x14ac:dyDescent="0.3">
      <c r="A1122" t="s">
        <v>1216</v>
      </c>
      <c r="B1122" t="s">
        <v>39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24</v>
      </c>
      <c r="I1122" t="s">
        <v>15</v>
      </c>
      <c r="J1122">
        <v>4</v>
      </c>
      <c r="K1122" t="s">
        <v>16</v>
      </c>
      <c r="L1122" t="s">
        <v>30</v>
      </c>
      <c r="M1122">
        <f>orders[[#This Row],[Ship Date]]-orders[[#This Row],[Order Date]]</f>
        <v>2</v>
      </c>
      <c r="N1122">
        <f>WEEKNUM(orders[[#This Row],[Order Date]],2)</f>
        <v>7</v>
      </c>
      <c r="O1122" t="str" cm="1">
        <f t="array" ref="O11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3" spans="1:15" x14ac:dyDescent="0.3">
      <c r="A1123" t="s">
        <v>1217</v>
      </c>
      <c r="B1123" t="s">
        <v>29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20</v>
      </c>
      <c r="I1123" t="s">
        <v>37</v>
      </c>
      <c r="J1123">
        <v>2</v>
      </c>
      <c r="K1123" t="s">
        <v>16</v>
      </c>
      <c r="L1123" t="s">
        <v>30</v>
      </c>
      <c r="M1123">
        <f>orders[[#This Row],[Ship Date]]-orders[[#This Row],[Order Date]]</f>
        <v>3</v>
      </c>
      <c r="N1123">
        <f>WEEKNUM(orders[[#This Row],[Order Date]],2)</f>
        <v>7</v>
      </c>
      <c r="O1123" t="str" cm="1">
        <f t="array" ref="O11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24" spans="1:15" x14ac:dyDescent="0.3">
      <c r="A1124" t="s">
        <v>1218</v>
      </c>
      <c r="B1124" t="s">
        <v>13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24</v>
      </c>
      <c r="I1124" t="s">
        <v>67</v>
      </c>
      <c r="J1124">
        <v>5</v>
      </c>
      <c r="K1124" t="s">
        <v>16</v>
      </c>
      <c r="L1124" t="s">
        <v>30</v>
      </c>
      <c r="M1124">
        <f>orders[[#This Row],[Ship Date]]-orders[[#This Row],[Order Date]]</f>
        <v>2</v>
      </c>
      <c r="N1124">
        <f>WEEKNUM(orders[[#This Row],[Order Date]],2)</f>
        <v>7</v>
      </c>
      <c r="O1124" t="str" cm="1">
        <f t="array" ref="O11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5" spans="1:15" x14ac:dyDescent="0.3">
      <c r="A1125" t="s">
        <v>1219</v>
      </c>
      <c r="B1125" t="s">
        <v>13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20</v>
      </c>
      <c r="I1125" t="s">
        <v>32</v>
      </c>
      <c r="J1125">
        <v>3</v>
      </c>
      <c r="K1125" t="s">
        <v>16</v>
      </c>
      <c r="L1125" t="s">
        <v>799</v>
      </c>
      <c r="M1125">
        <f>orders[[#This Row],[Ship Date]]-orders[[#This Row],[Order Date]]</f>
        <v>1</v>
      </c>
      <c r="N1125">
        <f>WEEKNUM(orders[[#This Row],[Order Date]],2)</f>
        <v>7</v>
      </c>
      <c r="O1125" t="str" cm="1">
        <f t="array" ref="O11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26" spans="1:15" x14ac:dyDescent="0.3">
      <c r="A1126" t="s">
        <v>1220</v>
      </c>
      <c r="B1126" t="s">
        <v>120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24</v>
      </c>
      <c r="I1126" t="s">
        <v>37</v>
      </c>
      <c r="J1126">
        <v>4</v>
      </c>
      <c r="K1126" t="s">
        <v>16</v>
      </c>
      <c r="L1126" t="s">
        <v>155</v>
      </c>
      <c r="M1126">
        <f>orders[[#This Row],[Ship Date]]-orders[[#This Row],[Order Date]]</f>
        <v>1</v>
      </c>
      <c r="N1126">
        <f>WEEKNUM(orders[[#This Row],[Order Date]],2)</f>
        <v>7</v>
      </c>
      <c r="O1126" t="str" cm="1">
        <f t="array" ref="O11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7" spans="1:15" x14ac:dyDescent="0.3">
      <c r="A1127" t="s">
        <v>1221</v>
      </c>
      <c r="B1127" t="s">
        <v>43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24</v>
      </c>
      <c r="I1127" t="s">
        <v>15</v>
      </c>
      <c r="J1127">
        <v>4</v>
      </c>
      <c r="K1127" t="s">
        <v>16</v>
      </c>
      <c r="L1127" t="s">
        <v>52</v>
      </c>
      <c r="M1127">
        <f>orders[[#This Row],[Ship Date]]-orders[[#This Row],[Order Date]]</f>
        <v>4</v>
      </c>
      <c r="N1127">
        <f>WEEKNUM(orders[[#This Row],[Order Date]],2)</f>
        <v>7</v>
      </c>
      <c r="O1127" t="str" cm="1">
        <f t="array" ref="O11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8" spans="1:15" x14ac:dyDescent="0.3">
      <c r="A1128" t="s">
        <v>1222</v>
      </c>
      <c r="B1128" t="s">
        <v>120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24</v>
      </c>
      <c r="I1128" t="s">
        <v>32</v>
      </c>
      <c r="J1128">
        <v>4</v>
      </c>
      <c r="K1128" t="s">
        <v>16</v>
      </c>
      <c r="L1128" t="s">
        <v>52</v>
      </c>
      <c r="M1128">
        <f>orders[[#This Row],[Ship Date]]-orders[[#This Row],[Order Date]]</f>
        <v>1</v>
      </c>
      <c r="N1128">
        <f>WEEKNUM(orders[[#This Row],[Order Date]],2)</f>
        <v>7</v>
      </c>
      <c r="O1128" t="str" cm="1">
        <f t="array" ref="O11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29" spans="1:15" x14ac:dyDescent="0.3">
      <c r="A1129" t="s">
        <v>1223</v>
      </c>
      <c r="B1129" t="s">
        <v>36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24</v>
      </c>
      <c r="I1129" t="s">
        <v>48</v>
      </c>
      <c r="J1129">
        <v>5</v>
      </c>
      <c r="K1129" t="s">
        <v>16</v>
      </c>
      <c r="L1129" t="s">
        <v>59</v>
      </c>
      <c r="M1129">
        <f>orders[[#This Row],[Ship Date]]-orders[[#This Row],[Order Date]]</f>
        <v>1</v>
      </c>
      <c r="N1129">
        <f>WEEKNUM(orders[[#This Row],[Order Date]],2)</f>
        <v>7</v>
      </c>
      <c r="O1129" t="str" cm="1">
        <f t="array" ref="O11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0" spans="1:15" x14ac:dyDescent="0.3">
      <c r="A1130" t="s">
        <v>1224</v>
      </c>
      <c r="B1130" t="s">
        <v>66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24</v>
      </c>
      <c r="I1130" t="s">
        <v>67</v>
      </c>
      <c r="J1130">
        <v>4</v>
      </c>
      <c r="K1130" t="s">
        <v>16</v>
      </c>
      <c r="L1130" t="s">
        <v>59</v>
      </c>
      <c r="M1130">
        <f>orders[[#This Row],[Ship Date]]-orders[[#This Row],[Order Date]]</f>
        <v>4</v>
      </c>
      <c r="N1130">
        <f>WEEKNUM(orders[[#This Row],[Order Date]],2)</f>
        <v>7</v>
      </c>
      <c r="O1130" t="str" cm="1">
        <f t="array" ref="O11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1" spans="1:15" x14ac:dyDescent="0.3">
      <c r="A1131" t="s">
        <v>1225</v>
      </c>
      <c r="B1131" t="s">
        <v>41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24</v>
      </c>
      <c r="I1131" t="s">
        <v>15</v>
      </c>
      <c r="J1131">
        <v>4</v>
      </c>
      <c r="K1131" t="s">
        <v>16</v>
      </c>
      <c r="L1131" t="s">
        <v>59</v>
      </c>
      <c r="M1131">
        <f>orders[[#This Row],[Ship Date]]-orders[[#This Row],[Order Date]]</f>
        <v>13</v>
      </c>
      <c r="N1131">
        <f>WEEKNUM(orders[[#This Row],[Order Date]],2)</f>
        <v>7</v>
      </c>
      <c r="O1131" t="str" cm="1">
        <f t="array" ref="O11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2" spans="1:15" x14ac:dyDescent="0.3">
      <c r="A1132" t="s">
        <v>1226</v>
      </c>
      <c r="B1132" t="s">
        <v>43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24</v>
      </c>
      <c r="I1132" t="s">
        <v>32</v>
      </c>
      <c r="J1132">
        <v>4</v>
      </c>
      <c r="K1132" t="s">
        <v>16</v>
      </c>
      <c r="L1132" t="s">
        <v>59</v>
      </c>
      <c r="M1132">
        <f>orders[[#This Row],[Ship Date]]-orders[[#This Row],[Order Date]]</f>
        <v>1</v>
      </c>
      <c r="N1132">
        <f>WEEKNUM(orders[[#This Row],[Order Date]],2)</f>
        <v>7</v>
      </c>
      <c r="O1132" t="str" cm="1">
        <f t="array" ref="O11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3" spans="1:15" x14ac:dyDescent="0.3">
      <c r="A1133" t="s">
        <v>1227</v>
      </c>
      <c r="B1133" t="s">
        <v>36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20</v>
      </c>
      <c r="I1133" t="s">
        <v>15</v>
      </c>
      <c r="J1133">
        <v>3</v>
      </c>
      <c r="K1133" t="s">
        <v>16</v>
      </c>
      <c r="L1133" t="s">
        <v>59</v>
      </c>
      <c r="M1133">
        <f>orders[[#This Row],[Ship Date]]-orders[[#This Row],[Order Date]]</f>
        <v>1</v>
      </c>
      <c r="N1133">
        <f>WEEKNUM(orders[[#This Row],[Order Date]],2)</f>
        <v>7</v>
      </c>
      <c r="O1133" t="str" cm="1">
        <f t="array" ref="O11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34" spans="1:15" x14ac:dyDescent="0.3">
      <c r="A1134" t="s">
        <v>1228</v>
      </c>
      <c r="B1134" t="s">
        <v>168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24</v>
      </c>
      <c r="I1134" t="s">
        <v>32</v>
      </c>
      <c r="J1134">
        <v>5</v>
      </c>
      <c r="K1134" t="s">
        <v>16</v>
      </c>
      <c r="L1134" t="s">
        <v>69</v>
      </c>
      <c r="M1134">
        <f>orders[[#This Row],[Ship Date]]-orders[[#This Row],[Order Date]]</f>
        <v>1</v>
      </c>
      <c r="N1134">
        <f>WEEKNUM(orders[[#This Row],[Order Date]],2)</f>
        <v>7</v>
      </c>
      <c r="O1134" t="str" cm="1">
        <f t="array" ref="O11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5" spans="1:15" x14ac:dyDescent="0.3">
      <c r="A1135" t="s">
        <v>1229</v>
      </c>
      <c r="B1135" t="s">
        <v>19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24</v>
      </c>
      <c r="I1135" t="s">
        <v>32</v>
      </c>
      <c r="J1135">
        <v>4</v>
      </c>
      <c r="K1135" t="s">
        <v>16</v>
      </c>
      <c r="L1135" t="s">
        <v>69</v>
      </c>
      <c r="M1135">
        <f>orders[[#This Row],[Ship Date]]-orders[[#This Row],[Order Date]]</f>
        <v>1</v>
      </c>
      <c r="N1135">
        <f>WEEKNUM(orders[[#This Row],[Order Date]],2)</f>
        <v>7</v>
      </c>
      <c r="O1135" t="str" cm="1">
        <f t="array" ref="O11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6" spans="1:15" x14ac:dyDescent="0.3">
      <c r="A1136" t="s">
        <v>1230</v>
      </c>
      <c r="B1136" t="s">
        <v>36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24</v>
      </c>
      <c r="I1136" t="s">
        <v>32</v>
      </c>
      <c r="J1136">
        <v>5</v>
      </c>
      <c r="K1136" t="s">
        <v>16</v>
      </c>
      <c r="L1136" t="s">
        <v>71</v>
      </c>
      <c r="M1136">
        <f>orders[[#This Row],[Ship Date]]-orders[[#This Row],[Order Date]]</f>
        <v>0</v>
      </c>
      <c r="N1136">
        <f>WEEKNUM(orders[[#This Row],[Order Date]],2)</f>
        <v>7</v>
      </c>
      <c r="O1136" t="str" cm="1">
        <f t="array" ref="O11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7" spans="1:15" x14ac:dyDescent="0.3">
      <c r="A1137" t="s">
        <v>1231</v>
      </c>
      <c r="B1137" t="s">
        <v>51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20</v>
      </c>
      <c r="I1137" t="s">
        <v>67</v>
      </c>
      <c r="J1137">
        <v>4</v>
      </c>
      <c r="K1137" t="s">
        <v>16</v>
      </c>
      <c r="L1137" t="s">
        <v>110</v>
      </c>
      <c r="M1137">
        <f>orders[[#This Row],[Ship Date]]-orders[[#This Row],[Order Date]]</f>
        <v>1</v>
      </c>
      <c r="N1137">
        <f>WEEKNUM(orders[[#This Row],[Order Date]],2)</f>
        <v>7</v>
      </c>
      <c r="O1137" t="str" cm="1">
        <f t="array" ref="O11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38" spans="1:15" x14ac:dyDescent="0.3">
      <c r="A1138" t="s">
        <v>1232</v>
      </c>
      <c r="B1138" t="s">
        <v>13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24</v>
      </c>
      <c r="I1138" t="s">
        <v>37</v>
      </c>
      <c r="J1138">
        <v>4</v>
      </c>
      <c r="K1138" t="s">
        <v>16</v>
      </c>
      <c r="L1138" t="s">
        <v>112</v>
      </c>
      <c r="M1138">
        <f>orders[[#This Row],[Ship Date]]-orders[[#This Row],[Order Date]]</f>
        <v>3</v>
      </c>
      <c r="N1138">
        <f>WEEKNUM(orders[[#This Row],[Order Date]],2)</f>
        <v>7</v>
      </c>
      <c r="O1138" t="str" cm="1">
        <f t="array" ref="O11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39" spans="1:15" x14ac:dyDescent="0.3">
      <c r="A1139" t="s">
        <v>1233</v>
      </c>
      <c r="B1139" t="s">
        <v>132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24</v>
      </c>
      <c r="I1139" t="s">
        <v>67</v>
      </c>
      <c r="J1139">
        <v>5</v>
      </c>
      <c r="K1139" t="s">
        <v>16</v>
      </c>
      <c r="L1139" t="s">
        <v>25</v>
      </c>
      <c r="M1139">
        <f>orders[[#This Row],[Ship Date]]-orders[[#This Row],[Order Date]]</f>
        <v>2</v>
      </c>
      <c r="N1139">
        <f>WEEKNUM(orders[[#This Row],[Order Date]],2)</f>
        <v>7</v>
      </c>
      <c r="O1139" t="str" cm="1">
        <f t="array" ref="O11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0" spans="1:15" x14ac:dyDescent="0.3">
      <c r="A1140" t="s">
        <v>1234</v>
      </c>
      <c r="B1140" t="s">
        <v>23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24</v>
      </c>
      <c r="I1140" t="s">
        <v>67</v>
      </c>
      <c r="J1140">
        <v>4</v>
      </c>
      <c r="K1140" t="s">
        <v>16</v>
      </c>
      <c r="L1140" t="s">
        <v>144</v>
      </c>
      <c r="M1140">
        <f>orders[[#This Row],[Ship Date]]-orders[[#This Row],[Order Date]]</f>
        <v>0</v>
      </c>
      <c r="N1140">
        <f>WEEKNUM(orders[[#This Row],[Order Date]],2)</f>
        <v>7</v>
      </c>
      <c r="O1140" t="str" cm="1">
        <f t="array" ref="O11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1" spans="1:15" x14ac:dyDescent="0.3">
      <c r="A1141" t="s">
        <v>1235</v>
      </c>
      <c r="B1141" t="s">
        <v>23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20</v>
      </c>
      <c r="I1141" t="s">
        <v>15</v>
      </c>
      <c r="J1141">
        <v>3</v>
      </c>
      <c r="K1141" t="s">
        <v>16</v>
      </c>
      <c r="L1141" t="s">
        <v>30</v>
      </c>
      <c r="M1141">
        <f>orders[[#This Row],[Ship Date]]-orders[[#This Row],[Order Date]]</f>
        <v>10</v>
      </c>
      <c r="N1141">
        <f>WEEKNUM(orders[[#This Row],[Order Date]],2)</f>
        <v>7</v>
      </c>
      <c r="O1141" t="str" cm="1">
        <f t="array" ref="O11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42" spans="1:15" x14ac:dyDescent="0.3">
      <c r="A1142" t="s">
        <v>1236</v>
      </c>
      <c r="B1142" t="s">
        <v>19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20</v>
      </c>
      <c r="I1142" t="s">
        <v>32</v>
      </c>
      <c r="J1142">
        <v>3</v>
      </c>
      <c r="K1142" t="s">
        <v>16</v>
      </c>
      <c r="L1142" t="s">
        <v>30</v>
      </c>
      <c r="M1142">
        <f>orders[[#This Row],[Ship Date]]-orders[[#This Row],[Order Date]]</f>
        <v>1</v>
      </c>
      <c r="N1142">
        <f>WEEKNUM(orders[[#This Row],[Order Date]],2)</f>
        <v>7</v>
      </c>
      <c r="O1142" t="str" cm="1">
        <f t="array" ref="O11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43" spans="1:15" x14ac:dyDescent="0.3">
      <c r="A1143" t="s">
        <v>1237</v>
      </c>
      <c r="B1143" t="s">
        <v>29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24</v>
      </c>
      <c r="I1143" t="s">
        <v>15</v>
      </c>
      <c r="J1143">
        <v>2</v>
      </c>
      <c r="K1143" t="s">
        <v>16</v>
      </c>
      <c r="L1143" t="s">
        <v>30</v>
      </c>
      <c r="M1143">
        <f>orders[[#This Row],[Ship Date]]-orders[[#This Row],[Order Date]]</f>
        <v>2</v>
      </c>
      <c r="N1143">
        <f>WEEKNUM(orders[[#This Row],[Order Date]],2)</f>
        <v>7</v>
      </c>
      <c r="O1143" t="str" cm="1">
        <f t="array" ref="O11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4" spans="1:15" x14ac:dyDescent="0.3">
      <c r="A1144" t="s">
        <v>1238</v>
      </c>
      <c r="B1144" t="s">
        <v>43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24</v>
      </c>
      <c r="I1144" t="s">
        <v>32</v>
      </c>
      <c r="J1144">
        <v>5</v>
      </c>
      <c r="K1144" t="s">
        <v>16</v>
      </c>
      <c r="L1144" t="s">
        <v>30</v>
      </c>
      <c r="M1144">
        <f>orders[[#This Row],[Ship Date]]-orders[[#This Row],[Order Date]]</f>
        <v>2</v>
      </c>
      <c r="N1144">
        <f>WEEKNUM(orders[[#This Row],[Order Date]],2)</f>
        <v>7</v>
      </c>
      <c r="O1144" t="str" cm="1">
        <f t="array" ref="O11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5" spans="1:15" x14ac:dyDescent="0.3">
      <c r="A1145" t="s">
        <v>1239</v>
      </c>
      <c r="B1145" t="s">
        <v>41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20</v>
      </c>
      <c r="I1145" t="s">
        <v>48</v>
      </c>
      <c r="J1145">
        <v>2</v>
      </c>
      <c r="K1145" t="s">
        <v>16</v>
      </c>
      <c r="L1145" t="s">
        <v>542</v>
      </c>
      <c r="M1145">
        <f>orders[[#This Row],[Ship Date]]-orders[[#This Row],[Order Date]]</f>
        <v>1</v>
      </c>
      <c r="N1145">
        <f>WEEKNUM(orders[[#This Row],[Order Date]],2)</f>
        <v>7</v>
      </c>
      <c r="O1145" t="str" cm="1">
        <f t="array" ref="O114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46" spans="1:15" x14ac:dyDescent="0.3">
      <c r="A1146" t="s">
        <v>1240</v>
      </c>
      <c r="B1146" t="s">
        <v>41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24</v>
      </c>
      <c r="I1146" t="s">
        <v>37</v>
      </c>
      <c r="J1146">
        <v>3</v>
      </c>
      <c r="K1146" t="s">
        <v>16</v>
      </c>
      <c r="L1146" t="s">
        <v>52</v>
      </c>
      <c r="M1146">
        <f>orders[[#This Row],[Ship Date]]-orders[[#This Row],[Order Date]]</f>
        <v>1</v>
      </c>
      <c r="N1146">
        <f>WEEKNUM(orders[[#This Row],[Order Date]],2)</f>
        <v>7</v>
      </c>
      <c r="O1146" t="str" cm="1">
        <f t="array" ref="O11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7" spans="1:15" x14ac:dyDescent="0.3">
      <c r="A1147" t="s">
        <v>1241</v>
      </c>
      <c r="B1147" t="s">
        <v>34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24</v>
      </c>
      <c r="I1147" t="s">
        <v>67</v>
      </c>
      <c r="J1147">
        <v>3</v>
      </c>
      <c r="K1147" t="s">
        <v>16</v>
      </c>
      <c r="L1147" t="s">
        <v>52</v>
      </c>
      <c r="M1147">
        <f>orders[[#This Row],[Ship Date]]-orders[[#This Row],[Order Date]]</f>
        <v>2</v>
      </c>
      <c r="N1147">
        <f>WEEKNUM(orders[[#This Row],[Order Date]],2)</f>
        <v>7</v>
      </c>
      <c r="O1147" t="str" cm="1">
        <f t="array" ref="O11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8" spans="1:15" x14ac:dyDescent="0.3">
      <c r="A1148" t="s">
        <v>1242</v>
      </c>
      <c r="B1148" t="s">
        <v>23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24</v>
      </c>
      <c r="I1148" t="s">
        <v>37</v>
      </c>
      <c r="J1148">
        <v>4</v>
      </c>
      <c r="K1148" t="s">
        <v>16</v>
      </c>
      <c r="L1148" t="s">
        <v>339</v>
      </c>
      <c r="M1148">
        <f>orders[[#This Row],[Ship Date]]-orders[[#This Row],[Order Date]]</f>
        <v>1</v>
      </c>
      <c r="N1148">
        <f>WEEKNUM(orders[[#This Row],[Order Date]],2)</f>
        <v>7</v>
      </c>
      <c r="O1148" t="str" cm="1">
        <f t="array" ref="O11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49" spans="1:15" x14ac:dyDescent="0.3">
      <c r="A1149" t="s">
        <v>1243</v>
      </c>
      <c r="B1149" t="s">
        <v>19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24</v>
      </c>
      <c r="I1149" t="s">
        <v>37</v>
      </c>
      <c r="J1149">
        <v>5</v>
      </c>
      <c r="K1149" t="s">
        <v>16</v>
      </c>
      <c r="L1149" t="s">
        <v>59</v>
      </c>
      <c r="M1149">
        <f>orders[[#This Row],[Ship Date]]-orders[[#This Row],[Order Date]]</f>
        <v>5</v>
      </c>
      <c r="N1149">
        <f>WEEKNUM(orders[[#This Row],[Order Date]],2)</f>
        <v>7</v>
      </c>
      <c r="O1149" t="str" cm="1">
        <f t="array" ref="O11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50" spans="1:15" x14ac:dyDescent="0.3">
      <c r="A1150" t="s">
        <v>1244</v>
      </c>
      <c r="B1150" t="s">
        <v>43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20</v>
      </c>
      <c r="I1150" t="s">
        <v>67</v>
      </c>
      <c r="J1150">
        <v>3</v>
      </c>
      <c r="K1150" t="s">
        <v>16</v>
      </c>
      <c r="L1150" t="s">
        <v>59</v>
      </c>
      <c r="M1150">
        <f>orders[[#This Row],[Ship Date]]-orders[[#This Row],[Order Date]]</f>
        <v>8</v>
      </c>
      <c r="N1150">
        <f>WEEKNUM(orders[[#This Row],[Order Date]],2)</f>
        <v>7</v>
      </c>
      <c r="O1150" t="str" cm="1">
        <f t="array" ref="O11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51" spans="1:15" x14ac:dyDescent="0.3">
      <c r="A1151" t="s">
        <v>1245</v>
      </c>
      <c r="B1151" t="s">
        <v>39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20</v>
      </c>
      <c r="I1151" t="s">
        <v>15</v>
      </c>
      <c r="J1151">
        <v>5</v>
      </c>
      <c r="K1151" t="s">
        <v>16</v>
      </c>
      <c r="L1151" t="s">
        <v>59</v>
      </c>
      <c r="M1151">
        <f>orders[[#This Row],[Ship Date]]-orders[[#This Row],[Order Date]]</f>
        <v>3</v>
      </c>
      <c r="N1151">
        <f>WEEKNUM(orders[[#This Row],[Order Date]],2)</f>
        <v>7</v>
      </c>
      <c r="O1151" t="str" cm="1">
        <f t="array" ref="O11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52" spans="1:15" x14ac:dyDescent="0.3">
      <c r="A1152" t="s">
        <v>1246</v>
      </c>
      <c r="B1152" t="s">
        <v>120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24</v>
      </c>
      <c r="I1152" t="s">
        <v>37</v>
      </c>
      <c r="J1152">
        <v>5</v>
      </c>
      <c r="K1152" t="s">
        <v>16</v>
      </c>
      <c r="L1152" t="s">
        <v>59</v>
      </c>
      <c r="M1152">
        <f>orders[[#This Row],[Ship Date]]-orders[[#This Row],[Order Date]]</f>
        <v>1</v>
      </c>
      <c r="N1152">
        <f>WEEKNUM(orders[[#This Row],[Order Date]],2)</f>
        <v>7</v>
      </c>
      <c r="O1152" t="str" cm="1">
        <f t="array" ref="O11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53" spans="1:15" x14ac:dyDescent="0.3">
      <c r="A1153" t="s">
        <v>1247</v>
      </c>
      <c r="B1153" t="s">
        <v>51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24</v>
      </c>
      <c r="I1153" t="s">
        <v>67</v>
      </c>
      <c r="J1153">
        <v>5</v>
      </c>
      <c r="K1153" t="s">
        <v>16</v>
      </c>
      <c r="L1153" t="s">
        <v>100</v>
      </c>
      <c r="M1153">
        <f>orders[[#This Row],[Ship Date]]-orders[[#This Row],[Order Date]]</f>
        <v>1</v>
      </c>
      <c r="N1153">
        <f>WEEKNUM(orders[[#This Row],[Order Date]],2)</f>
        <v>7</v>
      </c>
      <c r="O1153" t="str" cm="1">
        <f t="array" ref="O11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54" spans="1:15" x14ac:dyDescent="0.3">
      <c r="A1154" t="s">
        <v>1248</v>
      </c>
      <c r="B1154" t="s">
        <v>66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86</v>
      </c>
      <c r="I1154" t="s">
        <v>37</v>
      </c>
      <c r="J1154">
        <v>3</v>
      </c>
      <c r="K1154" t="s">
        <v>16</v>
      </c>
      <c r="L1154" t="s">
        <v>69</v>
      </c>
      <c r="M1154">
        <f>orders[[#This Row],[Ship Date]]-orders[[#This Row],[Order Date]]</f>
        <v>1</v>
      </c>
      <c r="N1154">
        <f>WEEKNUM(orders[[#This Row],[Order Date]],2)</f>
        <v>7</v>
      </c>
      <c r="O1154" t="str" cm="1">
        <f t="array" ref="O115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155" spans="1:15" x14ac:dyDescent="0.3">
      <c r="A1155" t="s">
        <v>1249</v>
      </c>
      <c r="B1155" t="s">
        <v>29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20</v>
      </c>
      <c r="I1155" t="s">
        <v>32</v>
      </c>
      <c r="J1155">
        <v>4</v>
      </c>
      <c r="K1155" t="s">
        <v>16</v>
      </c>
      <c r="L1155" t="s">
        <v>74</v>
      </c>
      <c r="M1155">
        <f>orders[[#This Row],[Ship Date]]-orders[[#This Row],[Order Date]]</f>
        <v>3</v>
      </c>
      <c r="N1155">
        <f>WEEKNUM(orders[[#This Row],[Order Date]],2)</f>
        <v>7</v>
      </c>
      <c r="O1155" t="str" cm="1">
        <f t="array" ref="O11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56" spans="1:15" x14ac:dyDescent="0.3">
      <c r="A1156" t="s">
        <v>1250</v>
      </c>
      <c r="B1156" t="s">
        <v>29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24</v>
      </c>
      <c r="I1156" t="s">
        <v>15</v>
      </c>
      <c r="J1156">
        <v>3</v>
      </c>
      <c r="K1156" t="s">
        <v>16</v>
      </c>
      <c r="L1156" t="s">
        <v>74</v>
      </c>
      <c r="M1156">
        <f>orders[[#This Row],[Ship Date]]-orders[[#This Row],[Order Date]]</f>
        <v>4</v>
      </c>
      <c r="N1156">
        <f>WEEKNUM(orders[[#This Row],[Order Date]],2)</f>
        <v>7</v>
      </c>
      <c r="O1156" t="str" cm="1">
        <f t="array" ref="O11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57" spans="1:15" x14ac:dyDescent="0.3">
      <c r="A1157" t="s">
        <v>1251</v>
      </c>
      <c r="B1157" t="s">
        <v>51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20</v>
      </c>
      <c r="I1157" t="s">
        <v>37</v>
      </c>
      <c r="J1157">
        <v>4</v>
      </c>
      <c r="K1157" t="s">
        <v>16</v>
      </c>
      <c r="L1157" t="s">
        <v>74</v>
      </c>
      <c r="M1157">
        <f>orders[[#This Row],[Ship Date]]-orders[[#This Row],[Order Date]]</f>
        <v>1</v>
      </c>
      <c r="N1157">
        <f>WEEKNUM(orders[[#This Row],[Order Date]],2)</f>
        <v>7</v>
      </c>
      <c r="O1157" t="str" cm="1">
        <f t="array" ref="O11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58" spans="1:15" x14ac:dyDescent="0.3">
      <c r="A1158" t="s">
        <v>1252</v>
      </c>
      <c r="B1158" t="s">
        <v>41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24</v>
      </c>
      <c r="I1158" t="s">
        <v>15</v>
      </c>
      <c r="J1158">
        <v>5</v>
      </c>
      <c r="K1158" t="s">
        <v>16</v>
      </c>
      <c r="L1158" t="s">
        <v>306</v>
      </c>
      <c r="M1158">
        <f>orders[[#This Row],[Ship Date]]-orders[[#This Row],[Order Date]]</f>
        <v>2</v>
      </c>
      <c r="N1158">
        <f>WEEKNUM(orders[[#This Row],[Order Date]],2)</f>
        <v>7</v>
      </c>
      <c r="O1158" t="str" cm="1">
        <f t="array" ref="O11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59" spans="1:15" x14ac:dyDescent="0.3">
      <c r="A1159" t="s">
        <v>1253</v>
      </c>
      <c r="B1159" t="s">
        <v>66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24</v>
      </c>
      <c r="I1159" t="s">
        <v>15</v>
      </c>
      <c r="J1159">
        <v>4</v>
      </c>
      <c r="K1159" t="s">
        <v>16</v>
      </c>
      <c r="L1159" t="s">
        <v>105</v>
      </c>
      <c r="M1159">
        <f>orders[[#This Row],[Ship Date]]-orders[[#This Row],[Order Date]]</f>
        <v>1</v>
      </c>
      <c r="N1159">
        <f>WEEKNUM(orders[[#This Row],[Order Date]],2)</f>
        <v>7</v>
      </c>
      <c r="O1159" t="str" cm="1">
        <f t="array" ref="O11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60" spans="1:15" x14ac:dyDescent="0.3">
      <c r="A1160" t="s">
        <v>1254</v>
      </c>
      <c r="B1160" t="s">
        <v>39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20</v>
      </c>
      <c r="I1160" t="s">
        <v>15</v>
      </c>
      <c r="J1160">
        <v>5</v>
      </c>
      <c r="K1160" t="s">
        <v>16</v>
      </c>
      <c r="L1160" t="s">
        <v>105</v>
      </c>
      <c r="M1160">
        <f>orders[[#This Row],[Ship Date]]-orders[[#This Row],[Order Date]]</f>
        <v>4</v>
      </c>
      <c r="N1160">
        <f>WEEKNUM(orders[[#This Row],[Order Date]],2)</f>
        <v>7</v>
      </c>
      <c r="O1160" t="str" cm="1">
        <f t="array" ref="O11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61" spans="1:15" x14ac:dyDescent="0.3">
      <c r="A1161" t="s">
        <v>1255</v>
      </c>
      <c r="B1161" t="s">
        <v>23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14</v>
      </c>
      <c r="I1161" t="s">
        <v>48</v>
      </c>
      <c r="J1161">
        <v>3</v>
      </c>
      <c r="K1161" t="s">
        <v>16</v>
      </c>
      <c r="L1161" t="s">
        <v>107</v>
      </c>
      <c r="M1161">
        <f>orders[[#This Row],[Ship Date]]-orders[[#This Row],[Order Date]]</f>
        <v>2</v>
      </c>
      <c r="N1161">
        <f>WEEKNUM(orders[[#This Row],[Order Date]],2)</f>
        <v>7</v>
      </c>
      <c r="O1161" t="str" cm="1">
        <f t="array" ref="O116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162" spans="1:15" x14ac:dyDescent="0.3">
      <c r="A1162" t="s">
        <v>1256</v>
      </c>
      <c r="B1162" t="s">
        <v>43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14</v>
      </c>
      <c r="I1162" t="s">
        <v>67</v>
      </c>
      <c r="J1162">
        <v>3</v>
      </c>
      <c r="K1162" t="s">
        <v>16</v>
      </c>
      <c r="L1162" t="s">
        <v>107</v>
      </c>
      <c r="M1162">
        <f>orders[[#This Row],[Ship Date]]-orders[[#This Row],[Order Date]]</f>
        <v>3</v>
      </c>
      <c r="N1162">
        <f>WEEKNUM(orders[[#This Row],[Order Date]],2)</f>
        <v>7</v>
      </c>
      <c r="O1162" t="str" cm="1">
        <f t="array" ref="O116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163" spans="1:15" x14ac:dyDescent="0.3">
      <c r="A1163" t="s">
        <v>1257</v>
      </c>
      <c r="B1163" t="s">
        <v>66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20</v>
      </c>
      <c r="I1163" t="s">
        <v>48</v>
      </c>
      <c r="J1163">
        <v>5</v>
      </c>
      <c r="K1163" t="s">
        <v>16</v>
      </c>
      <c r="L1163" t="s">
        <v>112</v>
      </c>
      <c r="M1163">
        <f>orders[[#This Row],[Ship Date]]-orders[[#This Row],[Order Date]]</f>
        <v>1</v>
      </c>
      <c r="N1163">
        <f>WEEKNUM(orders[[#This Row],[Order Date]],2)</f>
        <v>7</v>
      </c>
      <c r="O1163" t="str" cm="1">
        <f t="array" ref="O11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64" spans="1:15" x14ac:dyDescent="0.3">
      <c r="A1164" t="s">
        <v>1258</v>
      </c>
      <c r="B1164" t="s">
        <v>41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24</v>
      </c>
      <c r="I1164" t="s">
        <v>67</v>
      </c>
      <c r="J1164">
        <v>2</v>
      </c>
      <c r="K1164" t="s">
        <v>16</v>
      </c>
      <c r="L1164" t="s">
        <v>144</v>
      </c>
      <c r="M1164">
        <f>orders[[#This Row],[Ship Date]]-orders[[#This Row],[Order Date]]</f>
        <v>1</v>
      </c>
      <c r="N1164">
        <f>WEEKNUM(orders[[#This Row],[Order Date]],2)</f>
        <v>7</v>
      </c>
      <c r="O1164" t="str" cm="1">
        <f t="array" ref="O11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65" spans="1:15" x14ac:dyDescent="0.3">
      <c r="A1165" t="s">
        <v>1259</v>
      </c>
      <c r="B1165" t="s">
        <v>19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20</v>
      </c>
      <c r="I1165" t="s">
        <v>48</v>
      </c>
      <c r="J1165">
        <v>5</v>
      </c>
      <c r="K1165" t="s">
        <v>16</v>
      </c>
      <c r="L1165" t="s">
        <v>30</v>
      </c>
      <c r="M1165">
        <f>orders[[#This Row],[Ship Date]]-orders[[#This Row],[Order Date]]</f>
        <v>2</v>
      </c>
      <c r="N1165">
        <f>WEEKNUM(orders[[#This Row],[Order Date]],2)</f>
        <v>7</v>
      </c>
      <c r="O1165" t="str" cm="1">
        <f t="array" ref="O11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66" spans="1:15" x14ac:dyDescent="0.3">
      <c r="A1166" t="s">
        <v>1260</v>
      </c>
      <c r="B1166" t="s">
        <v>43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24</v>
      </c>
      <c r="I1166" t="s">
        <v>15</v>
      </c>
      <c r="J1166">
        <v>2</v>
      </c>
      <c r="K1166" t="s">
        <v>16</v>
      </c>
      <c r="L1166" t="s">
        <v>30</v>
      </c>
      <c r="M1166">
        <f>orders[[#This Row],[Ship Date]]-orders[[#This Row],[Order Date]]</f>
        <v>1</v>
      </c>
      <c r="N1166">
        <f>WEEKNUM(orders[[#This Row],[Order Date]],2)</f>
        <v>7</v>
      </c>
      <c r="O1166" t="str" cm="1">
        <f t="array" ref="O11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67" spans="1:15" x14ac:dyDescent="0.3">
      <c r="A1167" t="s">
        <v>1261</v>
      </c>
      <c r="B1167" t="s">
        <v>27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24</v>
      </c>
      <c r="I1167" t="s">
        <v>32</v>
      </c>
      <c r="J1167">
        <v>5</v>
      </c>
      <c r="K1167" t="s">
        <v>16</v>
      </c>
      <c r="L1167" t="s">
        <v>30</v>
      </c>
      <c r="M1167">
        <f>orders[[#This Row],[Ship Date]]-orders[[#This Row],[Order Date]]</f>
        <v>0</v>
      </c>
      <c r="N1167">
        <f>WEEKNUM(orders[[#This Row],[Order Date]],2)</f>
        <v>7</v>
      </c>
      <c r="O1167" t="str" cm="1">
        <f t="array" ref="O11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68" spans="1:15" x14ac:dyDescent="0.3">
      <c r="A1168" t="s">
        <v>1262</v>
      </c>
      <c r="B1168" t="s">
        <v>51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24</v>
      </c>
      <c r="I1168" t="s">
        <v>48</v>
      </c>
      <c r="J1168">
        <v>5</v>
      </c>
      <c r="K1168" t="s">
        <v>16</v>
      </c>
      <c r="L1168" t="s">
        <v>30</v>
      </c>
      <c r="M1168">
        <f>orders[[#This Row],[Ship Date]]-orders[[#This Row],[Order Date]]</f>
        <v>7</v>
      </c>
      <c r="N1168">
        <f>WEEKNUM(orders[[#This Row],[Order Date]],2)</f>
        <v>7</v>
      </c>
      <c r="O1168" t="str" cm="1">
        <f t="array" ref="O11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69" spans="1:15" x14ac:dyDescent="0.3">
      <c r="A1169" t="s">
        <v>1263</v>
      </c>
      <c r="B1169" t="s">
        <v>23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24</v>
      </c>
      <c r="I1169" t="s">
        <v>15</v>
      </c>
      <c r="J1169">
        <v>5</v>
      </c>
      <c r="K1169" t="s">
        <v>16</v>
      </c>
      <c r="L1169" t="s">
        <v>30</v>
      </c>
      <c r="M1169">
        <f>orders[[#This Row],[Ship Date]]-orders[[#This Row],[Order Date]]</f>
        <v>5</v>
      </c>
      <c r="N1169">
        <f>WEEKNUM(orders[[#This Row],[Order Date]],2)</f>
        <v>7</v>
      </c>
      <c r="O1169" t="str" cm="1">
        <f t="array" ref="O11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70" spans="1:15" x14ac:dyDescent="0.3">
      <c r="A1170" t="s">
        <v>1264</v>
      </c>
      <c r="B1170" t="s">
        <v>23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24</v>
      </c>
      <c r="I1170" t="s">
        <v>32</v>
      </c>
      <c r="J1170">
        <v>5</v>
      </c>
      <c r="K1170" t="s">
        <v>16</v>
      </c>
      <c r="L1170" t="s">
        <v>52</v>
      </c>
      <c r="M1170">
        <f>orders[[#This Row],[Ship Date]]-orders[[#This Row],[Order Date]]</f>
        <v>4</v>
      </c>
      <c r="N1170">
        <f>WEEKNUM(orders[[#This Row],[Order Date]],2)</f>
        <v>7</v>
      </c>
      <c r="O1170" t="str" cm="1">
        <f t="array" ref="O11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71" spans="1:15" x14ac:dyDescent="0.3">
      <c r="A1171" t="s">
        <v>1265</v>
      </c>
      <c r="B1171" t="s">
        <v>36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24</v>
      </c>
      <c r="I1171" t="s">
        <v>15</v>
      </c>
      <c r="J1171">
        <v>4</v>
      </c>
      <c r="K1171" t="s">
        <v>16</v>
      </c>
      <c r="L1171" t="s">
        <v>52</v>
      </c>
      <c r="M1171">
        <f>orders[[#This Row],[Ship Date]]-orders[[#This Row],[Order Date]]</f>
        <v>1</v>
      </c>
      <c r="N1171">
        <f>WEEKNUM(orders[[#This Row],[Order Date]],2)</f>
        <v>7</v>
      </c>
      <c r="O1171" t="str" cm="1">
        <f t="array" ref="O11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72" spans="1:15" x14ac:dyDescent="0.3">
      <c r="A1172" t="s">
        <v>1266</v>
      </c>
      <c r="B1172" t="s">
        <v>132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24</v>
      </c>
      <c r="I1172" t="s">
        <v>32</v>
      </c>
      <c r="J1172">
        <v>5</v>
      </c>
      <c r="K1172" t="s">
        <v>16</v>
      </c>
      <c r="L1172" t="s">
        <v>59</v>
      </c>
      <c r="M1172">
        <f>orders[[#This Row],[Ship Date]]-orders[[#This Row],[Order Date]]</f>
        <v>1</v>
      </c>
      <c r="N1172">
        <f>WEEKNUM(orders[[#This Row],[Order Date]],2)</f>
        <v>7</v>
      </c>
      <c r="O1172" t="str" cm="1">
        <f t="array" ref="O11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73" spans="1:15" x14ac:dyDescent="0.3">
      <c r="A1173" t="s">
        <v>1267</v>
      </c>
      <c r="B1173" t="s">
        <v>120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20</v>
      </c>
      <c r="I1173" t="s">
        <v>37</v>
      </c>
      <c r="J1173">
        <v>4</v>
      </c>
      <c r="K1173" t="s">
        <v>16</v>
      </c>
      <c r="L1173" t="s">
        <v>59</v>
      </c>
      <c r="M1173">
        <f>orders[[#This Row],[Ship Date]]-orders[[#This Row],[Order Date]]</f>
        <v>2</v>
      </c>
      <c r="N1173">
        <f>WEEKNUM(orders[[#This Row],[Order Date]],2)</f>
        <v>7</v>
      </c>
      <c r="O1173" t="str" cm="1">
        <f t="array" ref="O11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74" spans="1:15" x14ac:dyDescent="0.3">
      <c r="A1174" t="s">
        <v>1268</v>
      </c>
      <c r="B1174" t="s">
        <v>143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20</v>
      </c>
      <c r="I1174" t="s">
        <v>48</v>
      </c>
      <c r="J1174">
        <v>4</v>
      </c>
      <c r="K1174" t="s">
        <v>16</v>
      </c>
      <c r="L1174" t="s">
        <v>59</v>
      </c>
      <c r="M1174">
        <f>orders[[#This Row],[Ship Date]]-orders[[#This Row],[Order Date]]</f>
        <v>4</v>
      </c>
      <c r="N1174">
        <f>WEEKNUM(orders[[#This Row],[Order Date]],2)</f>
        <v>7</v>
      </c>
      <c r="O1174" t="str" cm="1">
        <f t="array" ref="O11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75" spans="1:15" x14ac:dyDescent="0.3">
      <c r="A1175" t="s">
        <v>1269</v>
      </c>
      <c r="B1175" t="s">
        <v>39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24</v>
      </c>
      <c r="I1175" t="s">
        <v>67</v>
      </c>
      <c r="J1175">
        <v>5</v>
      </c>
      <c r="K1175" t="s">
        <v>16</v>
      </c>
      <c r="L1175" t="s">
        <v>69</v>
      </c>
      <c r="M1175">
        <f>orders[[#This Row],[Ship Date]]-orders[[#This Row],[Order Date]]</f>
        <v>1</v>
      </c>
      <c r="N1175">
        <f>WEEKNUM(orders[[#This Row],[Order Date]],2)</f>
        <v>7</v>
      </c>
      <c r="O1175" t="str" cm="1">
        <f t="array" ref="O11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76" spans="1:15" x14ac:dyDescent="0.3">
      <c r="A1176" t="s">
        <v>1270</v>
      </c>
      <c r="B1176" t="s">
        <v>41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24</v>
      </c>
      <c r="I1176" t="s">
        <v>48</v>
      </c>
      <c r="J1176">
        <v>5</v>
      </c>
      <c r="K1176" t="s">
        <v>16</v>
      </c>
      <c r="L1176" t="s">
        <v>107</v>
      </c>
      <c r="M1176">
        <f>orders[[#This Row],[Ship Date]]-orders[[#This Row],[Order Date]]</f>
        <v>2</v>
      </c>
      <c r="N1176">
        <f>WEEKNUM(orders[[#This Row],[Order Date]],2)</f>
        <v>7</v>
      </c>
      <c r="O1176" t="str" cm="1">
        <f t="array" ref="O11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77" spans="1:15" x14ac:dyDescent="0.3">
      <c r="A1177" t="s">
        <v>1271</v>
      </c>
      <c r="B1177" t="s">
        <v>19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20</v>
      </c>
      <c r="I1177" t="s">
        <v>67</v>
      </c>
      <c r="J1177">
        <v>4</v>
      </c>
      <c r="K1177" t="s">
        <v>16</v>
      </c>
      <c r="L1177" t="s">
        <v>79</v>
      </c>
      <c r="M1177">
        <f>orders[[#This Row],[Ship Date]]-orders[[#This Row],[Order Date]]</f>
        <v>1</v>
      </c>
      <c r="N1177">
        <f>WEEKNUM(orders[[#This Row],[Order Date]],2)</f>
        <v>7</v>
      </c>
      <c r="O1177" t="str" cm="1">
        <f t="array" ref="O11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78" spans="1:15" x14ac:dyDescent="0.3">
      <c r="A1178" t="s">
        <v>1272</v>
      </c>
      <c r="B1178" t="s">
        <v>41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24</v>
      </c>
      <c r="I1178" t="s">
        <v>37</v>
      </c>
      <c r="J1178">
        <v>5</v>
      </c>
      <c r="K1178" t="s">
        <v>16</v>
      </c>
      <c r="L1178" t="s">
        <v>112</v>
      </c>
      <c r="M1178">
        <f>orders[[#This Row],[Ship Date]]-orders[[#This Row],[Order Date]]</f>
        <v>7</v>
      </c>
      <c r="N1178">
        <f>WEEKNUM(orders[[#This Row],[Order Date]],2)</f>
        <v>7</v>
      </c>
      <c r="O1178" t="str" cm="1">
        <f t="array" ref="O11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79" spans="1:15" x14ac:dyDescent="0.3">
      <c r="A1179" t="s">
        <v>1273</v>
      </c>
      <c r="B1179" t="s">
        <v>36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24</v>
      </c>
      <c r="I1179" t="s">
        <v>67</v>
      </c>
      <c r="J1179">
        <v>4</v>
      </c>
      <c r="K1179" t="s">
        <v>16</v>
      </c>
      <c r="L1179" t="s">
        <v>112</v>
      </c>
      <c r="M1179">
        <f>orders[[#This Row],[Ship Date]]-orders[[#This Row],[Order Date]]</f>
        <v>9</v>
      </c>
      <c r="N1179">
        <f>WEEKNUM(orders[[#This Row],[Order Date]],2)</f>
        <v>7</v>
      </c>
      <c r="O1179" t="str" cm="1">
        <f t="array" ref="O11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80" spans="1:15" x14ac:dyDescent="0.3">
      <c r="A1180" t="s">
        <v>1274</v>
      </c>
      <c r="B1180" t="s">
        <v>23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14</v>
      </c>
      <c r="I1180" t="s">
        <v>32</v>
      </c>
      <c r="J1180">
        <v>3</v>
      </c>
      <c r="K1180" t="s">
        <v>16</v>
      </c>
      <c r="L1180" t="s">
        <v>112</v>
      </c>
      <c r="M1180">
        <f>orders[[#This Row],[Ship Date]]-orders[[#This Row],[Order Date]]</f>
        <v>3</v>
      </c>
      <c r="N1180">
        <f>WEEKNUM(orders[[#This Row],[Order Date]],2)</f>
        <v>7</v>
      </c>
      <c r="O1180" t="str" cm="1">
        <f t="array" ref="O118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181" spans="1:15" x14ac:dyDescent="0.3">
      <c r="A1181" t="s">
        <v>1275</v>
      </c>
      <c r="B1181" t="s">
        <v>43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24</v>
      </c>
      <c r="I1181" t="s">
        <v>67</v>
      </c>
      <c r="J1181">
        <v>5</v>
      </c>
      <c r="K1181" t="s">
        <v>16</v>
      </c>
      <c r="L1181" t="s">
        <v>964</v>
      </c>
      <c r="M1181">
        <f>orders[[#This Row],[Ship Date]]-orders[[#This Row],[Order Date]]</f>
        <v>1</v>
      </c>
      <c r="N1181">
        <f>WEEKNUM(orders[[#This Row],[Order Date]],2)</f>
        <v>7</v>
      </c>
      <c r="O1181" t="str" cm="1">
        <f t="array" ref="O11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82" spans="1:15" x14ac:dyDescent="0.3">
      <c r="A1182" t="s">
        <v>1276</v>
      </c>
      <c r="B1182" t="s">
        <v>41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24</v>
      </c>
      <c r="I1182" t="s">
        <v>37</v>
      </c>
      <c r="J1182">
        <v>4</v>
      </c>
      <c r="K1182" t="s">
        <v>16</v>
      </c>
      <c r="L1182" t="s">
        <v>21</v>
      </c>
      <c r="M1182">
        <f>orders[[#This Row],[Ship Date]]-orders[[#This Row],[Order Date]]</f>
        <v>8</v>
      </c>
      <c r="N1182">
        <f>WEEKNUM(orders[[#This Row],[Order Date]],2)</f>
        <v>7</v>
      </c>
      <c r="O1182" t="str" cm="1">
        <f t="array" ref="O11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83" spans="1:15" x14ac:dyDescent="0.3">
      <c r="A1183" t="s">
        <v>1277</v>
      </c>
      <c r="B1183" t="s">
        <v>120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20</v>
      </c>
      <c r="I1183" t="s">
        <v>32</v>
      </c>
      <c r="J1183">
        <v>4</v>
      </c>
      <c r="K1183" t="s">
        <v>16</v>
      </c>
      <c r="L1183" t="s">
        <v>30</v>
      </c>
      <c r="M1183">
        <f>orders[[#This Row],[Ship Date]]-orders[[#This Row],[Order Date]]</f>
        <v>3</v>
      </c>
      <c r="N1183">
        <f>WEEKNUM(orders[[#This Row],[Order Date]],2)</f>
        <v>7</v>
      </c>
      <c r="O1183" t="str" cm="1">
        <f t="array" ref="O118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84" spans="1:15" x14ac:dyDescent="0.3">
      <c r="A1184" t="s">
        <v>1278</v>
      </c>
      <c r="B1184" t="s">
        <v>13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14</v>
      </c>
      <c r="I1184" t="s">
        <v>48</v>
      </c>
      <c r="J1184">
        <v>3</v>
      </c>
      <c r="K1184" t="s">
        <v>16</v>
      </c>
      <c r="L1184" t="s">
        <v>30</v>
      </c>
      <c r="M1184">
        <f>orders[[#This Row],[Ship Date]]-orders[[#This Row],[Order Date]]</f>
        <v>0</v>
      </c>
      <c r="N1184">
        <f>WEEKNUM(orders[[#This Row],[Order Date]],2)</f>
        <v>7</v>
      </c>
      <c r="O1184" t="str" cm="1">
        <f t="array" ref="O118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185" spans="1:15" x14ac:dyDescent="0.3">
      <c r="A1185" t="s">
        <v>1279</v>
      </c>
      <c r="B1185" t="s">
        <v>29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20</v>
      </c>
      <c r="I1185" t="s">
        <v>67</v>
      </c>
      <c r="J1185">
        <v>4</v>
      </c>
      <c r="K1185" t="s">
        <v>16</v>
      </c>
      <c r="L1185" t="s">
        <v>30</v>
      </c>
      <c r="M1185">
        <f>orders[[#This Row],[Ship Date]]-orders[[#This Row],[Order Date]]</f>
        <v>1</v>
      </c>
      <c r="N1185">
        <f>WEEKNUM(orders[[#This Row],[Order Date]],2)</f>
        <v>7</v>
      </c>
      <c r="O1185" t="str" cm="1">
        <f t="array" ref="O11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86" spans="1:15" x14ac:dyDescent="0.3">
      <c r="A1186" t="s">
        <v>1280</v>
      </c>
      <c r="B1186" t="s">
        <v>13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24</v>
      </c>
      <c r="I1186" t="s">
        <v>15</v>
      </c>
      <c r="J1186">
        <v>4</v>
      </c>
      <c r="K1186" t="s">
        <v>16</v>
      </c>
      <c r="L1186" t="s">
        <v>30</v>
      </c>
      <c r="M1186">
        <f>orders[[#This Row],[Ship Date]]-orders[[#This Row],[Order Date]]</f>
        <v>2</v>
      </c>
      <c r="N1186">
        <f>WEEKNUM(orders[[#This Row],[Order Date]],2)</f>
        <v>7</v>
      </c>
      <c r="O1186" t="str" cm="1">
        <f t="array" ref="O11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87" spans="1:15" x14ac:dyDescent="0.3">
      <c r="A1187" t="s">
        <v>1281</v>
      </c>
      <c r="B1187" t="s">
        <v>36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20</v>
      </c>
      <c r="I1187" t="s">
        <v>15</v>
      </c>
      <c r="J1187">
        <v>4</v>
      </c>
      <c r="K1187" t="s">
        <v>16</v>
      </c>
      <c r="L1187" t="s">
        <v>30</v>
      </c>
      <c r="M1187">
        <f>orders[[#This Row],[Ship Date]]-orders[[#This Row],[Order Date]]</f>
        <v>5</v>
      </c>
      <c r="N1187">
        <f>WEEKNUM(orders[[#This Row],[Order Date]],2)</f>
        <v>7</v>
      </c>
      <c r="O1187" t="str" cm="1">
        <f t="array" ref="O11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88" spans="1:15" x14ac:dyDescent="0.3">
      <c r="A1188" t="s">
        <v>1282</v>
      </c>
      <c r="B1188" t="s">
        <v>41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14</v>
      </c>
      <c r="I1188" t="s">
        <v>15</v>
      </c>
      <c r="J1188">
        <v>4</v>
      </c>
      <c r="K1188" t="s">
        <v>16</v>
      </c>
      <c r="L1188" t="s">
        <v>30</v>
      </c>
      <c r="M1188">
        <f>orders[[#This Row],[Ship Date]]-orders[[#This Row],[Order Date]]</f>
        <v>2</v>
      </c>
      <c r="N1188">
        <f>WEEKNUM(orders[[#This Row],[Order Date]],2)</f>
        <v>7</v>
      </c>
      <c r="O1188" t="str" cm="1">
        <f t="array" ref="O118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189" spans="1:15" x14ac:dyDescent="0.3">
      <c r="A1189" t="s">
        <v>1283</v>
      </c>
      <c r="B1189" t="s">
        <v>41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24</v>
      </c>
      <c r="I1189" t="s">
        <v>67</v>
      </c>
      <c r="J1189">
        <v>3</v>
      </c>
      <c r="K1189" t="s">
        <v>16</v>
      </c>
      <c r="L1189" t="s">
        <v>30</v>
      </c>
      <c r="M1189">
        <f>orders[[#This Row],[Ship Date]]-orders[[#This Row],[Order Date]]</f>
        <v>1</v>
      </c>
      <c r="N1189">
        <f>WEEKNUM(orders[[#This Row],[Order Date]],2)</f>
        <v>7</v>
      </c>
      <c r="O1189" t="str" cm="1">
        <f t="array" ref="O11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90" spans="1:15" x14ac:dyDescent="0.3">
      <c r="A1190" t="s">
        <v>1284</v>
      </c>
      <c r="B1190" t="s">
        <v>13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24</v>
      </c>
      <c r="I1190" t="s">
        <v>32</v>
      </c>
      <c r="J1190">
        <v>4</v>
      </c>
      <c r="K1190" t="s">
        <v>16</v>
      </c>
      <c r="L1190" t="s">
        <v>183</v>
      </c>
      <c r="M1190">
        <f>orders[[#This Row],[Ship Date]]-orders[[#This Row],[Order Date]]</f>
        <v>2</v>
      </c>
      <c r="N1190">
        <f>WEEKNUM(orders[[#This Row],[Order Date]],2)</f>
        <v>7</v>
      </c>
      <c r="O1190" t="str" cm="1">
        <f t="array" ref="O11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91" spans="1:15" x14ac:dyDescent="0.3">
      <c r="A1191" t="s">
        <v>1285</v>
      </c>
      <c r="B1191" t="s">
        <v>34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20</v>
      </c>
      <c r="I1191" t="s">
        <v>67</v>
      </c>
      <c r="J1191">
        <v>5</v>
      </c>
      <c r="K1191" t="s">
        <v>16</v>
      </c>
      <c r="L1191" t="s">
        <v>185</v>
      </c>
      <c r="M1191">
        <f>orders[[#This Row],[Ship Date]]-orders[[#This Row],[Order Date]]</f>
        <v>1</v>
      </c>
      <c r="N1191">
        <f>WEEKNUM(orders[[#This Row],[Order Date]],2)</f>
        <v>7</v>
      </c>
      <c r="O1191" t="str" cm="1">
        <f t="array" ref="O11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92" spans="1:15" x14ac:dyDescent="0.3">
      <c r="A1192" t="s">
        <v>1286</v>
      </c>
      <c r="B1192" t="s">
        <v>36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24</v>
      </c>
      <c r="I1192" t="s">
        <v>15</v>
      </c>
      <c r="J1192">
        <v>4</v>
      </c>
      <c r="K1192" t="s">
        <v>16</v>
      </c>
      <c r="L1192" t="s">
        <v>185</v>
      </c>
      <c r="M1192">
        <f>orders[[#This Row],[Ship Date]]-orders[[#This Row],[Order Date]]</f>
        <v>4</v>
      </c>
      <c r="N1192">
        <f>WEEKNUM(orders[[#This Row],[Order Date]],2)</f>
        <v>7</v>
      </c>
      <c r="O1192" t="str" cm="1">
        <f t="array" ref="O11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93" spans="1:15" x14ac:dyDescent="0.3">
      <c r="A1193" t="s">
        <v>1287</v>
      </c>
      <c r="B1193" t="s">
        <v>132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24</v>
      </c>
      <c r="I1193" t="s">
        <v>37</v>
      </c>
      <c r="J1193">
        <v>4</v>
      </c>
      <c r="K1193" t="s">
        <v>16</v>
      </c>
      <c r="L1193" t="s">
        <v>185</v>
      </c>
      <c r="M1193">
        <f>orders[[#This Row],[Ship Date]]-orders[[#This Row],[Order Date]]</f>
        <v>2</v>
      </c>
      <c r="N1193">
        <f>WEEKNUM(orders[[#This Row],[Order Date]],2)</f>
        <v>7</v>
      </c>
      <c r="O1193" t="str" cm="1">
        <f t="array" ref="O11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94" spans="1:15" x14ac:dyDescent="0.3">
      <c r="A1194" t="s">
        <v>1288</v>
      </c>
      <c r="B1194" t="s">
        <v>39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20</v>
      </c>
      <c r="I1194" t="s">
        <v>15</v>
      </c>
      <c r="J1194">
        <v>4</v>
      </c>
      <c r="K1194" t="s">
        <v>16</v>
      </c>
      <c r="L1194" t="s">
        <v>49</v>
      </c>
      <c r="M1194">
        <f>orders[[#This Row],[Ship Date]]-orders[[#This Row],[Order Date]]</f>
        <v>1</v>
      </c>
      <c r="N1194">
        <f>WEEKNUM(orders[[#This Row],[Order Date]],2)</f>
        <v>7</v>
      </c>
      <c r="O1194" t="str" cm="1">
        <f t="array" ref="O11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95" spans="1:15" x14ac:dyDescent="0.3">
      <c r="A1195" t="s">
        <v>1289</v>
      </c>
      <c r="B1195" t="s">
        <v>23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24</v>
      </c>
      <c r="I1195" t="s">
        <v>32</v>
      </c>
      <c r="J1195">
        <v>4</v>
      </c>
      <c r="K1195" t="s">
        <v>16</v>
      </c>
      <c r="L1195" t="s">
        <v>52</v>
      </c>
      <c r="M1195">
        <f>orders[[#This Row],[Ship Date]]-orders[[#This Row],[Order Date]]</f>
        <v>3</v>
      </c>
      <c r="N1195">
        <f>WEEKNUM(orders[[#This Row],[Order Date]],2)</f>
        <v>7</v>
      </c>
      <c r="O1195" t="str" cm="1">
        <f t="array" ref="O11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196" spans="1:15" x14ac:dyDescent="0.3">
      <c r="A1196" t="s">
        <v>1290</v>
      </c>
      <c r="B1196" t="s">
        <v>41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20</v>
      </c>
      <c r="I1196" t="s">
        <v>15</v>
      </c>
      <c r="J1196">
        <v>4</v>
      </c>
      <c r="K1196" t="s">
        <v>16</v>
      </c>
      <c r="L1196" t="s">
        <v>52</v>
      </c>
      <c r="M1196">
        <f>orders[[#This Row],[Ship Date]]-orders[[#This Row],[Order Date]]</f>
        <v>2</v>
      </c>
      <c r="N1196">
        <f>WEEKNUM(orders[[#This Row],[Order Date]],2)</f>
        <v>8</v>
      </c>
      <c r="O1196" t="str" cm="1">
        <f t="array" ref="O11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97" spans="1:15" x14ac:dyDescent="0.3">
      <c r="A1197" t="s">
        <v>1291</v>
      </c>
      <c r="B1197" t="s">
        <v>66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20</v>
      </c>
      <c r="I1197" t="s">
        <v>15</v>
      </c>
      <c r="J1197">
        <v>3</v>
      </c>
      <c r="K1197" t="s">
        <v>16</v>
      </c>
      <c r="L1197" t="s">
        <v>56</v>
      </c>
      <c r="M1197">
        <f>orders[[#This Row],[Ship Date]]-orders[[#This Row],[Order Date]]</f>
        <v>2</v>
      </c>
      <c r="N1197">
        <f>WEEKNUM(orders[[#This Row],[Order Date]],2)</f>
        <v>8</v>
      </c>
      <c r="O1197" t="str" cm="1">
        <f t="array" ref="O11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98" spans="1:15" x14ac:dyDescent="0.3">
      <c r="A1198" t="s">
        <v>1292</v>
      </c>
      <c r="B1198" t="s">
        <v>51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20</v>
      </c>
      <c r="I1198" t="s">
        <v>15</v>
      </c>
      <c r="J1198">
        <v>2</v>
      </c>
      <c r="K1198" t="s">
        <v>16</v>
      </c>
      <c r="L1198" t="s">
        <v>56</v>
      </c>
      <c r="M1198">
        <f>orders[[#This Row],[Ship Date]]-orders[[#This Row],[Order Date]]</f>
        <v>3</v>
      </c>
      <c r="N1198">
        <f>WEEKNUM(orders[[#This Row],[Order Date]],2)</f>
        <v>8</v>
      </c>
      <c r="O1198" t="str" cm="1">
        <f t="array" ref="O11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199" spans="1:15" x14ac:dyDescent="0.3">
      <c r="A1199" t="s">
        <v>1293</v>
      </c>
      <c r="B1199" t="s">
        <v>19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20</v>
      </c>
      <c r="I1199" t="s">
        <v>67</v>
      </c>
      <c r="J1199">
        <v>4</v>
      </c>
      <c r="K1199" t="s">
        <v>16</v>
      </c>
      <c r="L1199" t="s">
        <v>59</v>
      </c>
      <c r="M1199">
        <f>orders[[#This Row],[Ship Date]]-orders[[#This Row],[Order Date]]</f>
        <v>5</v>
      </c>
      <c r="N1199">
        <f>WEEKNUM(orders[[#This Row],[Order Date]],2)</f>
        <v>8</v>
      </c>
      <c r="O1199" t="str" cm="1">
        <f t="array" ref="O11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00" spans="1:15" x14ac:dyDescent="0.3">
      <c r="A1200" t="s">
        <v>1294</v>
      </c>
      <c r="B1200" t="s">
        <v>19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24</v>
      </c>
      <c r="I1200" t="s">
        <v>32</v>
      </c>
      <c r="J1200">
        <v>5</v>
      </c>
      <c r="K1200" t="s">
        <v>16</v>
      </c>
      <c r="L1200" t="s">
        <v>59</v>
      </c>
      <c r="M1200">
        <f>orders[[#This Row],[Ship Date]]-orders[[#This Row],[Order Date]]</f>
        <v>0</v>
      </c>
      <c r="N1200">
        <f>WEEKNUM(orders[[#This Row],[Order Date]],2)</f>
        <v>8</v>
      </c>
      <c r="O1200" t="str" cm="1">
        <f t="array" ref="O12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01" spans="1:15" x14ac:dyDescent="0.3">
      <c r="A1201" t="s">
        <v>1295</v>
      </c>
      <c r="B1201" t="s">
        <v>36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24</v>
      </c>
      <c r="I1201" t="s">
        <v>67</v>
      </c>
      <c r="J1201">
        <v>4</v>
      </c>
      <c r="K1201" t="s">
        <v>16</v>
      </c>
      <c r="L1201" t="s">
        <v>69</v>
      </c>
      <c r="M1201">
        <f>orders[[#This Row],[Ship Date]]-orders[[#This Row],[Order Date]]</f>
        <v>5</v>
      </c>
      <c r="N1201">
        <f>WEEKNUM(orders[[#This Row],[Order Date]],2)</f>
        <v>8</v>
      </c>
      <c r="O1201" t="str" cm="1">
        <f t="array" ref="O12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02" spans="1:15" x14ac:dyDescent="0.3">
      <c r="A1202" t="s">
        <v>1296</v>
      </c>
      <c r="B1202" t="s">
        <v>36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24</v>
      </c>
      <c r="I1202" t="s">
        <v>15</v>
      </c>
      <c r="J1202">
        <v>4</v>
      </c>
      <c r="K1202" t="s">
        <v>16</v>
      </c>
      <c r="L1202" t="s">
        <v>74</v>
      </c>
      <c r="M1202">
        <f>orders[[#This Row],[Ship Date]]-orders[[#This Row],[Order Date]]</f>
        <v>5</v>
      </c>
      <c r="N1202">
        <f>WEEKNUM(orders[[#This Row],[Order Date]],2)</f>
        <v>8</v>
      </c>
      <c r="O1202" t="str" cm="1">
        <f t="array" ref="O12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03" spans="1:15" x14ac:dyDescent="0.3">
      <c r="A1203" t="s">
        <v>1297</v>
      </c>
      <c r="B1203" t="s">
        <v>29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24</v>
      </c>
      <c r="I1203" t="s">
        <v>15</v>
      </c>
      <c r="J1203">
        <v>3</v>
      </c>
      <c r="K1203" t="s">
        <v>16</v>
      </c>
      <c r="L1203" t="s">
        <v>265</v>
      </c>
      <c r="M1203">
        <f>orders[[#This Row],[Ship Date]]-orders[[#This Row],[Order Date]]</f>
        <v>0</v>
      </c>
      <c r="N1203">
        <f>WEEKNUM(orders[[#This Row],[Order Date]],2)</f>
        <v>8</v>
      </c>
      <c r="O1203" t="str" cm="1">
        <f t="array" ref="O12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04" spans="1:15" x14ac:dyDescent="0.3">
      <c r="A1204" t="s">
        <v>1298</v>
      </c>
      <c r="B1204" t="s">
        <v>23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24</v>
      </c>
      <c r="I1204" t="s">
        <v>37</v>
      </c>
      <c r="J1204">
        <v>4</v>
      </c>
      <c r="K1204" t="s">
        <v>16</v>
      </c>
      <c r="L1204" t="s">
        <v>110</v>
      </c>
      <c r="M1204">
        <f>orders[[#This Row],[Ship Date]]-orders[[#This Row],[Order Date]]</f>
        <v>4</v>
      </c>
      <c r="N1204">
        <f>WEEKNUM(orders[[#This Row],[Order Date]],2)</f>
        <v>8</v>
      </c>
      <c r="O1204" t="str" cm="1">
        <f t="array" ref="O12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05" spans="1:15" x14ac:dyDescent="0.3">
      <c r="A1205" t="s">
        <v>1299</v>
      </c>
      <c r="B1205" t="s">
        <v>23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20</v>
      </c>
      <c r="I1205" t="s">
        <v>32</v>
      </c>
      <c r="J1205">
        <v>4</v>
      </c>
      <c r="K1205" t="s">
        <v>16</v>
      </c>
      <c r="L1205" t="s">
        <v>112</v>
      </c>
      <c r="M1205">
        <f>orders[[#This Row],[Ship Date]]-orders[[#This Row],[Order Date]]</f>
        <v>4</v>
      </c>
      <c r="N1205">
        <f>WEEKNUM(orders[[#This Row],[Order Date]],2)</f>
        <v>8</v>
      </c>
      <c r="O1205" t="str" cm="1">
        <f t="array" ref="O12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06" spans="1:15" x14ac:dyDescent="0.3">
      <c r="A1206" t="s">
        <v>1300</v>
      </c>
      <c r="B1206" t="s">
        <v>64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20</v>
      </c>
      <c r="I1206" t="s">
        <v>15</v>
      </c>
      <c r="J1206">
        <v>3</v>
      </c>
      <c r="K1206" t="s">
        <v>16</v>
      </c>
      <c r="L1206" t="s">
        <v>21</v>
      </c>
      <c r="M1206">
        <f>orders[[#This Row],[Ship Date]]-orders[[#This Row],[Order Date]]</f>
        <v>1</v>
      </c>
      <c r="N1206">
        <f>WEEKNUM(orders[[#This Row],[Order Date]],2)</f>
        <v>8</v>
      </c>
      <c r="O1206" t="str" cm="1">
        <f t="array" ref="O12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07" spans="1:15" x14ac:dyDescent="0.3">
      <c r="A1207" t="s">
        <v>1301</v>
      </c>
      <c r="B1207" t="s">
        <v>36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86</v>
      </c>
      <c r="I1207" t="s">
        <v>15</v>
      </c>
      <c r="J1207">
        <v>3</v>
      </c>
      <c r="K1207" t="s">
        <v>16</v>
      </c>
      <c r="L1207" t="s">
        <v>21</v>
      </c>
      <c r="M1207">
        <f>orders[[#This Row],[Ship Date]]-orders[[#This Row],[Order Date]]</f>
        <v>1</v>
      </c>
      <c r="N1207">
        <f>WEEKNUM(orders[[#This Row],[Order Date]],2)</f>
        <v>8</v>
      </c>
      <c r="O1207" t="str" cm="1">
        <f t="array" ref="O120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208" spans="1:15" x14ac:dyDescent="0.3">
      <c r="A1208" t="s">
        <v>1302</v>
      </c>
      <c r="B1208" t="s">
        <v>29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24</v>
      </c>
      <c r="I1208" t="s">
        <v>37</v>
      </c>
      <c r="J1208">
        <v>4</v>
      </c>
      <c r="K1208" t="s">
        <v>16</v>
      </c>
      <c r="L1208" t="s">
        <v>144</v>
      </c>
      <c r="M1208">
        <f>orders[[#This Row],[Ship Date]]-orders[[#This Row],[Order Date]]</f>
        <v>13</v>
      </c>
      <c r="N1208">
        <f>WEEKNUM(orders[[#This Row],[Order Date]],2)</f>
        <v>8</v>
      </c>
      <c r="O1208" t="str" cm="1">
        <f t="array" ref="O12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09" spans="1:15" x14ac:dyDescent="0.3">
      <c r="A1209" t="s">
        <v>1303</v>
      </c>
      <c r="B1209" t="s">
        <v>120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24</v>
      </c>
      <c r="I1209" t="s">
        <v>67</v>
      </c>
      <c r="J1209">
        <v>4</v>
      </c>
      <c r="K1209" t="s">
        <v>16</v>
      </c>
      <c r="L1209" t="s">
        <v>331</v>
      </c>
      <c r="M1209">
        <f>orders[[#This Row],[Ship Date]]-orders[[#This Row],[Order Date]]</f>
        <v>1</v>
      </c>
      <c r="N1209">
        <f>WEEKNUM(orders[[#This Row],[Order Date]],2)</f>
        <v>8</v>
      </c>
      <c r="O1209" t="str" cm="1">
        <f t="array" ref="O12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10" spans="1:15" x14ac:dyDescent="0.3">
      <c r="A1210" t="s">
        <v>1304</v>
      </c>
      <c r="B1210" t="s">
        <v>132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20</v>
      </c>
      <c r="I1210" t="s">
        <v>32</v>
      </c>
      <c r="J1210">
        <v>4</v>
      </c>
      <c r="K1210" t="s">
        <v>16</v>
      </c>
      <c r="L1210" t="s">
        <v>30</v>
      </c>
      <c r="M1210">
        <f>orders[[#This Row],[Ship Date]]-orders[[#This Row],[Order Date]]</f>
        <v>1</v>
      </c>
      <c r="N1210">
        <f>WEEKNUM(orders[[#This Row],[Order Date]],2)</f>
        <v>8</v>
      </c>
      <c r="O1210" t="str" cm="1">
        <f t="array" ref="O12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11" spans="1:15" x14ac:dyDescent="0.3">
      <c r="A1211" t="s">
        <v>1305</v>
      </c>
      <c r="B1211" t="s">
        <v>43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20</v>
      </c>
      <c r="I1211" t="s">
        <v>67</v>
      </c>
      <c r="J1211">
        <v>4</v>
      </c>
      <c r="K1211" t="s">
        <v>16</v>
      </c>
      <c r="L1211" t="s">
        <v>30</v>
      </c>
      <c r="M1211">
        <f>orders[[#This Row],[Ship Date]]-orders[[#This Row],[Order Date]]</f>
        <v>2</v>
      </c>
      <c r="N1211">
        <f>WEEKNUM(orders[[#This Row],[Order Date]],2)</f>
        <v>8</v>
      </c>
      <c r="O1211" t="str" cm="1">
        <f t="array" ref="O12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12" spans="1:15" x14ac:dyDescent="0.3">
      <c r="A1212" t="s">
        <v>1306</v>
      </c>
      <c r="B1212" t="s">
        <v>19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86</v>
      </c>
      <c r="I1212" t="s">
        <v>15</v>
      </c>
      <c r="J1212">
        <v>4</v>
      </c>
      <c r="K1212" t="s">
        <v>16</v>
      </c>
      <c r="L1212" t="s">
        <v>30</v>
      </c>
      <c r="M1212">
        <f>orders[[#This Row],[Ship Date]]-orders[[#This Row],[Order Date]]</f>
        <v>3</v>
      </c>
      <c r="N1212">
        <f>WEEKNUM(orders[[#This Row],[Order Date]],2)</f>
        <v>8</v>
      </c>
      <c r="O1212" t="str" cm="1">
        <f t="array" ref="O1212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213" spans="1:15" x14ac:dyDescent="0.3">
      <c r="A1213" t="s">
        <v>1307</v>
      </c>
      <c r="B1213" t="s">
        <v>51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24</v>
      </c>
      <c r="I1213" t="s">
        <v>37</v>
      </c>
      <c r="J1213">
        <v>3</v>
      </c>
      <c r="K1213" t="s">
        <v>16</v>
      </c>
      <c r="L1213" t="s">
        <v>30</v>
      </c>
      <c r="M1213">
        <f>orders[[#This Row],[Ship Date]]-orders[[#This Row],[Order Date]]</f>
        <v>2</v>
      </c>
      <c r="N1213">
        <f>WEEKNUM(orders[[#This Row],[Order Date]],2)</f>
        <v>8</v>
      </c>
      <c r="O1213" t="str" cm="1">
        <f t="array" ref="O12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14" spans="1:15" x14ac:dyDescent="0.3">
      <c r="A1214" t="s">
        <v>1308</v>
      </c>
      <c r="B1214" t="s">
        <v>66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24</v>
      </c>
      <c r="I1214" t="s">
        <v>32</v>
      </c>
      <c r="J1214">
        <v>2</v>
      </c>
      <c r="K1214" t="s">
        <v>16</v>
      </c>
      <c r="L1214" t="s">
        <v>30</v>
      </c>
      <c r="M1214">
        <f>orders[[#This Row],[Ship Date]]-orders[[#This Row],[Order Date]]</f>
        <v>4</v>
      </c>
      <c r="N1214">
        <f>WEEKNUM(orders[[#This Row],[Order Date]],2)</f>
        <v>8</v>
      </c>
      <c r="O1214" t="str" cm="1">
        <f t="array" ref="O12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15" spans="1:15" x14ac:dyDescent="0.3">
      <c r="A1215" t="s">
        <v>1309</v>
      </c>
      <c r="B1215" t="s">
        <v>41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14</v>
      </c>
      <c r="I1215" t="s">
        <v>32</v>
      </c>
      <c r="J1215">
        <v>4</v>
      </c>
      <c r="K1215" t="s">
        <v>16</v>
      </c>
      <c r="L1215" t="s">
        <v>30</v>
      </c>
      <c r="M1215">
        <f>orders[[#This Row],[Ship Date]]-orders[[#This Row],[Order Date]]</f>
        <v>3</v>
      </c>
      <c r="N1215">
        <f>WEEKNUM(orders[[#This Row],[Order Date]],2)</f>
        <v>8</v>
      </c>
      <c r="O1215" t="str" cm="1">
        <f t="array" ref="O121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16" spans="1:15" x14ac:dyDescent="0.3">
      <c r="A1216" t="s">
        <v>1310</v>
      </c>
      <c r="B1216" t="s">
        <v>36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24</v>
      </c>
      <c r="I1216" t="s">
        <v>37</v>
      </c>
      <c r="J1216">
        <v>3</v>
      </c>
      <c r="K1216" t="s">
        <v>16</v>
      </c>
      <c r="L1216" t="s">
        <v>30</v>
      </c>
      <c r="M1216">
        <f>orders[[#This Row],[Ship Date]]-orders[[#This Row],[Order Date]]</f>
        <v>0</v>
      </c>
      <c r="N1216">
        <f>WEEKNUM(orders[[#This Row],[Order Date]],2)</f>
        <v>8</v>
      </c>
      <c r="O1216" t="str" cm="1">
        <f t="array" ref="O12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17" spans="1:15" x14ac:dyDescent="0.3">
      <c r="A1217" t="s">
        <v>1311</v>
      </c>
      <c r="B1217" t="s">
        <v>34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20</v>
      </c>
      <c r="I1217" t="s">
        <v>37</v>
      </c>
      <c r="J1217">
        <v>2</v>
      </c>
      <c r="K1217" t="s">
        <v>16</v>
      </c>
      <c r="L1217" t="s">
        <v>30</v>
      </c>
      <c r="M1217">
        <f>orders[[#This Row],[Ship Date]]-orders[[#This Row],[Order Date]]</f>
        <v>4</v>
      </c>
      <c r="N1217">
        <f>WEEKNUM(orders[[#This Row],[Order Date]],2)</f>
        <v>8</v>
      </c>
      <c r="O1217" t="str" cm="1">
        <f t="array" ref="O121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18" spans="1:15" x14ac:dyDescent="0.3">
      <c r="A1218" t="s">
        <v>1312</v>
      </c>
      <c r="B1218" t="s">
        <v>41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20</v>
      </c>
      <c r="I1218" t="s">
        <v>32</v>
      </c>
      <c r="J1218">
        <v>4</v>
      </c>
      <c r="K1218" t="s">
        <v>16</v>
      </c>
      <c r="L1218" t="s">
        <v>30</v>
      </c>
      <c r="M1218">
        <f>orders[[#This Row],[Ship Date]]-orders[[#This Row],[Order Date]]</f>
        <v>3</v>
      </c>
      <c r="N1218">
        <f>WEEKNUM(orders[[#This Row],[Order Date]],2)</f>
        <v>8</v>
      </c>
      <c r="O1218" t="str" cm="1">
        <f t="array" ref="O121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19" spans="1:15" x14ac:dyDescent="0.3">
      <c r="A1219" t="s">
        <v>1313</v>
      </c>
      <c r="B1219" t="s">
        <v>43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20</v>
      </c>
      <c r="I1219" t="s">
        <v>48</v>
      </c>
      <c r="J1219">
        <v>3</v>
      </c>
      <c r="K1219" t="s">
        <v>16</v>
      </c>
      <c r="L1219" t="s">
        <v>30</v>
      </c>
      <c r="M1219">
        <f>orders[[#This Row],[Ship Date]]-orders[[#This Row],[Order Date]]</f>
        <v>9</v>
      </c>
      <c r="N1219">
        <f>WEEKNUM(orders[[#This Row],[Order Date]],2)</f>
        <v>8</v>
      </c>
      <c r="O1219" t="str" cm="1">
        <f t="array" ref="O12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20" spans="1:15" x14ac:dyDescent="0.3">
      <c r="A1220" t="s">
        <v>1314</v>
      </c>
      <c r="B1220" t="s">
        <v>51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24</v>
      </c>
      <c r="I1220" t="s">
        <v>37</v>
      </c>
      <c r="J1220">
        <v>4</v>
      </c>
      <c r="K1220" t="s">
        <v>16</v>
      </c>
      <c r="L1220" t="s">
        <v>30</v>
      </c>
      <c r="M1220">
        <f>orders[[#This Row],[Ship Date]]-orders[[#This Row],[Order Date]]</f>
        <v>5</v>
      </c>
      <c r="N1220">
        <f>WEEKNUM(orders[[#This Row],[Order Date]],2)</f>
        <v>8</v>
      </c>
      <c r="O1220" t="str" cm="1">
        <f t="array" ref="O12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21" spans="1:15" x14ac:dyDescent="0.3">
      <c r="A1221" t="s">
        <v>1315</v>
      </c>
      <c r="B1221" t="s">
        <v>39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20</v>
      </c>
      <c r="I1221" t="s">
        <v>15</v>
      </c>
      <c r="J1221">
        <v>4</v>
      </c>
      <c r="K1221" t="s">
        <v>16</v>
      </c>
      <c r="L1221" t="s">
        <v>30</v>
      </c>
      <c r="M1221">
        <f>orders[[#This Row],[Ship Date]]-orders[[#This Row],[Order Date]]</f>
        <v>1</v>
      </c>
      <c r="N1221">
        <f>WEEKNUM(orders[[#This Row],[Order Date]],2)</f>
        <v>8</v>
      </c>
      <c r="O1221" t="str" cm="1">
        <f t="array" ref="O12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22" spans="1:15" x14ac:dyDescent="0.3">
      <c r="A1222" t="s">
        <v>1316</v>
      </c>
      <c r="B1222" t="s">
        <v>36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20</v>
      </c>
      <c r="I1222" t="s">
        <v>48</v>
      </c>
      <c r="J1222">
        <v>4</v>
      </c>
      <c r="K1222" t="s">
        <v>16</v>
      </c>
      <c r="L1222" t="s">
        <v>30</v>
      </c>
      <c r="M1222">
        <f>orders[[#This Row],[Ship Date]]-orders[[#This Row],[Order Date]]</f>
        <v>1</v>
      </c>
      <c r="N1222">
        <f>WEEKNUM(orders[[#This Row],[Order Date]],2)</f>
        <v>8</v>
      </c>
      <c r="O1222" t="str" cm="1">
        <f t="array" ref="O12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23" spans="1:15" x14ac:dyDescent="0.3">
      <c r="A1223" t="s">
        <v>1317</v>
      </c>
      <c r="B1223" t="s">
        <v>27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24</v>
      </c>
      <c r="I1223" t="s">
        <v>32</v>
      </c>
      <c r="J1223">
        <v>2</v>
      </c>
      <c r="K1223" t="s">
        <v>16</v>
      </c>
      <c r="L1223" t="s">
        <v>30</v>
      </c>
      <c r="M1223">
        <f>orders[[#This Row],[Ship Date]]-orders[[#This Row],[Order Date]]</f>
        <v>3</v>
      </c>
      <c r="N1223">
        <f>WEEKNUM(orders[[#This Row],[Order Date]],2)</f>
        <v>8</v>
      </c>
      <c r="O1223" t="str" cm="1">
        <f t="array" ref="O12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24" spans="1:15" x14ac:dyDescent="0.3">
      <c r="A1224" t="s">
        <v>1318</v>
      </c>
      <c r="B1224" t="s">
        <v>23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24</v>
      </c>
      <c r="I1224" t="s">
        <v>32</v>
      </c>
      <c r="J1224">
        <v>3</v>
      </c>
      <c r="K1224" t="s">
        <v>16</v>
      </c>
      <c r="L1224" t="s">
        <v>30</v>
      </c>
      <c r="M1224">
        <f>orders[[#This Row],[Ship Date]]-orders[[#This Row],[Order Date]]</f>
        <v>2</v>
      </c>
      <c r="N1224">
        <f>WEEKNUM(orders[[#This Row],[Order Date]],2)</f>
        <v>8</v>
      </c>
      <c r="O1224" t="str" cm="1">
        <f t="array" ref="O12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25" spans="1:15" x14ac:dyDescent="0.3">
      <c r="A1225" t="s">
        <v>1319</v>
      </c>
      <c r="B1225" t="s">
        <v>143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20</v>
      </c>
      <c r="I1225" t="s">
        <v>32</v>
      </c>
      <c r="J1225">
        <v>4</v>
      </c>
      <c r="K1225" t="s">
        <v>16</v>
      </c>
      <c r="L1225" t="s">
        <v>361</v>
      </c>
      <c r="M1225">
        <f>orders[[#This Row],[Ship Date]]-orders[[#This Row],[Order Date]]</f>
        <v>0</v>
      </c>
      <c r="N1225">
        <f>WEEKNUM(orders[[#This Row],[Order Date]],2)</f>
        <v>8</v>
      </c>
      <c r="O1225" t="str" cm="1">
        <f t="array" ref="O12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26" spans="1:15" x14ac:dyDescent="0.3">
      <c r="A1226" t="s">
        <v>1320</v>
      </c>
      <c r="B1226" t="s">
        <v>168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20</v>
      </c>
      <c r="I1226" t="s">
        <v>67</v>
      </c>
      <c r="J1226">
        <v>3</v>
      </c>
      <c r="K1226" t="s">
        <v>16</v>
      </c>
      <c r="L1226" t="s">
        <v>52</v>
      </c>
      <c r="M1226">
        <f>orders[[#This Row],[Ship Date]]-orders[[#This Row],[Order Date]]</f>
        <v>3</v>
      </c>
      <c r="N1226">
        <f>WEEKNUM(orders[[#This Row],[Order Date]],2)</f>
        <v>8</v>
      </c>
      <c r="O1226" t="str" cm="1">
        <f t="array" ref="O12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27" spans="1:15" x14ac:dyDescent="0.3">
      <c r="A1227" t="s">
        <v>1321</v>
      </c>
      <c r="B1227" t="s">
        <v>132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14</v>
      </c>
      <c r="I1227" t="s">
        <v>15</v>
      </c>
      <c r="J1227">
        <v>4</v>
      </c>
      <c r="K1227" t="s">
        <v>16</v>
      </c>
      <c r="L1227" t="s">
        <v>52</v>
      </c>
      <c r="M1227">
        <f>orders[[#This Row],[Ship Date]]-orders[[#This Row],[Order Date]]</f>
        <v>2</v>
      </c>
      <c r="N1227">
        <f>WEEKNUM(orders[[#This Row],[Order Date]],2)</f>
        <v>8</v>
      </c>
      <c r="O1227" t="str" cm="1">
        <f t="array" ref="O122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28" spans="1:15" x14ac:dyDescent="0.3">
      <c r="A1228" t="s">
        <v>1322</v>
      </c>
      <c r="B1228" t="s">
        <v>120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20</v>
      </c>
      <c r="I1228" t="s">
        <v>15</v>
      </c>
      <c r="J1228">
        <v>5</v>
      </c>
      <c r="K1228" t="s">
        <v>16</v>
      </c>
      <c r="L1228" t="s">
        <v>52</v>
      </c>
      <c r="M1228">
        <f>orders[[#This Row],[Ship Date]]-orders[[#This Row],[Order Date]]</f>
        <v>9</v>
      </c>
      <c r="N1228">
        <f>WEEKNUM(orders[[#This Row],[Order Date]],2)</f>
        <v>8</v>
      </c>
      <c r="O1228" t="str" cm="1">
        <f t="array" ref="O12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29" spans="1:15" x14ac:dyDescent="0.3">
      <c r="A1229" t="s">
        <v>1323</v>
      </c>
      <c r="B1229" t="s">
        <v>36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24</v>
      </c>
      <c r="I1229" t="s">
        <v>32</v>
      </c>
      <c r="J1229">
        <v>5</v>
      </c>
      <c r="K1229" t="s">
        <v>16</v>
      </c>
      <c r="L1229" t="s">
        <v>56</v>
      </c>
      <c r="M1229">
        <f>orders[[#This Row],[Ship Date]]-orders[[#This Row],[Order Date]]</f>
        <v>2</v>
      </c>
      <c r="N1229">
        <f>WEEKNUM(orders[[#This Row],[Order Date]],2)</f>
        <v>8</v>
      </c>
      <c r="O1229" t="str" cm="1">
        <f t="array" ref="O12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30" spans="1:15" x14ac:dyDescent="0.3">
      <c r="A1230" t="s">
        <v>1324</v>
      </c>
      <c r="B1230" t="s">
        <v>27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20</v>
      </c>
      <c r="I1230" t="s">
        <v>15</v>
      </c>
      <c r="J1230">
        <v>5</v>
      </c>
      <c r="K1230" t="s">
        <v>16</v>
      </c>
      <c r="L1230" t="s">
        <v>59</v>
      </c>
      <c r="M1230">
        <f>orders[[#This Row],[Ship Date]]-orders[[#This Row],[Order Date]]</f>
        <v>3</v>
      </c>
      <c r="N1230">
        <f>WEEKNUM(orders[[#This Row],[Order Date]],2)</f>
        <v>8</v>
      </c>
      <c r="O1230" t="str" cm="1">
        <f t="array" ref="O123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31" spans="1:15" x14ac:dyDescent="0.3">
      <c r="A1231" t="s">
        <v>1325</v>
      </c>
      <c r="B1231" t="s">
        <v>23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24</v>
      </c>
      <c r="I1231" t="s">
        <v>32</v>
      </c>
      <c r="J1231">
        <v>2</v>
      </c>
      <c r="K1231" t="s">
        <v>16</v>
      </c>
      <c r="L1231" t="s">
        <v>59</v>
      </c>
      <c r="M1231">
        <f>orders[[#This Row],[Ship Date]]-orders[[#This Row],[Order Date]]</f>
        <v>3</v>
      </c>
      <c r="N1231">
        <f>WEEKNUM(orders[[#This Row],[Order Date]],2)</f>
        <v>8</v>
      </c>
      <c r="O1231" t="str" cm="1">
        <f t="array" ref="O12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32" spans="1:15" x14ac:dyDescent="0.3">
      <c r="A1232" t="s">
        <v>1326</v>
      </c>
      <c r="B1232" t="s">
        <v>36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20</v>
      </c>
      <c r="I1232" t="s">
        <v>48</v>
      </c>
      <c r="J1232">
        <v>3</v>
      </c>
      <c r="K1232" t="s">
        <v>16</v>
      </c>
      <c r="L1232" t="s">
        <v>59</v>
      </c>
      <c r="M1232">
        <f>orders[[#This Row],[Ship Date]]-orders[[#This Row],[Order Date]]</f>
        <v>4</v>
      </c>
      <c r="N1232">
        <f>WEEKNUM(orders[[#This Row],[Order Date]],2)</f>
        <v>8</v>
      </c>
      <c r="O1232" t="str" cm="1">
        <f t="array" ref="O123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33" spans="1:15" x14ac:dyDescent="0.3">
      <c r="A1233" t="s">
        <v>1327</v>
      </c>
      <c r="B1233" t="s">
        <v>13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20</v>
      </c>
      <c r="I1233" t="s">
        <v>15</v>
      </c>
      <c r="J1233">
        <v>5</v>
      </c>
      <c r="K1233" t="s">
        <v>16</v>
      </c>
      <c r="L1233" t="s">
        <v>59</v>
      </c>
      <c r="M1233">
        <f>orders[[#This Row],[Ship Date]]-orders[[#This Row],[Order Date]]</f>
        <v>1</v>
      </c>
      <c r="N1233">
        <f>WEEKNUM(orders[[#This Row],[Order Date]],2)</f>
        <v>8</v>
      </c>
      <c r="O1233" t="str" cm="1">
        <f t="array" ref="O12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34" spans="1:15" x14ac:dyDescent="0.3">
      <c r="A1234" t="s">
        <v>1328</v>
      </c>
      <c r="B1234" t="s">
        <v>23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24</v>
      </c>
      <c r="I1234" t="s">
        <v>15</v>
      </c>
      <c r="J1234">
        <v>2</v>
      </c>
      <c r="K1234" t="s">
        <v>16</v>
      </c>
      <c r="L1234" t="s">
        <v>100</v>
      </c>
      <c r="M1234">
        <f>orders[[#This Row],[Ship Date]]-orders[[#This Row],[Order Date]]</f>
        <v>3</v>
      </c>
      <c r="N1234">
        <f>WEEKNUM(orders[[#This Row],[Order Date]],2)</f>
        <v>8</v>
      </c>
      <c r="O1234" t="str" cm="1">
        <f t="array" ref="O12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35" spans="1:15" x14ac:dyDescent="0.3">
      <c r="A1235" t="s">
        <v>1329</v>
      </c>
      <c r="B1235" t="s">
        <v>43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86</v>
      </c>
      <c r="I1235" t="s">
        <v>67</v>
      </c>
      <c r="J1235">
        <v>4</v>
      </c>
      <c r="K1235" t="s">
        <v>16</v>
      </c>
      <c r="L1235" t="s">
        <v>71</v>
      </c>
      <c r="M1235">
        <f>orders[[#This Row],[Ship Date]]-orders[[#This Row],[Order Date]]</f>
        <v>2</v>
      </c>
      <c r="N1235">
        <f>WEEKNUM(orders[[#This Row],[Order Date]],2)</f>
        <v>8</v>
      </c>
      <c r="O1235" t="str" cm="1">
        <f t="array" ref="O123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236" spans="1:15" x14ac:dyDescent="0.3">
      <c r="A1236" t="s">
        <v>1330</v>
      </c>
      <c r="B1236" t="s">
        <v>51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20</v>
      </c>
      <c r="I1236" t="s">
        <v>15</v>
      </c>
      <c r="J1236">
        <v>4</v>
      </c>
      <c r="K1236" t="s">
        <v>16</v>
      </c>
      <c r="L1236" t="s">
        <v>74</v>
      </c>
      <c r="M1236">
        <f>orders[[#This Row],[Ship Date]]-orders[[#This Row],[Order Date]]</f>
        <v>1</v>
      </c>
      <c r="N1236">
        <f>WEEKNUM(orders[[#This Row],[Order Date]],2)</f>
        <v>8</v>
      </c>
      <c r="O1236" t="str" cm="1">
        <f t="array" ref="O12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37" spans="1:15" x14ac:dyDescent="0.3">
      <c r="A1237" t="s">
        <v>1331</v>
      </c>
      <c r="B1237" t="s">
        <v>19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86</v>
      </c>
      <c r="I1237" t="s">
        <v>15</v>
      </c>
      <c r="J1237">
        <v>3</v>
      </c>
      <c r="K1237" t="s">
        <v>16</v>
      </c>
      <c r="L1237" t="s">
        <v>74</v>
      </c>
      <c r="M1237">
        <f>orders[[#This Row],[Ship Date]]-orders[[#This Row],[Order Date]]</f>
        <v>1</v>
      </c>
      <c r="N1237">
        <f>WEEKNUM(orders[[#This Row],[Order Date]],2)</f>
        <v>8</v>
      </c>
      <c r="O1237" t="str" cm="1">
        <f t="array" ref="O123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238" spans="1:15" x14ac:dyDescent="0.3">
      <c r="A1238" t="s">
        <v>1332</v>
      </c>
      <c r="B1238" t="s">
        <v>132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14</v>
      </c>
      <c r="I1238" t="s">
        <v>15</v>
      </c>
      <c r="J1238">
        <v>4</v>
      </c>
      <c r="K1238" t="s">
        <v>16</v>
      </c>
      <c r="L1238" t="s">
        <v>74</v>
      </c>
      <c r="M1238">
        <f>orders[[#This Row],[Ship Date]]-orders[[#This Row],[Order Date]]</f>
        <v>2</v>
      </c>
      <c r="N1238">
        <f>WEEKNUM(orders[[#This Row],[Order Date]],2)</f>
        <v>8</v>
      </c>
      <c r="O1238" t="str" cm="1">
        <f t="array" ref="O123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39" spans="1:15" x14ac:dyDescent="0.3">
      <c r="A1239" t="s">
        <v>1333</v>
      </c>
      <c r="B1239" t="s">
        <v>29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24</v>
      </c>
      <c r="I1239" t="s">
        <v>37</v>
      </c>
      <c r="J1239">
        <v>5</v>
      </c>
      <c r="K1239" t="s">
        <v>16</v>
      </c>
      <c r="L1239" t="s">
        <v>107</v>
      </c>
      <c r="M1239">
        <f>orders[[#This Row],[Ship Date]]-orders[[#This Row],[Order Date]]</f>
        <v>4</v>
      </c>
      <c r="N1239">
        <f>WEEKNUM(orders[[#This Row],[Order Date]],2)</f>
        <v>8</v>
      </c>
      <c r="O1239" t="str" cm="1">
        <f t="array" ref="O12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40" spans="1:15" x14ac:dyDescent="0.3">
      <c r="A1240" t="s">
        <v>1334</v>
      </c>
      <c r="B1240" t="s">
        <v>23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20</v>
      </c>
      <c r="I1240" t="s">
        <v>67</v>
      </c>
      <c r="J1240">
        <v>5</v>
      </c>
      <c r="K1240" t="s">
        <v>16</v>
      </c>
      <c r="L1240" t="s">
        <v>107</v>
      </c>
      <c r="M1240">
        <f>orders[[#This Row],[Ship Date]]-orders[[#This Row],[Order Date]]</f>
        <v>1</v>
      </c>
      <c r="N1240">
        <f>WEEKNUM(orders[[#This Row],[Order Date]],2)</f>
        <v>8</v>
      </c>
      <c r="O1240" t="str" cm="1">
        <f t="array" ref="O12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41" spans="1:15" x14ac:dyDescent="0.3">
      <c r="A1241" t="s">
        <v>1335</v>
      </c>
      <c r="B1241" t="s">
        <v>13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24</v>
      </c>
      <c r="I1241" t="s">
        <v>15</v>
      </c>
      <c r="J1241">
        <v>4</v>
      </c>
      <c r="K1241" t="s">
        <v>16</v>
      </c>
      <c r="L1241" t="s">
        <v>110</v>
      </c>
      <c r="M1241">
        <f>orders[[#This Row],[Ship Date]]-orders[[#This Row],[Order Date]]</f>
        <v>8</v>
      </c>
      <c r="N1241">
        <f>WEEKNUM(orders[[#This Row],[Order Date]],2)</f>
        <v>8</v>
      </c>
      <c r="O1241" t="str" cm="1">
        <f t="array" ref="O12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42" spans="1:15" x14ac:dyDescent="0.3">
      <c r="A1242" t="s">
        <v>1336</v>
      </c>
      <c r="B1242" t="s">
        <v>19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14</v>
      </c>
      <c r="I1242" t="s">
        <v>37</v>
      </c>
      <c r="J1242">
        <v>5</v>
      </c>
      <c r="K1242" t="s">
        <v>16</v>
      </c>
      <c r="L1242" t="s">
        <v>79</v>
      </c>
      <c r="M1242">
        <f>orders[[#This Row],[Ship Date]]-orders[[#This Row],[Order Date]]</f>
        <v>1</v>
      </c>
      <c r="N1242">
        <f>WEEKNUM(orders[[#This Row],[Order Date]],2)</f>
        <v>8</v>
      </c>
      <c r="O1242" t="str" cm="1">
        <f t="array" ref="O124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43" spans="1:15" x14ac:dyDescent="0.3">
      <c r="A1243" t="s">
        <v>1337</v>
      </c>
      <c r="B1243" t="s">
        <v>23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24</v>
      </c>
      <c r="I1243" t="s">
        <v>67</v>
      </c>
      <c r="J1243">
        <v>4</v>
      </c>
      <c r="K1243" t="s">
        <v>16</v>
      </c>
      <c r="L1243" t="s">
        <v>112</v>
      </c>
      <c r="M1243">
        <f>orders[[#This Row],[Ship Date]]-orders[[#This Row],[Order Date]]</f>
        <v>6</v>
      </c>
      <c r="N1243">
        <f>WEEKNUM(orders[[#This Row],[Order Date]],2)</f>
        <v>8</v>
      </c>
      <c r="O1243" t="str" cm="1">
        <f t="array" ref="O12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44" spans="1:15" x14ac:dyDescent="0.3">
      <c r="A1244" t="s">
        <v>1338</v>
      </c>
      <c r="B1244" t="s">
        <v>29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24</v>
      </c>
      <c r="I1244" t="s">
        <v>15</v>
      </c>
      <c r="J1244">
        <v>4</v>
      </c>
      <c r="K1244" t="s">
        <v>16</v>
      </c>
      <c r="L1244" t="s">
        <v>964</v>
      </c>
      <c r="M1244">
        <f>orders[[#This Row],[Ship Date]]-orders[[#This Row],[Order Date]]</f>
        <v>3</v>
      </c>
      <c r="N1244">
        <f>WEEKNUM(orders[[#This Row],[Order Date]],2)</f>
        <v>8</v>
      </c>
      <c r="O1244" t="str" cm="1">
        <f t="array" ref="O12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45" spans="1:15" x14ac:dyDescent="0.3">
      <c r="A1245" t="s">
        <v>1339</v>
      </c>
      <c r="B1245" t="s">
        <v>51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24</v>
      </c>
      <c r="I1245" t="s">
        <v>48</v>
      </c>
      <c r="J1245">
        <v>5</v>
      </c>
      <c r="K1245" t="s">
        <v>16</v>
      </c>
      <c r="L1245" t="s">
        <v>21</v>
      </c>
      <c r="M1245">
        <f>orders[[#This Row],[Ship Date]]-orders[[#This Row],[Order Date]]</f>
        <v>2</v>
      </c>
      <c r="N1245">
        <f>WEEKNUM(orders[[#This Row],[Order Date]],2)</f>
        <v>8</v>
      </c>
      <c r="O1245" t="str" cm="1">
        <f t="array" ref="O12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46" spans="1:15" x14ac:dyDescent="0.3">
      <c r="A1246" t="s">
        <v>1340</v>
      </c>
      <c r="B1246" t="s">
        <v>39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24</v>
      </c>
      <c r="I1246" t="s">
        <v>15</v>
      </c>
      <c r="J1246">
        <v>1</v>
      </c>
      <c r="K1246" t="s">
        <v>16</v>
      </c>
      <c r="L1246" t="s">
        <v>21</v>
      </c>
      <c r="M1246">
        <f>orders[[#This Row],[Ship Date]]-orders[[#This Row],[Order Date]]</f>
        <v>2</v>
      </c>
      <c r="N1246">
        <f>WEEKNUM(orders[[#This Row],[Order Date]],2)</f>
        <v>8</v>
      </c>
      <c r="O1246" t="str" cm="1">
        <f t="array" ref="O12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47" spans="1:15" x14ac:dyDescent="0.3">
      <c r="A1247" t="s">
        <v>1341</v>
      </c>
      <c r="B1247" t="s">
        <v>132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20</v>
      </c>
      <c r="I1247" t="s">
        <v>32</v>
      </c>
      <c r="J1247">
        <v>3</v>
      </c>
      <c r="K1247" t="s">
        <v>16</v>
      </c>
      <c r="L1247" t="s">
        <v>25</v>
      </c>
      <c r="M1247">
        <f>orders[[#This Row],[Ship Date]]-orders[[#This Row],[Order Date]]</f>
        <v>1</v>
      </c>
      <c r="N1247">
        <f>WEEKNUM(orders[[#This Row],[Order Date]],2)</f>
        <v>8</v>
      </c>
      <c r="O1247" t="str" cm="1">
        <f t="array" ref="O124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48" spans="1:15" x14ac:dyDescent="0.3">
      <c r="A1248" t="s">
        <v>1342</v>
      </c>
      <c r="B1248" t="s">
        <v>51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20</v>
      </c>
      <c r="I1248" t="s">
        <v>15</v>
      </c>
      <c r="J1248">
        <v>4</v>
      </c>
      <c r="K1248" t="s">
        <v>16</v>
      </c>
      <c r="L1248" t="s">
        <v>30</v>
      </c>
      <c r="M1248">
        <f>orders[[#This Row],[Ship Date]]-orders[[#This Row],[Order Date]]</f>
        <v>1</v>
      </c>
      <c r="N1248">
        <f>WEEKNUM(orders[[#This Row],[Order Date]],2)</f>
        <v>8</v>
      </c>
      <c r="O1248" t="str" cm="1">
        <f t="array" ref="O12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49" spans="1:15" x14ac:dyDescent="0.3">
      <c r="A1249" t="s">
        <v>1343</v>
      </c>
      <c r="B1249" t="s">
        <v>23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24</v>
      </c>
      <c r="I1249" t="s">
        <v>67</v>
      </c>
      <c r="J1249">
        <v>2</v>
      </c>
      <c r="K1249" t="s">
        <v>16</v>
      </c>
      <c r="L1249" t="s">
        <v>30</v>
      </c>
      <c r="M1249">
        <f>orders[[#This Row],[Ship Date]]-orders[[#This Row],[Order Date]]</f>
        <v>3</v>
      </c>
      <c r="N1249">
        <f>WEEKNUM(orders[[#This Row],[Order Date]],2)</f>
        <v>8</v>
      </c>
      <c r="O1249" t="str" cm="1">
        <f t="array" ref="O12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50" spans="1:15" x14ac:dyDescent="0.3">
      <c r="A1250" t="s">
        <v>1344</v>
      </c>
      <c r="B1250" t="s">
        <v>41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20</v>
      </c>
      <c r="I1250" t="s">
        <v>67</v>
      </c>
      <c r="J1250">
        <v>3</v>
      </c>
      <c r="K1250" t="s">
        <v>16</v>
      </c>
      <c r="L1250" t="s">
        <v>30</v>
      </c>
      <c r="M1250">
        <f>orders[[#This Row],[Ship Date]]-orders[[#This Row],[Order Date]]</f>
        <v>0</v>
      </c>
      <c r="N1250">
        <f>WEEKNUM(orders[[#This Row],[Order Date]],2)</f>
        <v>8</v>
      </c>
      <c r="O1250" t="str" cm="1">
        <f t="array" ref="O12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51" spans="1:15" x14ac:dyDescent="0.3">
      <c r="A1251" t="s">
        <v>1345</v>
      </c>
      <c r="B1251" t="s">
        <v>13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24</v>
      </c>
      <c r="I1251" t="s">
        <v>37</v>
      </c>
      <c r="J1251">
        <v>4</v>
      </c>
      <c r="K1251" t="s">
        <v>16</v>
      </c>
      <c r="L1251" t="s">
        <v>30</v>
      </c>
      <c r="M1251">
        <f>orders[[#This Row],[Ship Date]]-orders[[#This Row],[Order Date]]</f>
        <v>2</v>
      </c>
      <c r="N1251">
        <f>WEEKNUM(orders[[#This Row],[Order Date]],2)</f>
        <v>8</v>
      </c>
      <c r="O1251" t="str" cm="1">
        <f t="array" ref="O12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52" spans="1:15" x14ac:dyDescent="0.3">
      <c r="A1252" t="s">
        <v>1346</v>
      </c>
      <c r="B1252" t="s">
        <v>120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20</v>
      </c>
      <c r="I1252" t="s">
        <v>15</v>
      </c>
      <c r="J1252">
        <v>4</v>
      </c>
      <c r="K1252" t="s">
        <v>16</v>
      </c>
      <c r="L1252" t="s">
        <v>30</v>
      </c>
      <c r="M1252">
        <f>orders[[#This Row],[Ship Date]]-orders[[#This Row],[Order Date]]</f>
        <v>5</v>
      </c>
      <c r="N1252">
        <f>WEEKNUM(orders[[#This Row],[Order Date]],2)</f>
        <v>8</v>
      </c>
      <c r="O1252" t="str" cm="1">
        <f t="array" ref="O12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53" spans="1:15" x14ac:dyDescent="0.3">
      <c r="A1253" t="s">
        <v>1347</v>
      </c>
      <c r="B1253" t="s">
        <v>143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14</v>
      </c>
      <c r="I1253" t="s">
        <v>15</v>
      </c>
      <c r="J1253">
        <v>5</v>
      </c>
      <c r="K1253" t="s">
        <v>16</v>
      </c>
      <c r="L1253" t="s">
        <v>30</v>
      </c>
      <c r="M1253">
        <f>orders[[#This Row],[Ship Date]]-orders[[#This Row],[Order Date]]</f>
        <v>5</v>
      </c>
      <c r="N1253">
        <f>WEEKNUM(orders[[#This Row],[Order Date]],2)</f>
        <v>8</v>
      </c>
      <c r="O1253" t="str" cm="1">
        <f t="array" ref="O125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54" spans="1:15" x14ac:dyDescent="0.3">
      <c r="A1254" t="s">
        <v>1348</v>
      </c>
      <c r="B1254" t="s">
        <v>43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24</v>
      </c>
      <c r="I1254" t="s">
        <v>15</v>
      </c>
      <c r="J1254">
        <v>3</v>
      </c>
      <c r="K1254" t="s">
        <v>16</v>
      </c>
      <c r="L1254" t="s">
        <v>30</v>
      </c>
      <c r="M1254">
        <f>orders[[#This Row],[Ship Date]]-orders[[#This Row],[Order Date]]</f>
        <v>1</v>
      </c>
      <c r="N1254">
        <f>WEEKNUM(orders[[#This Row],[Order Date]],2)</f>
        <v>8</v>
      </c>
      <c r="O1254" t="str" cm="1">
        <f t="array" ref="O12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55" spans="1:15" x14ac:dyDescent="0.3">
      <c r="A1255" t="s">
        <v>1349</v>
      </c>
      <c r="B1255" t="s">
        <v>19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24</v>
      </c>
      <c r="I1255" t="s">
        <v>67</v>
      </c>
      <c r="J1255">
        <v>5</v>
      </c>
      <c r="K1255" t="s">
        <v>16</v>
      </c>
      <c r="L1255" t="s">
        <v>30</v>
      </c>
      <c r="M1255">
        <f>orders[[#This Row],[Ship Date]]-orders[[#This Row],[Order Date]]</f>
        <v>0</v>
      </c>
      <c r="N1255">
        <f>WEEKNUM(orders[[#This Row],[Order Date]],2)</f>
        <v>8</v>
      </c>
      <c r="O1255" t="str" cm="1">
        <f t="array" ref="O12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56" spans="1:15" x14ac:dyDescent="0.3">
      <c r="A1256" t="s">
        <v>1350</v>
      </c>
      <c r="B1256" t="s">
        <v>19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24</v>
      </c>
      <c r="I1256" t="s">
        <v>15</v>
      </c>
      <c r="J1256">
        <v>5</v>
      </c>
      <c r="K1256" t="s">
        <v>16</v>
      </c>
      <c r="L1256" t="s">
        <v>49</v>
      </c>
      <c r="M1256">
        <f>orders[[#This Row],[Ship Date]]-orders[[#This Row],[Order Date]]</f>
        <v>1</v>
      </c>
      <c r="N1256">
        <f>WEEKNUM(orders[[#This Row],[Order Date]],2)</f>
        <v>8</v>
      </c>
      <c r="O1256" t="str" cm="1">
        <f t="array" ref="O12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57" spans="1:15" x14ac:dyDescent="0.3">
      <c r="A1257" t="s">
        <v>1351</v>
      </c>
      <c r="B1257" t="s">
        <v>64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24</v>
      </c>
      <c r="I1257" t="s">
        <v>32</v>
      </c>
      <c r="J1257">
        <v>4</v>
      </c>
      <c r="K1257" t="s">
        <v>16</v>
      </c>
      <c r="L1257" t="s">
        <v>49</v>
      </c>
      <c r="M1257">
        <f>orders[[#This Row],[Ship Date]]-orders[[#This Row],[Order Date]]</f>
        <v>1</v>
      </c>
      <c r="N1257">
        <f>WEEKNUM(orders[[#This Row],[Order Date]],2)</f>
        <v>8</v>
      </c>
      <c r="O1257" t="str" cm="1">
        <f t="array" ref="O12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58" spans="1:15" x14ac:dyDescent="0.3">
      <c r="A1258" t="s">
        <v>1352</v>
      </c>
      <c r="B1258" t="s">
        <v>19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20</v>
      </c>
      <c r="I1258" t="s">
        <v>32</v>
      </c>
      <c r="J1258">
        <v>5</v>
      </c>
      <c r="K1258" t="s">
        <v>16</v>
      </c>
      <c r="L1258" t="s">
        <v>52</v>
      </c>
      <c r="M1258">
        <f>orders[[#This Row],[Ship Date]]-orders[[#This Row],[Order Date]]</f>
        <v>2</v>
      </c>
      <c r="N1258">
        <f>WEEKNUM(orders[[#This Row],[Order Date]],2)</f>
        <v>8</v>
      </c>
      <c r="O1258" t="str" cm="1">
        <f t="array" ref="O125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59" spans="1:15" x14ac:dyDescent="0.3">
      <c r="A1259" t="s">
        <v>1353</v>
      </c>
      <c r="B1259" t="s">
        <v>23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20</v>
      </c>
      <c r="I1259" t="s">
        <v>32</v>
      </c>
      <c r="J1259">
        <v>3</v>
      </c>
      <c r="K1259" t="s">
        <v>16</v>
      </c>
      <c r="L1259" t="s">
        <v>52</v>
      </c>
      <c r="M1259">
        <f>orders[[#This Row],[Ship Date]]-orders[[#This Row],[Order Date]]</f>
        <v>1</v>
      </c>
      <c r="N1259">
        <f>WEEKNUM(orders[[#This Row],[Order Date]],2)</f>
        <v>8</v>
      </c>
      <c r="O1259" t="str" cm="1">
        <f t="array" ref="O12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0" spans="1:15" x14ac:dyDescent="0.3">
      <c r="A1260" t="s">
        <v>1354</v>
      </c>
      <c r="B1260" t="s">
        <v>51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20</v>
      </c>
      <c r="I1260" t="s">
        <v>15</v>
      </c>
      <c r="J1260">
        <v>4</v>
      </c>
      <c r="K1260" t="s">
        <v>16</v>
      </c>
      <c r="L1260" t="s">
        <v>52</v>
      </c>
      <c r="M1260">
        <f>orders[[#This Row],[Ship Date]]-orders[[#This Row],[Order Date]]</f>
        <v>1</v>
      </c>
      <c r="N1260">
        <f>WEEKNUM(orders[[#This Row],[Order Date]],2)</f>
        <v>8</v>
      </c>
      <c r="O1260" t="str" cm="1">
        <f t="array" ref="O12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1" spans="1:15" x14ac:dyDescent="0.3">
      <c r="A1261" t="s">
        <v>1355</v>
      </c>
      <c r="B1261" t="s">
        <v>39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20</v>
      </c>
      <c r="I1261" t="s">
        <v>67</v>
      </c>
      <c r="J1261">
        <v>4</v>
      </c>
      <c r="K1261" t="s">
        <v>16</v>
      </c>
      <c r="L1261" t="s">
        <v>52</v>
      </c>
      <c r="M1261">
        <f>orders[[#This Row],[Ship Date]]-orders[[#This Row],[Order Date]]</f>
        <v>2</v>
      </c>
      <c r="N1261">
        <f>WEEKNUM(orders[[#This Row],[Order Date]],2)</f>
        <v>8</v>
      </c>
      <c r="O1261" t="str" cm="1">
        <f t="array" ref="O12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2" spans="1:15" x14ac:dyDescent="0.3">
      <c r="A1262" t="s">
        <v>1356</v>
      </c>
      <c r="B1262" t="s">
        <v>41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20</v>
      </c>
      <c r="I1262" t="s">
        <v>67</v>
      </c>
      <c r="J1262">
        <v>4</v>
      </c>
      <c r="K1262" t="s">
        <v>16</v>
      </c>
      <c r="L1262" t="s">
        <v>56</v>
      </c>
      <c r="M1262">
        <f>orders[[#This Row],[Ship Date]]-orders[[#This Row],[Order Date]]</f>
        <v>1</v>
      </c>
      <c r="N1262">
        <f>WEEKNUM(orders[[#This Row],[Order Date]],2)</f>
        <v>8</v>
      </c>
      <c r="O1262" t="str" cm="1">
        <f t="array" ref="O126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3" spans="1:15" x14ac:dyDescent="0.3">
      <c r="A1263" t="s">
        <v>1357</v>
      </c>
      <c r="B1263" t="s">
        <v>23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20</v>
      </c>
      <c r="I1263" t="s">
        <v>32</v>
      </c>
      <c r="J1263">
        <v>5</v>
      </c>
      <c r="K1263" t="s">
        <v>16</v>
      </c>
      <c r="L1263" t="s">
        <v>59</v>
      </c>
      <c r="M1263">
        <f>orders[[#This Row],[Ship Date]]-orders[[#This Row],[Order Date]]</f>
        <v>1</v>
      </c>
      <c r="N1263">
        <f>WEEKNUM(orders[[#This Row],[Order Date]],2)</f>
        <v>8</v>
      </c>
      <c r="O1263" t="str" cm="1">
        <f t="array" ref="O12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4" spans="1:15" x14ac:dyDescent="0.3">
      <c r="A1264" t="s">
        <v>1358</v>
      </c>
      <c r="B1264" t="s">
        <v>43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20</v>
      </c>
      <c r="I1264" t="s">
        <v>15</v>
      </c>
      <c r="J1264">
        <v>4</v>
      </c>
      <c r="K1264" t="s">
        <v>16</v>
      </c>
      <c r="L1264" t="s">
        <v>59</v>
      </c>
      <c r="M1264">
        <f>orders[[#This Row],[Ship Date]]-orders[[#This Row],[Order Date]]</f>
        <v>2</v>
      </c>
      <c r="N1264">
        <f>WEEKNUM(orders[[#This Row],[Order Date]],2)</f>
        <v>8</v>
      </c>
      <c r="O1264" t="str" cm="1">
        <f t="array" ref="O12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5" spans="1:15" x14ac:dyDescent="0.3">
      <c r="A1265" t="s">
        <v>1359</v>
      </c>
      <c r="B1265" t="s">
        <v>43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20</v>
      </c>
      <c r="I1265" t="s">
        <v>15</v>
      </c>
      <c r="J1265">
        <v>5</v>
      </c>
      <c r="K1265" t="s">
        <v>16</v>
      </c>
      <c r="L1265" t="s">
        <v>59</v>
      </c>
      <c r="M1265">
        <f>orders[[#This Row],[Ship Date]]-orders[[#This Row],[Order Date]]</f>
        <v>0</v>
      </c>
      <c r="N1265">
        <f>WEEKNUM(orders[[#This Row],[Order Date]],2)</f>
        <v>8</v>
      </c>
      <c r="O1265" t="str" cm="1">
        <f t="array" ref="O12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6" spans="1:15" x14ac:dyDescent="0.3">
      <c r="A1266" t="s">
        <v>1360</v>
      </c>
      <c r="B1266" t="s">
        <v>51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24</v>
      </c>
      <c r="I1266" t="s">
        <v>15</v>
      </c>
      <c r="J1266">
        <v>3</v>
      </c>
      <c r="K1266" t="s">
        <v>16</v>
      </c>
      <c r="L1266" t="s">
        <v>59</v>
      </c>
      <c r="M1266">
        <f>orders[[#This Row],[Ship Date]]-orders[[#This Row],[Order Date]]</f>
        <v>3</v>
      </c>
      <c r="N1266">
        <f>WEEKNUM(orders[[#This Row],[Order Date]],2)</f>
        <v>8</v>
      </c>
      <c r="O1266" t="str" cm="1">
        <f t="array" ref="O12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67" spans="1:15" x14ac:dyDescent="0.3">
      <c r="A1267" t="s">
        <v>1361</v>
      </c>
      <c r="B1267" t="s">
        <v>13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24</v>
      </c>
      <c r="I1267" t="s">
        <v>67</v>
      </c>
      <c r="J1267">
        <v>5</v>
      </c>
      <c r="K1267" t="s">
        <v>16</v>
      </c>
      <c r="L1267" t="s">
        <v>59</v>
      </c>
      <c r="M1267">
        <f>orders[[#This Row],[Ship Date]]-orders[[#This Row],[Order Date]]</f>
        <v>2</v>
      </c>
      <c r="N1267">
        <f>WEEKNUM(orders[[#This Row],[Order Date]],2)</f>
        <v>8</v>
      </c>
      <c r="O1267" t="str" cm="1">
        <f t="array" ref="O12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68" spans="1:15" x14ac:dyDescent="0.3">
      <c r="A1268" t="s">
        <v>1362</v>
      </c>
      <c r="B1268" t="s">
        <v>168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20</v>
      </c>
      <c r="I1268" t="s">
        <v>32</v>
      </c>
      <c r="J1268">
        <v>4</v>
      </c>
      <c r="K1268" t="s">
        <v>16</v>
      </c>
      <c r="L1268" t="s">
        <v>59</v>
      </c>
      <c r="M1268">
        <f>orders[[#This Row],[Ship Date]]-orders[[#This Row],[Order Date]]</f>
        <v>2</v>
      </c>
      <c r="N1268">
        <f>WEEKNUM(orders[[#This Row],[Order Date]],2)</f>
        <v>8</v>
      </c>
      <c r="O1268" t="str" cm="1">
        <f t="array" ref="O12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69" spans="1:15" x14ac:dyDescent="0.3">
      <c r="A1269" t="s">
        <v>1363</v>
      </c>
      <c r="B1269" t="s">
        <v>143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20</v>
      </c>
      <c r="I1269" t="s">
        <v>15</v>
      </c>
      <c r="J1269">
        <v>4</v>
      </c>
      <c r="K1269" t="s">
        <v>16</v>
      </c>
      <c r="L1269" t="s">
        <v>59</v>
      </c>
      <c r="M1269">
        <f>orders[[#This Row],[Ship Date]]-orders[[#This Row],[Order Date]]</f>
        <v>3</v>
      </c>
      <c r="N1269">
        <f>WEEKNUM(orders[[#This Row],[Order Date]],2)</f>
        <v>8</v>
      </c>
      <c r="O1269" t="str" cm="1">
        <f t="array" ref="O126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70" spans="1:15" x14ac:dyDescent="0.3">
      <c r="A1270" t="s">
        <v>1364</v>
      </c>
      <c r="B1270" t="s">
        <v>39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24</v>
      </c>
      <c r="I1270" t="s">
        <v>15</v>
      </c>
      <c r="J1270">
        <v>4</v>
      </c>
      <c r="K1270" t="s">
        <v>16</v>
      </c>
      <c r="L1270" t="s">
        <v>100</v>
      </c>
      <c r="M1270">
        <f>orders[[#This Row],[Ship Date]]-orders[[#This Row],[Order Date]]</f>
        <v>4</v>
      </c>
      <c r="N1270">
        <f>WEEKNUM(orders[[#This Row],[Order Date]],2)</f>
        <v>8</v>
      </c>
      <c r="O1270" t="str" cm="1">
        <f t="array" ref="O12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71" spans="1:15" x14ac:dyDescent="0.3">
      <c r="A1271" t="s">
        <v>1365</v>
      </c>
      <c r="B1271" t="s">
        <v>27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24</v>
      </c>
      <c r="I1271" t="s">
        <v>15</v>
      </c>
      <c r="J1271">
        <v>3</v>
      </c>
      <c r="K1271" t="s">
        <v>16</v>
      </c>
      <c r="L1271" t="s">
        <v>100</v>
      </c>
      <c r="M1271">
        <f>orders[[#This Row],[Ship Date]]-orders[[#This Row],[Order Date]]</f>
        <v>3</v>
      </c>
      <c r="N1271">
        <f>WEEKNUM(orders[[#This Row],[Order Date]],2)</f>
        <v>8</v>
      </c>
      <c r="O1271" t="str" cm="1">
        <f t="array" ref="O12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72" spans="1:15" x14ac:dyDescent="0.3">
      <c r="A1272" t="s">
        <v>1366</v>
      </c>
      <c r="B1272" t="s">
        <v>64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24</v>
      </c>
      <c r="I1272" t="s">
        <v>15</v>
      </c>
      <c r="J1272">
        <v>3</v>
      </c>
      <c r="K1272" t="s">
        <v>16</v>
      </c>
      <c r="L1272" t="s">
        <v>100</v>
      </c>
      <c r="M1272">
        <f>orders[[#This Row],[Ship Date]]-orders[[#This Row],[Order Date]]</f>
        <v>1</v>
      </c>
      <c r="N1272">
        <f>WEEKNUM(orders[[#This Row],[Order Date]],2)</f>
        <v>8</v>
      </c>
      <c r="O1272" t="str" cm="1">
        <f t="array" ref="O12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73" spans="1:15" x14ac:dyDescent="0.3">
      <c r="A1273" t="s">
        <v>1367</v>
      </c>
      <c r="B1273" t="s">
        <v>125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20</v>
      </c>
      <c r="I1273" t="s">
        <v>32</v>
      </c>
      <c r="J1273">
        <v>4</v>
      </c>
      <c r="K1273" t="s">
        <v>16</v>
      </c>
      <c r="L1273" t="s">
        <v>198</v>
      </c>
      <c r="M1273">
        <f>orders[[#This Row],[Ship Date]]-orders[[#This Row],[Order Date]]</f>
        <v>0</v>
      </c>
      <c r="N1273">
        <f>WEEKNUM(orders[[#This Row],[Order Date]],2)</f>
        <v>8</v>
      </c>
      <c r="O1273" t="str" cm="1">
        <f t="array" ref="O12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74" spans="1:15" x14ac:dyDescent="0.3">
      <c r="A1274" t="s">
        <v>1368</v>
      </c>
      <c r="B1274" t="s">
        <v>29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20</v>
      </c>
      <c r="I1274" t="s">
        <v>32</v>
      </c>
      <c r="J1274">
        <v>4</v>
      </c>
      <c r="K1274" t="s">
        <v>16</v>
      </c>
      <c r="L1274" t="s">
        <v>71</v>
      </c>
      <c r="M1274">
        <f>orders[[#This Row],[Ship Date]]-orders[[#This Row],[Order Date]]</f>
        <v>3</v>
      </c>
      <c r="N1274">
        <f>WEEKNUM(orders[[#This Row],[Order Date]],2)</f>
        <v>8</v>
      </c>
      <c r="O1274" t="str" cm="1">
        <f t="array" ref="O12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75" spans="1:15" x14ac:dyDescent="0.3">
      <c r="A1275" t="s">
        <v>1369</v>
      </c>
      <c r="B1275" t="s">
        <v>66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24</v>
      </c>
      <c r="I1275" t="s">
        <v>48</v>
      </c>
      <c r="J1275">
        <v>4</v>
      </c>
      <c r="K1275" t="s">
        <v>16</v>
      </c>
      <c r="L1275" t="s">
        <v>74</v>
      </c>
      <c r="M1275">
        <f>orders[[#This Row],[Ship Date]]-orders[[#This Row],[Order Date]]</f>
        <v>0</v>
      </c>
      <c r="N1275">
        <f>WEEKNUM(orders[[#This Row],[Order Date]],2)</f>
        <v>8</v>
      </c>
      <c r="O1275" t="str" cm="1">
        <f t="array" ref="O12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76" spans="1:15" x14ac:dyDescent="0.3">
      <c r="A1276" t="s">
        <v>1370</v>
      </c>
      <c r="B1276" t="s">
        <v>23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24</v>
      </c>
      <c r="I1276" t="s">
        <v>15</v>
      </c>
      <c r="J1276">
        <v>3</v>
      </c>
      <c r="K1276" t="s">
        <v>16</v>
      </c>
      <c r="L1276" t="s">
        <v>74</v>
      </c>
      <c r="M1276">
        <f>orders[[#This Row],[Ship Date]]-orders[[#This Row],[Order Date]]</f>
        <v>2</v>
      </c>
      <c r="N1276">
        <f>WEEKNUM(orders[[#This Row],[Order Date]],2)</f>
        <v>8</v>
      </c>
      <c r="O1276" t="str" cm="1">
        <f t="array" ref="O12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77" spans="1:15" x14ac:dyDescent="0.3">
      <c r="A1277" t="s">
        <v>1371</v>
      </c>
      <c r="B1277" t="s">
        <v>19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24</v>
      </c>
      <c r="I1277" t="s">
        <v>32</v>
      </c>
      <c r="J1277">
        <v>4</v>
      </c>
      <c r="K1277" t="s">
        <v>16</v>
      </c>
      <c r="L1277" t="s">
        <v>74</v>
      </c>
      <c r="M1277">
        <f>orders[[#This Row],[Ship Date]]-orders[[#This Row],[Order Date]]</f>
        <v>1</v>
      </c>
      <c r="N1277">
        <f>WEEKNUM(orders[[#This Row],[Order Date]],2)</f>
        <v>8</v>
      </c>
      <c r="O1277" t="str" cm="1">
        <f t="array" ref="O12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78" spans="1:15" x14ac:dyDescent="0.3">
      <c r="A1278" t="s">
        <v>1372</v>
      </c>
      <c r="B1278" t="s">
        <v>41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24</v>
      </c>
      <c r="I1278" t="s">
        <v>15</v>
      </c>
      <c r="J1278">
        <v>4</v>
      </c>
      <c r="K1278" t="s">
        <v>16</v>
      </c>
      <c r="L1278" t="s">
        <v>74</v>
      </c>
      <c r="M1278">
        <f>orders[[#This Row],[Ship Date]]-orders[[#This Row],[Order Date]]</f>
        <v>2</v>
      </c>
      <c r="N1278">
        <f>WEEKNUM(orders[[#This Row],[Order Date]],2)</f>
        <v>8</v>
      </c>
      <c r="O1278" t="str" cm="1">
        <f t="array" ref="O12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79" spans="1:15" x14ac:dyDescent="0.3">
      <c r="A1279" t="s">
        <v>1373</v>
      </c>
      <c r="B1279" t="s">
        <v>34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14</v>
      </c>
      <c r="I1279" t="s">
        <v>48</v>
      </c>
      <c r="J1279">
        <v>5</v>
      </c>
      <c r="K1279" t="s">
        <v>16</v>
      </c>
      <c r="L1279" t="s">
        <v>74</v>
      </c>
      <c r="M1279">
        <f>orders[[#This Row],[Ship Date]]-orders[[#This Row],[Order Date]]</f>
        <v>1</v>
      </c>
      <c r="N1279">
        <f>WEEKNUM(orders[[#This Row],[Order Date]],2)</f>
        <v>8</v>
      </c>
      <c r="O1279" t="str" cm="1">
        <f t="array" ref="O127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80" spans="1:15" x14ac:dyDescent="0.3">
      <c r="A1280" t="s">
        <v>1374</v>
      </c>
      <c r="B1280" t="s">
        <v>23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24</v>
      </c>
      <c r="I1280" t="s">
        <v>32</v>
      </c>
      <c r="J1280">
        <v>2</v>
      </c>
      <c r="K1280" t="s">
        <v>16</v>
      </c>
      <c r="L1280" t="s">
        <v>1113</v>
      </c>
      <c r="M1280">
        <f>orders[[#This Row],[Ship Date]]-orders[[#This Row],[Order Date]]</f>
        <v>1</v>
      </c>
      <c r="N1280">
        <f>WEEKNUM(orders[[#This Row],[Order Date]],2)</f>
        <v>8</v>
      </c>
      <c r="O1280" t="str" cm="1">
        <f t="array" ref="O12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81" spans="1:15" x14ac:dyDescent="0.3">
      <c r="A1281" t="s">
        <v>1375</v>
      </c>
      <c r="B1281" t="s">
        <v>41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24</v>
      </c>
      <c r="I1281" t="s">
        <v>67</v>
      </c>
      <c r="J1281">
        <v>4</v>
      </c>
      <c r="K1281" t="s">
        <v>16</v>
      </c>
      <c r="L1281" t="s">
        <v>265</v>
      </c>
      <c r="M1281">
        <f>orders[[#This Row],[Ship Date]]-orders[[#This Row],[Order Date]]</f>
        <v>1</v>
      </c>
      <c r="N1281">
        <f>WEEKNUM(orders[[#This Row],[Order Date]],2)</f>
        <v>8</v>
      </c>
      <c r="O1281" t="str" cm="1">
        <f t="array" ref="O12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82" spans="1:15" x14ac:dyDescent="0.3">
      <c r="A1282" t="s">
        <v>1376</v>
      </c>
      <c r="B1282" t="s">
        <v>34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24</v>
      </c>
      <c r="I1282" t="s">
        <v>48</v>
      </c>
      <c r="J1282">
        <v>4</v>
      </c>
      <c r="K1282" t="s">
        <v>16</v>
      </c>
      <c r="L1282" t="s">
        <v>79</v>
      </c>
      <c r="M1282">
        <f>orders[[#This Row],[Ship Date]]-orders[[#This Row],[Order Date]]</f>
        <v>4</v>
      </c>
      <c r="N1282">
        <f>WEEKNUM(orders[[#This Row],[Order Date]],2)</f>
        <v>8</v>
      </c>
      <c r="O1282" t="str" cm="1">
        <f t="array" ref="O12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83" spans="1:15" x14ac:dyDescent="0.3">
      <c r="A1283" t="s">
        <v>1377</v>
      </c>
      <c r="B1283" t="s">
        <v>19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24</v>
      </c>
      <c r="I1283" t="s">
        <v>15</v>
      </c>
      <c r="J1283">
        <v>5</v>
      </c>
      <c r="K1283" t="s">
        <v>16</v>
      </c>
      <c r="L1283" t="s">
        <v>112</v>
      </c>
      <c r="M1283">
        <f>orders[[#This Row],[Ship Date]]-orders[[#This Row],[Order Date]]</f>
        <v>1</v>
      </c>
      <c r="N1283">
        <f>WEEKNUM(orders[[#This Row],[Order Date]],2)</f>
        <v>8</v>
      </c>
      <c r="O1283" t="str" cm="1">
        <f t="array" ref="O12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84" spans="1:15" x14ac:dyDescent="0.3">
      <c r="A1284" t="s">
        <v>1378</v>
      </c>
      <c r="B1284" t="s">
        <v>36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20</v>
      </c>
      <c r="I1284" t="s">
        <v>32</v>
      </c>
      <c r="J1284">
        <v>3</v>
      </c>
      <c r="K1284" t="s">
        <v>16</v>
      </c>
      <c r="L1284" t="s">
        <v>112</v>
      </c>
      <c r="M1284">
        <f>orders[[#This Row],[Ship Date]]-orders[[#This Row],[Order Date]]</f>
        <v>0</v>
      </c>
      <c r="N1284">
        <f>WEEKNUM(orders[[#This Row],[Order Date]],2)</f>
        <v>8</v>
      </c>
      <c r="O1284" t="str" cm="1">
        <f t="array" ref="O12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85" spans="1:15" x14ac:dyDescent="0.3">
      <c r="A1285" t="s">
        <v>1379</v>
      </c>
      <c r="B1285" t="s">
        <v>36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24</v>
      </c>
      <c r="I1285" t="s">
        <v>15</v>
      </c>
      <c r="J1285">
        <v>5</v>
      </c>
      <c r="K1285" t="s">
        <v>16</v>
      </c>
      <c r="L1285" t="s">
        <v>1380</v>
      </c>
      <c r="M1285">
        <f>orders[[#This Row],[Ship Date]]-orders[[#This Row],[Order Date]]</f>
        <v>1</v>
      </c>
      <c r="N1285">
        <f>WEEKNUM(orders[[#This Row],[Order Date]],2)</f>
        <v>8</v>
      </c>
      <c r="O1285" t="str" cm="1">
        <f t="array" ref="O12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86" spans="1:15" x14ac:dyDescent="0.3">
      <c r="A1286" t="s">
        <v>1381</v>
      </c>
      <c r="B1286" t="s">
        <v>23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20</v>
      </c>
      <c r="I1286" t="s">
        <v>37</v>
      </c>
      <c r="J1286">
        <v>3</v>
      </c>
      <c r="K1286" t="s">
        <v>16</v>
      </c>
      <c r="L1286" t="s">
        <v>21</v>
      </c>
      <c r="M1286">
        <f>orders[[#This Row],[Ship Date]]-orders[[#This Row],[Order Date]]</f>
        <v>1</v>
      </c>
      <c r="N1286">
        <f>WEEKNUM(orders[[#This Row],[Order Date]],2)</f>
        <v>8</v>
      </c>
      <c r="O1286" t="str" cm="1">
        <f t="array" ref="O12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87" spans="1:15" x14ac:dyDescent="0.3">
      <c r="A1287" t="s">
        <v>1382</v>
      </c>
      <c r="B1287" t="s">
        <v>132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20</v>
      </c>
      <c r="I1287" t="s">
        <v>32</v>
      </c>
      <c r="J1287">
        <v>4</v>
      </c>
      <c r="K1287" t="s">
        <v>16</v>
      </c>
      <c r="L1287" t="s">
        <v>21</v>
      </c>
      <c r="M1287">
        <f>orders[[#This Row],[Ship Date]]-orders[[#This Row],[Order Date]]</f>
        <v>1</v>
      </c>
      <c r="N1287">
        <f>WEEKNUM(orders[[#This Row],[Order Date]],2)</f>
        <v>8</v>
      </c>
      <c r="O1287" t="str" cm="1">
        <f t="array" ref="O12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88" spans="1:15" x14ac:dyDescent="0.3">
      <c r="A1288" t="s">
        <v>1383</v>
      </c>
      <c r="B1288" t="s">
        <v>78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20</v>
      </c>
      <c r="I1288" t="s">
        <v>37</v>
      </c>
      <c r="J1288">
        <v>5</v>
      </c>
      <c r="K1288" t="s">
        <v>16</v>
      </c>
      <c r="L1288" t="s">
        <v>21</v>
      </c>
      <c r="M1288">
        <f>orders[[#This Row],[Ship Date]]-orders[[#This Row],[Order Date]]</f>
        <v>3</v>
      </c>
      <c r="N1288">
        <f>WEEKNUM(orders[[#This Row],[Order Date]],2)</f>
        <v>8</v>
      </c>
      <c r="O1288" t="str" cm="1">
        <f t="array" ref="O128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89" spans="1:15" x14ac:dyDescent="0.3">
      <c r="A1289" t="s">
        <v>1384</v>
      </c>
      <c r="B1289" t="s">
        <v>66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20</v>
      </c>
      <c r="I1289" t="s">
        <v>32</v>
      </c>
      <c r="J1289">
        <v>4</v>
      </c>
      <c r="K1289" t="s">
        <v>16</v>
      </c>
      <c r="L1289" t="s">
        <v>25</v>
      </c>
      <c r="M1289">
        <f>orders[[#This Row],[Ship Date]]-orders[[#This Row],[Order Date]]</f>
        <v>1</v>
      </c>
      <c r="N1289">
        <f>WEEKNUM(orders[[#This Row],[Order Date]],2)</f>
        <v>8</v>
      </c>
      <c r="O1289" t="str" cm="1">
        <f t="array" ref="O12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90" spans="1:15" x14ac:dyDescent="0.3">
      <c r="A1290" t="s">
        <v>1385</v>
      </c>
      <c r="B1290" t="s">
        <v>41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20</v>
      </c>
      <c r="I1290" t="s">
        <v>15</v>
      </c>
      <c r="J1290">
        <v>5</v>
      </c>
      <c r="K1290" t="s">
        <v>16</v>
      </c>
      <c r="L1290" t="s">
        <v>946</v>
      </c>
      <c r="M1290">
        <f>orders[[#This Row],[Ship Date]]-orders[[#This Row],[Order Date]]</f>
        <v>3</v>
      </c>
      <c r="N1290">
        <f>WEEKNUM(orders[[#This Row],[Order Date]],2)</f>
        <v>8</v>
      </c>
      <c r="O1290" t="str" cm="1">
        <f t="array" ref="O12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91" spans="1:15" x14ac:dyDescent="0.3">
      <c r="A1291" t="s">
        <v>1386</v>
      </c>
      <c r="B1291" t="s">
        <v>41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20</v>
      </c>
      <c r="I1291" t="s">
        <v>32</v>
      </c>
      <c r="J1291">
        <v>4</v>
      </c>
      <c r="K1291" t="s">
        <v>16</v>
      </c>
      <c r="L1291" t="s">
        <v>30</v>
      </c>
      <c r="M1291">
        <f>orders[[#This Row],[Ship Date]]-orders[[#This Row],[Order Date]]</f>
        <v>1</v>
      </c>
      <c r="N1291">
        <f>WEEKNUM(orders[[#This Row],[Order Date]],2)</f>
        <v>8</v>
      </c>
      <c r="O1291" t="str" cm="1">
        <f t="array" ref="O12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92" spans="1:15" x14ac:dyDescent="0.3">
      <c r="A1292" t="s">
        <v>1387</v>
      </c>
      <c r="B1292" t="s">
        <v>41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20</v>
      </c>
      <c r="I1292" t="s">
        <v>15</v>
      </c>
      <c r="J1292">
        <v>5</v>
      </c>
      <c r="K1292" t="s">
        <v>16</v>
      </c>
      <c r="L1292" t="s">
        <v>30</v>
      </c>
      <c r="M1292">
        <f>orders[[#This Row],[Ship Date]]-orders[[#This Row],[Order Date]]</f>
        <v>7</v>
      </c>
      <c r="N1292">
        <f>WEEKNUM(orders[[#This Row],[Order Date]],2)</f>
        <v>8</v>
      </c>
      <c r="O1292" t="str" cm="1">
        <f t="array" ref="O12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93" spans="1:15" x14ac:dyDescent="0.3">
      <c r="A1293" t="s">
        <v>1388</v>
      </c>
      <c r="B1293" t="s">
        <v>29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24</v>
      </c>
      <c r="I1293" t="s">
        <v>15</v>
      </c>
      <c r="J1293">
        <v>4</v>
      </c>
      <c r="K1293" t="s">
        <v>16</v>
      </c>
      <c r="L1293" t="s">
        <v>30</v>
      </c>
      <c r="M1293">
        <f>orders[[#This Row],[Ship Date]]-orders[[#This Row],[Order Date]]</f>
        <v>0</v>
      </c>
      <c r="N1293">
        <f>WEEKNUM(orders[[#This Row],[Order Date]],2)</f>
        <v>8</v>
      </c>
      <c r="O1293" t="str" cm="1">
        <f t="array" ref="O12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94" spans="1:15" x14ac:dyDescent="0.3">
      <c r="A1294" t="s">
        <v>1389</v>
      </c>
      <c r="B1294" t="s">
        <v>19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20</v>
      </c>
      <c r="I1294" t="s">
        <v>67</v>
      </c>
      <c r="J1294">
        <v>5</v>
      </c>
      <c r="K1294" t="s">
        <v>16</v>
      </c>
      <c r="L1294" t="s">
        <v>30</v>
      </c>
      <c r="M1294">
        <f>orders[[#This Row],[Ship Date]]-orders[[#This Row],[Order Date]]</f>
        <v>5</v>
      </c>
      <c r="N1294">
        <f>WEEKNUM(orders[[#This Row],[Order Date]],2)</f>
        <v>8</v>
      </c>
      <c r="O1294" t="str" cm="1">
        <f t="array" ref="O12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95" spans="1:15" x14ac:dyDescent="0.3">
      <c r="A1295" t="s">
        <v>1390</v>
      </c>
      <c r="B1295" t="s">
        <v>51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20</v>
      </c>
      <c r="I1295" t="s">
        <v>32</v>
      </c>
      <c r="J1295">
        <v>3</v>
      </c>
      <c r="K1295" t="s">
        <v>16</v>
      </c>
      <c r="L1295" t="s">
        <v>30</v>
      </c>
      <c r="M1295">
        <f>orders[[#This Row],[Ship Date]]-orders[[#This Row],[Order Date]]</f>
        <v>1</v>
      </c>
      <c r="N1295">
        <f>WEEKNUM(orders[[#This Row],[Order Date]],2)</f>
        <v>8</v>
      </c>
      <c r="O1295" t="str" cm="1">
        <f t="array" ref="O12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96" spans="1:15" x14ac:dyDescent="0.3">
      <c r="A1296" t="s">
        <v>1391</v>
      </c>
      <c r="B1296" t="s">
        <v>34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14</v>
      </c>
      <c r="I1296" t="s">
        <v>15</v>
      </c>
      <c r="J1296">
        <v>3</v>
      </c>
      <c r="K1296" t="s">
        <v>16</v>
      </c>
      <c r="L1296" t="s">
        <v>30</v>
      </c>
      <c r="M1296">
        <f>orders[[#This Row],[Ship Date]]-orders[[#This Row],[Order Date]]</f>
        <v>4</v>
      </c>
      <c r="N1296">
        <f>WEEKNUM(orders[[#This Row],[Order Date]],2)</f>
        <v>8</v>
      </c>
      <c r="O1296" t="str" cm="1">
        <f t="array" ref="O129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297" spans="1:15" x14ac:dyDescent="0.3">
      <c r="A1297" t="s">
        <v>1392</v>
      </c>
      <c r="B1297" t="s">
        <v>51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20</v>
      </c>
      <c r="I1297" t="s">
        <v>32</v>
      </c>
      <c r="J1297">
        <v>4</v>
      </c>
      <c r="K1297" t="s">
        <v>16</v>
      </c>
      <c r="L1297" t="s">
        <v>30</v>
      </c>
      <c r="M1297">
        <f>orders[[#This Row],[Ship Date]]-orders[[#This Row],[Order Date]]</f>
        <v>2</v>
      </c>
      <c r="N1297">
        <f>WEEKNUM(orders[[#This Row],[Order Date]],2)</f>
        <v>8</v>
      </c>
      <c r="O1297" t="str" cm="1">
        <f t="array" ref="O12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298" spans="1:15" x14ac:dyDescent="0.3">
      <c r="A1298" t="s">
        <v>1393</v>
      </c>
      <c r="B1298" t="s">
        <v>64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24</v>
      </c>
      <c r="I1298" t="s">
        <v>32</v>
      </c>
      <c r="J1298">
        <v>4</v>
      </c>
      <c r="K1298" t="s">
        <v>16</v>
      </c>
      <c r="L1298" t="s">
        <v>30</v>
      </c>
      <c r="M1298">
        <f>orders[[#This Row],[Ship Date]]-orders[[#This Row],[Order Date]]</f>
        <v>3</v>
      </c>
      <c r="N1298">
        <f>WEEKNUM(orders[[#This Row],[Order Date]],2)</f>
        <v>8</v>
      </c>
      <c r="O1298" t="str" cm="1">
        <f t="array" ref="O12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299" spans="1:15" x14ac:dyDescent="0.3">
      <c r="A1299" t="s">
        <v>1394</v>
      </c>
      <c r="B1299" t="s">
        <v>39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24</v>
      </c>
      <c r="I1299" t="s">
        <v>37</v>
      </c>
      <c r="J1299">
        <v>4</v>
      </c>
      <c r="K1299" t="s">
        <v>16</v>
      </c>
      <c r="L1299" t="s">
        <v>542</v>
      </c>
      <c r="M1299">
        <f>orders[[#This Row],[Ship Date]]-orders[[#This Row],[Order Date]]</f>
        <v>1</v>
      </c>
      <c r="N1299">
        <f>WEEKNUM(orders[[#This Row],[Order Date]],2)</f>
        <v>8</v>
      </c>
      <c r="O1299" t="str" cm="1">
        <f t="array" ref="O12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00" spans="1:15" x14ac:dyDescent="0.3">
      <c r="A1300" t="s">
        <v>1395</v>
      </c>
      <c r="B1300" t="s">
        <v>29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24</v>
      </c>
      <c r="I1300" t="s">
        <v>37</v>
      </c>
      <c r="J1300">
        <v>4</v>
      </c>
      <c r="K1300" t="s">
        <v>16</v>
      </c>
      <c r="L1300" t="s">
        <v>95</v>
      </c>
      <c r="M1300">
        <f>orders[[#This Row],[Ship Date]]-orders[[#This Row],[Order Date]]</f>
        <v>5</v>
      </c>
      <c r="N1300">
        <f>WEEKNUM(orders[[#This Row],[Order Date]],2)</f>
        <v>8</v>
      </c>
      <c r="O1300" t="str" cm="1">
        <f t="array" ref="O13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01" spans="1:15" x14ac:dyDescent="0.3">
      <c r="A1301" t="s">
        <v>1396</v>
      </c>
      <c r="B1301" t="s">
        <v>41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24</v>
      </c>
      <c r="I1301" t="s">
        <v>15</v>
      </c>
      <c r="J1301">
        <v>4</v>
      </c>
      <c r="K1301" t="s">
        <v>16</v>
      </c>
      <c r="L1301" t="s">
        <v>49</v>
      </c>
      <c r="M1301">
        <f>orders[[#This Row],[Ship Date]]-orders[[#This Row],[Order Date]]</f>
        <v>1</v>
      </c>
      <c r="N1301">
        <f>WEEKNUM(orders[[#This Row],[Order Date]],2)</f>
        <v>8</v>
      </c>
      <c r="O1301" t="str" cm="1">
        <f t="array" ref="O13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02" spans="1:15" x14ac:dyDescent="0.3">
      <c r="A1302" t="s">
        <v>1397</v>
      </c>
      <c r="B1302" t="s">
        <v>36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24</v>
      </c>
      <c r="I1302" t="s">
        <v>32</v>
      </c>
      <c r="J1302">
        <v>3</v>
      </c>
      <c r="K1302" t="s">
        <v>16</v>
      </c>
      <c r="L1302" t="s">
        <v>155</v>
      </c>
      <c r="M1302">
        <f>orders[[#This Row],[Ship Date]]-orders[[#This Row],[Order Date]]</f>
        <v>1</v>
      </c>
      <c r="N1302">
        <f>WEEKNUM(orders[[#This Row],[Order Date]],2)</f>
        <v>8</v>
      </c>
      <c r="O1302" t="str" cm="1">
        <f t="array" ref="O13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03" spans="1:15" x14ac:dyDescent="0.3">
      <c r="A1303" t="s">
        <v>1398</v>
      </c>
      <c r="B1303" t="s">
        <v>73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20</v>
      </c>
      <c r="I1303" t="s">
        <v>15</v>
      </c>
      <c r="J1303">
        <v>3</v>
      </c>
      <c r="K1303" t="s">
        <v>16</v>
      </c>
      <c r="L1303" t="s">
        <v>52</v>
      </c>
      <c r="M1303">
        <f>orders[[#This Row],[Ship Date]]-orders[[#This Row],[Order Date]]</f>
        <v>1</v>
      </c>
      <c r="N1303">
        <f>WEEKNUM(orders[[#This Row],[Order Date]],2)</f>
        <v>8</v>
      </c>
      <c r="O1303" t="str" cm="1">
        <f t="array" ref="O13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04" spans="1:15" x14ac:dyDescent="0.3">
      <c r="A1304" t="s">
        <v>1399</v>
      </c>
      <c r="B1304" t="s">
        <v>23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20</v>
      </c>
      <c r="I1304" t="s">
        <v>32</v>
      </c>
      <c r="J1304">
        <v>2</v>
      </c>
      <c r="K1304" t="s">
        <v>16</v>
      </c>
      <c r="L1304" t="s">
        <v>52</v>
      </c>
      <c r="M1304">
        <f>orders[[#This Row],[Ship Date]]-orders[[#This Row],[Order Date]]</f>
        <v>5</v>
      </c>
      <c r="N1304">
        <f>WEEKNUM(orders[[#This Row],[Order Date]],2)</f>
        <v>8</v>
      </c>
      <c r="O1304" t="str" cm="1">
        <f t="array" ref="O13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05" spans="1:15" x14ac:dyDescent="0.3">
      <c r="A1305" t="s">
        <v>1400</v>
      </c>
      <c r="B1305" t="s">
        <v>23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24</v>
      </c>
      <c r="I1305" t="s">
        <v>32</v>
      </c>
      <c r="J1305">
        <v>5</v>
      </c>
      <c r="K1305" t="s">
        <v>16</v>
      </c>
      <c r="L1305" t="s">
        <v>52</v>
      </c>
      <c r="M1305">
        <f>orders[[#This Row],[Ship Date]]-orders[[#This Row],[Order Date]]</f>
        <v>2</v>
      </c>
      <c r="N1305">
        <f>WEEKNUM(orders[[#This Row],[Order Date]],2)</f>
        <v>8</v>
      </c>
      <c r="O1305" t="str" cm="1">
        <f t="array" ref="O13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06" spans="1:15" x14ac:dyDescent="0.3">
      <c r="A1306" t="s">
        <v>1401</v>
      </c>
      <c r="B1306" t="s">
        <v>23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24</v>
      </c>
      <c r="I1306" t="s">
        <v>37</v>
      </c>
      <c r="J1306">
        <v>5</v>
      </c>
      <c r="K1306" t="s">
        <v>16</v>
      </c>
      <c r="L1306" t="s">
        <v>56</v>
      </c>
      <c r="M1306">
        <f>orders[[#This Row],[Ship Date]]-orders[[#This Row],[Order Date]]</f>
        <v>1</v>
      </c>
      <c r="N1306">
        <f>WEEKNUM(orders[[#This Row],[Order Date]],2)</f>
        <v>8</v>
      </c>
      <c r="O1306" t="str" cm="1">
        <f t="array" ref="O13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07" spans="1:15" x14ac:dyDescent="0.3">
      <c r="A1307" t="s">
        <v>1402</v>
      </c>
      <c r="B1307" t="s">
        <v>23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24</v>
      </c>
      <c r="I1307" t="s">
        <v>37</v>
      </c>
      <c r="J1307">
        <v>5</v>
      </c>
      <c r="K1307" t="s">
        <v>16</v>
      </c>
      <c r="L1307" t="s">
        <v>56</v>
      </c>
      <c r="M1307">
        <f>orders[[#This Row],[Ship Date]]-orders[[#This Row],[Order Date]]</f>
        <v>9</v>
      </c>
      <c r="N1307">
        <f>WEEKNUM(orders[[#This Row],[Order Date]],2)</f>
        <v>8</v>
      </c>
      <c r="O1307" t="str" cm="1">
        <f t="array" ref="O13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08" spans="1:15" x14ac:dyDescent="0.3">
      <c r="A1308" t="s">
        <v>1403</v>
      </c>
      <c r="B1308" t="s">
        <v>34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20</v>
      </c>
      <c r="I1308" t="s">
        <v>32</v>
      </c>
      <c r="J1308">
        <v>4</v>
      </c>
      <c r="K1308" t="s">
        <v>16</v>
      </c>
      <c r="L1308" t="s">
        <v>59</v>
      </c>
      <c r="M1308">
        <f>orders[[#This Row],[Ship Date]]-orders[[#This Row],[Order Date]]</f>
        <v>2</v>
      </c>
      <c r="N1308">
        <f>WEEKNUM(orders[[#This Row],[Order Date]],2)</f>
        <v>8</v>
      </c>
      <c r="O1308" t="str" cm="1">
        <f t="array" ref="O13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09" spans="1:15" x14ac:dyDescent="0.3">
      <c r="A1309" t="s">
        <v>1404</v>
      </c>
      <c r="B1309" t="s">
        <v>13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24</v>
      </c>
      <c r="I1309" t="s">
        <v>15</v>
      </c>
      <c r="J1309">
        <v>5</v>
      </c>
      <c r="K1309" t="s">
        <v>16</v>
      </c>
      <c r="L1309" t="s">
        <v>59</v>
      </c>
      <c r="M1309">
        <f>orders[[#This Row],[Ship Date]]-orders[[#This Row],[Order Date]]</f>
        <v>1</v>
      </c>
      <c r="N1309">
        <f>WEEKNUM(orders[[#This Row],[Order Date]],2)</f>
        <v>8</v>
      </c>
      <c r="O1309" t="str" cm="1">
        <f t="array" ref="O13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10" spans="1:15" x14ac:dyDescent="0.3">
      <c r="A1310" t="s">
        <v>1405</v>
      </c>
      <c r="B1310" t="s">
        <v>66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20</v>
      </c>
      <c r="I1310" t="s">
        <v>37</v>
      </c>
      <c r="J1310">
        <v>3</v>
      </c>
      <c r="K1310" t="s">
        <v>16</v>
      </c>
      <c r="L1310" t="s">
        <v>100</v>
      </c>
      <c r="M1310">
        <f>orders[[#This Row],[Ship Date]]-orders[[#This Row],[Order Date]]</f>
        <v>2</v>
      </c>
      <c r="N1310">
        <f>WEEKNUM(orders[[#This Row],[Order Date]],2)</f>
        <v>8</v>
      </c>
      <c r="O1310" t="str" cm="1">
        <f t="array" ref="O13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11" spans="1:15" x14ac:dyDescent="0.3">
      <c r="A1311" t="s">
        <v>1406</v>
      </c>
      <c r="B1311" t="s">
        <v>39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20</v>
      </c>
      <c r="I1311" t="s">
        <v>48</v>
      </c>
      <c r="J1311">
        <v>4</v>
      </c>
      <c r="K1311" t="s">
        <v>16</v>
      </c>
      <c r="L1311" t="s">
        <v>100</v>
      </c>
      <c r="M1311">
        <f>orders[[#This Row],[Ship Date]]-orders[[#This Row],[Order Date]]</f>
        <v>4</v>
      </c>
      <c r="N1311">
        <f>WEEKNUM(orders[[#This Row],[Order Date]],2)</f>
        <v>8</v>
      </c>
      <c r="O1311" t="str" cm="1">
        <f t="array" ref="O13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12" spans="1:15" x14ac:dyDescent="0.3">
      <c r="A1312" t="s">
        <v>1407</v>
      </c>
      <c r="B1312" t="s">
        <v>132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20</v>
      </c>
      <c r="I1312" t="s">
        <v>67</v>
      </c>
      <c r="J1312">
        <v>4</v>
      </c>
      <c r="K1312" t="s">
        <v>16</v>
      </c>
      <c r="L1312" t="s">
        <v>69</v>
      </c>
      <c r="M1312">
        <f>orders[[#This Row],[Ship Date]]-orders[[#This Row],[Order Date]]</f>
        <v>6</v>
      </c>
      <c r="N1312">
        <f>WEEKNUM(orders[[#This Row],[Order Date]],2)</f>
        <v>8</v>
      </c>
      <c r="O1312" t="str" cm="1">
        <f t="array" ref="O13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13" spans="1:15" x14ac:dyDescent="0.3">
      <c r="A1313" t="s">
        <v>1408</v>
      </c>
      <c r="B1313" t="s">
        <v>36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20</v>
      </c>
      <c r="I1313" t="s">
        <v>37</v>
      </c>
      <c r="J1313">
        <v>5</v>
      </c>
      <c r="K1313" t="s">
        <v>16</v>
      </c>
      <c r="L1313" t="s">
        <v>69</v>
      </c>
      <c r="M1313">
        <f>orders[[#This Row],[Ship Date]]-orders[[#This Row],[Order Date]]</f>
        <v>2</v>
      </c>
      <c r="N1313">
        <f>WEEKNUM(orders[[#This Row],[Order Date]],2)</f>
        <v>8</v>
      </c>
      <c r="O1313" t="str" cm="1">
        <f t="array" ref="O131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14" spans="1:15" x14ac:dyDescent="0.3">
      <c r="A1314" t="s">
        <v>1409</v>
      </c>
      <c r="B1314" t="s">
        <v>120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24</v>
      </c>
      <c r="I1314" t="s">
        <v>15</v>
      </c>
      <c r="J1314">
        <v>4</v>
      </c>
      <c r="K1314" t="s">
        <v>16</v>
      </c>
      <c r="L1314" t="s">
        <v>74</v>
      </c>
      <c r="M1314">
        <f>orders[[#This Row],[Ship Date]]-orders[[#This Row],[Order Date]]</f>
        <v>2</v>
      </c>
      <c r="N1314">
        <f>WEEKNUM(orders[[#This Row],[Order Date]],2)</f>
        <v>8</v>
      </c>
      <c r="O1314" t="str" cm="1">
        <f t="array" ref="O13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15" spans="1:15" x14ac:dyDescent="0.3">
      <c r="A1315" t="s">
        <v>1410</v>
      </c>
      <c r="B1315" t="s">
        <v>23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24</v>
      </c>
      <c r="I1315" t="s">
        <v>37</v>
      </c>
      <c r="J1315">
        <v>4</v>
      </c>
      <c r="K1315" t="s">
        <v>16</v>
      </c>
      <c r="L1315" t="s">
        <v>105</v>
      </c>
      <c r="M1315">
        <f>orders[[#This Row],[Ship Date]]-orders[[#This Row],[Order Date]]</f>
        <v>1</v>
      </c>
      <c r="N1315">
        <f>WEEKNUM(orders[[#This Row],[Order Date]],2)</f>
        <v>8</v>
      </c>
      <c r="O1315" t="str" cm="1">
        <f t="array" ref="O13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16" spans="1:15" x14ac:dyDescent="0.3">
      <c r="A1316" t="s">
        <v>1411</v>
      </c>
      <c r="B1316" t="s">
        <v>36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24</v>
      </c>
      <c r="I1316" t="s">
        <v>48</v>
      </c>
      <c r="J1316">
        <v>4</v>
      </c>
      <c r="K1316" t="s">
        <v>16</v>
      </c>
      <c r="L1316" t="s">
        <v>105</v>
      </c>
      <c r="M1316">
        <f>orders[[#This Row],[Ship Date]]-orders[[#This Row],[Order Date]]</f>
        <v>3</v>
      </c>
      <c r="N1316">
        <f>WEEKNUM(orders[[#This Row],[Order Date]],2)</f>
        <v>8</v>
      </c>
      <c r="O1316" t="str" cm="1">
        <f t="array" ref="O13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17" spans="1:15" x14ac:dyDescent="0.3">
      <c r="A1317" t="s">
        <v>1412</v>
      </c>
      <c r="B1317" t="s">
        <v>51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14</v>
      </c>
      <c r="I1317" t="s">
        <v>37</v>
      </c>
      <c r="J1317">
        <v>3</v>
      </c>
      <c r="K1317" t="s">
        <v>16</v>
      </c>
      <c r="L1317" t="s">
        <v>107</v>
      </c>
      <c r="M1317">
        <f>orders[[#This Row],[Ship Date]]-orders[[#This Row],[Order Date]]</f>
        <v>5</v>
      </c>
      <c r="N1317">
        <f>WEEKNUM(orders[[#This Row],[Order Date]],2)</f>
        <v>8</v>
      </c>
      <c r="O1317" t="str" cm="1">
        <f t="array" ref="O131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318" spans="1:15" x14ac:dyDescent="0.3">
      <c r="A1318" t="s">
        <v>1413</v>
      </c>
      <c r="B1318" t="s">
        <v>66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24</v>
      </c>
      <c r="I1318" t="s">
        <v>15</v>
      </c>
      <c r="J1318">
        <v>4</v>
      </c>
      <c r="K1318" t="s">
        <v>16</v>
      </c>
      <c r="L1318" t="s">
        <v>994</v>
      </c>
      <c r="M1318">
        <f>orders[[#This Row],[Ship Date]]-orders[[#This Row],[Order Date]]</f>
        <v>1</v>
      </c>
      <c r="N1318">
        <f>WEEKNUM(orders[[#This Row],[Order Date]],2)</f>
        <v>8</v>
      </c>
      <c r="O1318" t="str" cm="1">
        <f t="array" ref="O13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19" spans="1:15" x14ac:dyDescent="0.3">
      <c r="A1319" t="s">
        <v>1414</v>
      </c>
      <c r="B1319" t="s">
        <v>66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24</v>
      </c>
      <c r="I1319" t="s">
        <v>15</v>
      </c>
      <c r="J1319">
        <v>4</v>
      </c>
      <c r="K1319" t="s">
        <v>16</v>
      </c>
      <c r="L1319" t="s">
        <v>79</v>
      </c>
      <c r="M1319">
        <f>orders[[#This Row],[Ship Date]]-orders[[#This Row],[Order Date]]</f>
        <v>2</v>
      </c>
      <c r="N1319">
        <f>WEEKNUM(orders[[#This Row],[Order Date]],2)</f>
        <v>8</v>
      </c>
      <c r="O1319" t="str" cm="1">
        <f t="array" ref="O13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20" spans="1:15" x14ac:dyDescent="0.3">
      <c r="A1320" t="s">
        <v>1415</v>
      </c>
      <c r="B1320" t="s">
        <v>41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20</v>
      </c>
      <c r="I1320" t="s">
        <v>32</v>
      </c>
      <c r="J1320">
        <v>4</v>
      </c>
      <c r="K1320" t="s">
        <v>16</v>
      </c>
      <c r="L1320" t="s">
        <v>112</v>
      </c>
      <c r="M1320">
        <f>orders[[#This Row],[Ship Date]]-orders[[#This Row],[Order Date]]</f>
        <v>1</v>
      </c>
      <c r="N1320">
        <f>WEEKNUM(orders[[#This Row],[Order Date]],2)</f>
        <v>8</v>
      </c>
      <c r="O1320" t="str" cm="1">
        <f t="array" ref="O13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1" spans="1:15" x14ac:dyDescent="0.3">
      <c r="A1321" t="s">
        <v>1416</v>
      </c>
      <c r="B1321" t="s">
        <v>41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20</v>
      </c>
      <c r="I1321" t="s">
        <v>15</v>
      </c>
      <c r="J1321">
        <v>5</v>
      </c>
      <c r="K1321" t="s">
        <v>16</v>
      </c>
      <c r="L1321" t="s">
        <v>112</v>
      </c>
      <c r="M1321">
        <f>orders[[#This Row],[Ship Date]]-orders[[#This Row],[Order Date]]</f>
        <v>1</v>
      </c>
      <c r="N1321">
        <f>WEEKNUM(orders[[#This Row],[Order Date]],2)</f>
        <v>8</v>
      </c>
      <c r="O1321" t="str" cm="1">
        <f t="array" ref="O13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2" spans="1:15" x14ac:dyDescent="0.3">
      <c r="A1322" t="s">
        <v>1417</v>
      </c>
      <c r="B1322" t="s">
        <v>41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20</v>
      </c>
      <c r="I1322" t="s">
        <v>15</v>
      </c>
      <c r="J1322">
        <v>4</v>
      </c>
      <c r="K1322" t="s">
        <v>16</v>
      </c>
      <c r="L1322" t="s">
        <v>21</v>
      </c>
      <c r="M1322">
        <f>orders[[#This Row],[Ship Date]]-orders[[#This Row],[Order Date]]</f>
        <v>7</v>
      </c>
      <c r="N1322">
        <f>WEEKNUM(orders[[#This Row],[Order Date]],2)</f>
        <v>8</v>
      </c>
      <c r="O1322" t="str" cm="1">
        <f t="array" ref="O13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3" spans="1:15" x14ac:dyDescent="0.3">
      <c r="A1323" t="s">
        <v>1418</v>
      </c>
      <c r="B1323" t="s">
        <v>13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20</v>
      </c>
      <c r="I1323" t="s">
        <v>15</v>
      </c>
      <c r="J1323">
        <v>4</v>
      </c>
      <c r="K1323" t="s">
        <v>16</v>
      </c>
      <c r="L1323" t="s">
        <v>21</v>
      </c>
      <c r="M1323">
        <f>orders[[#This Row],[Ship Date]]-orders[[#This Row],[Order Date]]</f>
        <v>2</v>
      </c>
      <c r="N1323">
        <f>WEEKNUM(orders[[#This Row],[Order Date]],2)</f>
        <v>8</v>
      </c>
      <c r="O1323" t="str" cm="1">
        <f t="array" ref="O13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4" spans="1:15" x14ac:dyDescent="0.3">
      <c r="A1324" t="s">
        <v>1419</v>
      </c>
      <c r="B1324" t="s">
        <v>13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24</v>
      </c>
      <c r="I1324" t="s">
        <v>15</v>
      </c>
      <c r="J1324">
        <v>4</v>
      </c>
      <c r="K1324" t="s">
        <v>16</v>
      </c>
      <c r="L1324" t="s">
        <v>21</v>
      </c>
      <c r="M1324">
        <f>orders[[#This Row],[Ship Date]]-orders[[#This Row],[Order Date]]</f>
        <v>3</v>
      </c>
      <c r="N1324">
        <f>WEEKNUM(orders[[#This Row],[Order Date]],2)</f>
        <v>8</v>
      </c>
      <c r="O1324" t="str" cm="1">
        <f t="array" ref="O13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25" spans="1:15" x14ac:dyDescent="0.3">
      <c r="A1325" t="s">
        <v>1420</v>
      </c>
      <c r="B1325" t="s">
        <v>19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20</v>
      </c>
      <c r="I1325" t="s">
        <v>15</v>
      </c>
      <c r="J1325">
        <v>2</v>
      </c>
      <c r="K1325" t="s">
        <v>16</v>
      </c>
      <c r="L1325" t="s">
        <v>25</v>
      </c>
      <c r="M1325">
        <f>orders[[#This Row],[Ship Date]]-orders[[#This Row],[Order Date]]</f>
        <v>1</v>
      </c>
      <c r="N1325">
        <f>WEEKNUM(orders[[#This Row],[Order Date]],2)</f>
        <v>8</v>
      </c>
      <c r="O1325" t="str" cm="1">
        <f t="array" ref="O13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6" spans="1:15" x14ac:dyDescent="0.3">
      <c r="A1326" t="s">
        <v>1421</v>
      </c>
      <c r="B1326" t="s">
        <v>13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20</v>
      </c>
      <c r="I1326" t="s">
        <v>48</v>
      </c>
      <c r="J1326">
        <v>5</v>
      </c>
      <c r="K1326" t="s">
        <v>16</v>
      </c>
      <c r="L1326" t="s">
        <v>144</v>
      </c>
      <c r="M1326">
        <f>orders[[#This Row],[Ship Date]]-orders[[#This Row],[Order Date]]</f>
        <v>1</v>
      </c>
      <c r="N1326">
        <f>WEEKNUM(orders[[#This Row],[Order Date]],2)</f>
        <v>8</v>
      </c>
      <c r="O1326" t="str" cm="1">
        <f t="array" ref="O13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7" spans="1:15" x14ac:dyDescent="0.3">
      <c r="A1327" t="s">
        <v>1422</v>
      </c>
      <c r="B1327" t="s">
        <v>120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20</v>
      </c>
      <c r="I1327" t="s">
        <v>37</v>
      </c>
      <c r="J1327">
        <v>4</v>
      </c>
      <c r="K1327" t="s">
        <v>16</v>
      </c>
      <c r="L1327" t="s">
        <v>1423</v>
      </c>
      <c r="M1327">
        <f>orders[[#This Row],[Ship Date]]-orders[[#This Row],[Order Date]]</f>
        <v>2</v>
      </c>
      <c r="N1327">
        <f>WEEKNUM(orders[[#This Row],[Order Date]],2)</f>
        <v>8</v>
      </c>
      <c r="O1327" t="str" cm="1">
        <f t="array" ref="O132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8" spans="1:15" x14ac:dyDescent="0.3">
      <c r="A1328" t="s">
        <v>1424</v>
      </c>
      <c r="B1328" t="s">
        <v>51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20</v>
      </c>
      <c r="I1328" t="s">
        <v>67</v>
      </c>
      <c r="J1328">
        <v>4</v>
      </c>
      <c r="K1328" t="s">
        <v>16</v>
      </c>
      <c r="L1328" t="s">
        <v>30</v>
      </c>
      <c r="M1328">
        <f>orders[[#This Row],[Ship Date]]-orders[[#This Row],[Order Date]]</f>
        <v>6</v>
      </c>
      <c r="N1328">
        <f>WEEKNUM(orders[[#This Row],[Order Date]],2)</f>
        <v>8</v>
      </c>
      <c r="O1328" t="str" cm="1">
        <f t="array" ref="O13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29" spans="1:15" x14ac:dyDescent="0.3">
      <c r="A1329" t="s">
        <v>1425</v>
      </c>
      <c r="B1329" t="s">
        <v>39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24</v>
      </c>
      <c r="I1329" t="s">
        <v>32</v>
      </c>
      <c r="J1329">
        <v>3</v>
      </c>
      <c r="K1329" t="s">
        <v>16</v>
      </c>
      <c r="L1329" t="s">
        <v>30</v>
      </c>
      <c r="M1329">
        <f>orders[[#This Row],[Ship Date]]-orders[[#This Row],[Order Date]]</f>
        <v>1</v>
      </c>
      <c r="N1329">
        <f>WEEKNUM(orders[[#This Row],[Order Date]],2)</f>
        <v>8</v>
      </c>
      <c r="O1329" t="str" cm="1">
        <f t="array" ref="O13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30" spans="1:15" x14ac:dyDescent="0.3">
      <c r="A1330" t="s">
        <v>1426</v>
      </c>
      <c r="B1330" t="s">
        <v>34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20</v>
      </c>
      <c r="I1330" t="s">
        <v>67</v>
      </c>
      <c r="J1330">
        <v>4</v>
      </c>
      <c r="K1330" t="s">
        <v>16</v>
      </c>
      <c r="L1330" t="s">
        <v>30</v>
      </c>
      <c r="M1330">
        <f>orders[[#This Row],[Ship Date]]-orders[[#This Row],[Order Date]]</f>
        <v>1</v>
      </c>
      <c r="N1330">
        <f>WEEKNUM(orders[[#This Row],[Order Date]],2)</f>
        <v>8</v>
      </c>
      <c r="O1330" t="str" cm="1">
        <f t="array" ref="O133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31" spans="1:15" x14ac:dyDescent="0.3">
      <c r="A1331" t="s">
        <v>1427</v>
      </c>
      <c r="B1331" t="s">
        <v>125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14</v>
      </c>
      <c r="I1331" t="s">
        <v>48</v>
      </c>
      <c r="J1331">
        <v>5</v>
      </c>
      <c r="K1331" t="s">
        <v>16</v>
      </c>
      <c r="L1331" t="s">
        <v>30</v>
      </c>
      <c r="M1331">
        <f>orders[[#This Row],[Ship Date]]-orders[[#This Row],[Order Date]]</f>
        <v>1</v>
      </c>
      <c r="N1331">
        <f>WEEKNUM(orders[[#This Row],[Order Date]],2)</f>
        <v>8</v>
      </c>
      <c r="O1331" t="str" cm="1">
        <f t="array" ref="O133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332" spans="1:15" x14ac:dyDescent="0.3">
      <c r="A1332" t="s">
        <v>1428</v>
      </c>
      <c r="B1332" t="s">
        <v>29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20</v>
      </c>
      <c r="I1332" t="s">
        <v>15</v>
      </c>
      <c r="J1332">
        <v>4</v>
      </c>
      <c r="K1332" t="s">
        <v>16</v>
      </c>
      <c r="L1332" t="s">
        <v>30</v>
      </c>
      <c r="M1332">
        <f>orders[[#This Row],[Ship Date]]-orders[[#This Row],[Order Date]]</f>
        <v>1</v>
      </c>
      <c r="N1332">
        <f>WEEKNUM(orders[[#This Row],[Order Date]],2)</f>
        <v>8</v>
      </c>
      <c r="O1332" t="str" cm="1">
        <f t="array" ref="O133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33" spans="1:15" x14ac:dyDescent="0.3">
      <c r="A1333" t="s">
        <v>1429</v>
      </c>
      <c r="B1333" t="s">
        <v>29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24</v>
      </c>
      <c r="I1333" t="s">
        <v>37</v>
      </c>
      <c r="J1333">
        <v>4</v>
      </c>
      <c r="K1333" t="s">
        <v>16</v>
      </c>
      <c r="L1333" t="s">
        <v>30</v>
      </c>
      <c r="M1333">
        <f>orders[[#This Row],[Ship Date]]-orders[[#This Row],[Order Date]]</f>
        <v>4</v>
      </c>
      <c r="N1333">
        <f>WEEKNUM(orders[[#This Row],[Order Date]],2)</f>
        <v>8</v>
      </c>
      <c r="O1333" t="str" cm="1">
        <f t="array" ref="O13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34" spans="1:15" x14ac:dyDescent="0.3">
      <c r="A1334" t="s">
        <v>1430</v>
      </c>
      <c r="B1334" t="s">
        <v>43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24</v>
      </c>
      <c r="I1334" t="s">
        <v>15</v>
      </c>
      <c r="J1334">
        <v>3</v>
      </c>
      <c r="K1334" t="s">
        <v>16</v>
      </c>
      <c r="L1334" t="s">
        <v>30</v>
      </c>
      <c r="M1334">
        <f>orders[[#This Row],[Ship Date]]-orders[[#This Row],[Order Date]]</f>
        <v>3</v>
      </c>
      <c r="N1334">
        <f>WEEKNUM(orders[[#This Row],[Order Date]],2)</f>
        <v>8</v>
      </c>
      <c r="O1334" t="str" cm="1">
        <f t="array" ref="O13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35" spans="1:15" x14ac:dyDescent="0.3">
      <c r="A1335" t="s">
        <v>1431</v>
      </c>
      <c r="B1335" t="s">
        <v>64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20</v>
      </c>
      <c r="I1335" t="s">
        <v>15</v>
      </c>
      <c r="J1335">
        <v>5</v>
      </c>
      <c r="K1335" t="s">
        <v>16</v>
      </c>
      <c r="L1335" t="s">
        <v>30</v>
      </c>
      <c r="M1335">
        <f>orders[[#This Row],[Ship Date]]-orders[[#This Row],[Order Date]]</f>
        <v>2</v>
      </c>
      <c r="N1335">
        <f>WEEKNUM(orders[[#This Row],[Order Date]],2)</f>
        <v>8</v>
      </c>
      <c r="O1335" t="str" cm="1">
        <f t="array" ref="O13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36" spans="1:15" x14ac:dyDescent="0.3">
      <c r="A1336" t="s">
        <v>1432</v>
      </c>
      <c r="B1336" t="s">
        <v>41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24</v>
      </c>
      <c r="I1336" t="s">
        <v>15</v>
      </c>
      <c r="J1336">
        <v>5</v>
      </c>
      <c r="K1336" t="s">
        <v>16</v>
      </c>
      <c r="L1336" t="s">
        <v>30</v>
      </c>
      <c r="M1336">
        <f>orders[[#This Row],[Ship Date]]-orders[[#This Row],[Order Date]]</f>
        <v>1</v>
      </c>
      <c r="N1336">
        <f>WEEKNUM(orders[[#This Row],[Order Date]],2)</f>
        <v>8</v>
      </c>
      <c r="O1336" t="str" cm="1">
        <f t="array" ref="O13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37" spans="1:15" x14ac:dyDescent="0.3">
      <c r="A1337" t="s">
        <v>1433</v>
      </c>
      <c r="B1337" t="s">
        <v>34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20</v>
      </c>
      <c r="I1337" t="s">
        <v>15</v>
      </c>
      <c r="J1337">
        <v>4</v>
      </c>
      <c r="K1337" t="s">
        <v>16</v>
      </c>
      <c r="L1337" t="s">
        <v>30</v>
      </c>
      <c r="M1337">
        <f>orders[[#This Row],[Ship Date]]-orders[[#This Row],[Order Date]]</f>
        <v>2</v>
      </c>
      <c r="N1337">
        <f>WEEKNUM(orders[[#This Row],[Order Date]],2)</f>
        <v>8</v>
      </c>
      <c r="O1337" t="str" cm="1">
        <f t="array" ref="O13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38" spans="1:15" x14ac:dyDescent="0.3">
      <c r="A1338" t="s">
        <v>1434</v>
      </c>
      <c r="B1338" t="s">
        <v>43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20</v>
      </c>
      <c r="I1338" t="s">
        <v>67</v>
      </c>
      <c r="J1338">
        <v>3</v>
      </c>
      <c r="K1338" t="s">
        <v>16</v>
      </c>
      <c r="L1338" t="s">
        <v>30</v>
      </c>
      <c r="M1338">
        <f>orders[[#This Row],[Ship Date]]-orders[[#This Row],[Order Date]]</f>
        <v>2</v>
      </c>
      <c r="N1338">
        <f>WEEKNUM(orders[[#This Row],[Order Date]],2)</f>
        <v>8</v>
      </c>
      <c r="O1338" t="str" cm="1">
        <f t="array" ref="O13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39" spans="1:15" x14ac:dyDescent="0.3">
      <c r="A1339" t="s">
        <v>1435</v>
      </c>
      <c r="B1339" t="s">
        <v>36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20</v>
      </c>
      <c r="I1339" t="s">
        <v>32</v>
      </c>
      <c r="J1339">
        <v>2</v>
      </c>
      <c r="K1339" t="s">
        <v>16</v>
      </c>
      <c r="L1339" t="s">
        <v>95</v>
      </c>
      <c r="M1339">
        <f>orders[[#This Row],[Ship Date]]-orders[[#This Row],[Order Date]]</f>
        <v>1</v>
      </c>
      <c r="N1339">
        <f>WEEKNUM(orders[[#This Row],[Order Date]],2)</f>
        <v>8</v>
      </c>
      <c r="O1339" t="str" cm="1">
        <f t="array" ref="O133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40" spans="1:15" x14ac:dyDescent="0.3">
      <c r="A1340" t="s">
        <v>1436</v>
      </c>
      <c r="B1340" t="s">
        <v>120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20</v>
      </c>
      <c r="I1340" t="s">
        <v>15</v>
      </c>
      <c r="J1340">
        <v>5</v>
      </c>
      <c r="K1340" t="s">
        <v>16</v>
      </c>
      <c r="L1340" t="s">
        <v>155</v>
      </c>
      <c r="M1340">
        <f>orders[[#This Row],[Ship Date]]-orders[[#This Row],[Order Date]]</f>
        <v>5</v>
      </c>
      <c r="N1340">
        <f>WEEKNUM(orders[[#This Row],[Order Date]],2)</f>
        <v>8</v>
      </c>
      <c r="O1340" t="str" cm="1">
        <f t="array" ref="O13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41" spans="1:15" x14ac:dyDescent="0.3">
      <c r="A1341" t="s">
        <v>1437</v>
      </c>
      <c r="B1341" t="s">
        <v>39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24</v>
      </c>
      <c r="I1341" t="s">
        <v>15</v>
      </c>
      <c r="J1341">
        <v>3</v>
      </c>
      <c r="K1341" t="s">
        <v>16</v>
      </c>
      <c r="L1341" t="s">
        <v>52</v>
      </c>
      <c r="M1341">
        <f>orders[[#This Row],[Ship Date]]-orders[[#This Row],[Order Date]]</f>
        <v>1</v>
      </c>
      <c r="N1341">
        <f>WEEKNUM(orders[[#This Row],[Order Date]],2)</f>
        <v>8</v>
      </c>
      <c r="O1341" t="str" cm="1">
        <f t="array" ref="O13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42" spans="1:15" x14ac:dyDescent="0.3">
      <c r="A1342" t="s">
        <v>1438</v>
      </c>
      <c r="B1342" t="s">
        <v>36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20</v>
      </c>
      <c r="I1342" t="s">
        <v>32</v>
      </c>
      <c r="J1342">
        <v>5</v>
      </c>
      <c r="K1342" t="s">
        <v>16</v>
      </c>
      <c r="L1342" t="s">
        <v>52</v>
      </c>
      <c r="M1342">
        <f>orders[[#This Row],[Ship Date]]-orders[[#This Row],[Order Date]]</f>
        <v>2</v>
      </c>
      <c r="N1342">
        <f>WEEKNUM(orders[[#This Row],[Order Date]],2)</f>
        <v>8</v>
      </c>
      <c r="O1342" t="str" cm="1">
        <f t="array" ref="O13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43" spans="1:15" x14ac:dyDescent="0.3">
      <c r="A1343" t="s">
        <v>1439</v>
      </c>
      <c r="B1343" t="s">
        <v>36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20</v>
      </c>
      <c r="I1343" t="s">
        <v>37</v>
      </c>
      <c r="J1343">
        <v>4</v>
      </c>
      <c r="K1343" t="s">
        <v>16</v>
      </c>
      <c r="L1343" t="s">
        <v>56</v>
      </c>
      <c r="M1343">
        <f>orders[[#This Row],[Ship Date]]-orders[[#This Row],[Order Date]]</f>
        <v>3</v>
      </c>
      <c r="N1343">
        <f>WEEKNUM(orders[[#This Row],[Order Date]],2)</f>
        <v>8</v>
      </c>
      <c r="O1343" t="str" cm="1">
        <f t="array" ref="O13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44" spans="1:15" x14ac:dyDescent="0.3">
      <c r="A1344" t="s">
        <v>1440</v>
      </c>
      <c r="B1344" t="s">
        <v>39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20</v>
      </c>
      <c r="I1344" t="s">
        <v>37</v>
      </c>
      <c r="J1344">
        <v>4</v>
      </c>
      <c r="K1344" t="s">
        <v>16</v>
      </c>
      <c r="L1344" t="s">
        <v>59</v>
      </c>
      <c r="M1344">
        <f>orders[[#This Row],[Ship Date]]-orders[[#This Row],[Order Date]]</f>
        <v>3</v>
      </c>
      <c r="N1344">
        <f>WEEKNUM(orders[[#This Row],[Order Date]],2)</f>
        <v>8</v>
      </c>
      <c r="O1344" t="str" cm="1">
        <f t="array" ref="O13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45" spans="1:15" x14ac:dyDescent="0.3">
      <c r="A1345" t="s">
        <v>1441</v>
      </c>
      <c r="B1345" t="s">
        <v>41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24</v>
      </c>
      <c r="I1345" t="s">
        <v>32</v>
      </c>
      <c r="J1345">
        <v>3</v>
      </c>
      <c r="K1345" t="s">
        <v>16</v>
      </c>
      <c r="L1345" t="s">
        <v>59</v>
      </c>
      <c r="M1345">
        <f>orders[[#This Row],[Ship Date]]-orders[[#This Row],[Order Date]]</f>
        <v>1</v>
      </c>
      <c r="N1345">
        <f>WEEKNUM(orders[[#This Row],[Order Date]],2)</f>
        <v>8</v>
      </c>
      <c r="O1345" t="str" cm="1">
        <f t="array" ref="O13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46" spans="1:15" x14ac:dyDescent="0.3">
      <c r="A1346" t="s">
        <v>1442</v>
      </c>
      <c r="B1346" t="s">
        <v>13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20</v>
      </c>
      <c r="I1346" t="s">
        <v>37</v>
      </c>
      <c r="J1346">
        <v>3</v>
      </c>
      <c r="K1346" t="s">
        <v>16</v>
      </c>
      <c r="L1346" t="s">
        <v>59</v>
      </c>
      <c r="M1346">
        <f>orders[[#This Row],[Ship Date]]-orders[[#This Row],[Order Date]]</f>
        <v>3</v>
      </c>
      <c r="N1346">
        <f>WEEKNUM(orders[[#This Row],[Order Date]],2)</f>
        <v>8</v>
      </c>
      <c r="O1346" t="str" cm="1">
        <f t="array" ref="O13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47" spans="1:15" x14ac:dyDescent="0.3">
      <c r="A1347" t="s">
        <v>1443</v>
      </c>
      <c r="B1347" t="s">
        <v>34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24</v>
      </c>
      <c r="I1347" t="s">
        <v>67</v>
      </c>
      <c r="J1347">
        <v>4</v>
      </c>
      <c r="K1347" t="s">
        <v>16</v>
      </c>
      <c r="L1347" t="s">
        <v>59</v>
      </c>
      <c r="M1347">
        <f>orders[[#This Row],[Ship Date]]-orders[[#This Row],[Order Date]]</f>
        <v>3</v>
      </c>
      <c r="N1347">
        <f>WEEKNUM(orders[[#This Row],[Order Date]],2)</f>
        <v>8</v>
      </c>
      <c r="O1347" t="str" cm="1">
        <f t="array" ref="O13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48" spans="1:15" x14ac:dyDescent="0.3">
      <c r="A1348" t="s">
        <v>1444</v>
      </c>
      <c r="B1348" t="s">
        <v>120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24</v>
      </c>
      <c r="I1348" t="s">
        <v>67</v>
      </c>
      <c r="J1348">
        <v>2</v>
      </c>
      <c r="K1348" t="s">
        <v>16</v>
      </c>
      <c r="L1348" t="s">
        <v>59</v>
      </c>
      <c r="M1348">
        <f>orders[[#This Row],[Ship Date]]-orders[[#This Row],[Order Date]]</f>
        <v>3</v>
      </c>
      <c r="N1348">
        <f>WEEKNUM(orders[[#This Row],[Order Date]],2)</f>
        <v>8</v>
      </c>
      <c r="O1348" t="str" cm="1">
        <f t="array" ref="O13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49" spans="1:15" x14ac:dyDescent="0.3">
      <c r="A1349" t="s">
        <v>1445</v>
      </c>
      <c r="B1349" t="s">
        <v>13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24</v>
      </c>
      <c r="I1349" t="s">
        <v>15</v>
      </c>
      <c r="J1349">
        <v>3</v>
      </c>
      <c r="K1349" t="s">
        <v>16</v>
      </c>
      <c r="L1349" t="s">
        <v>100</v>
      </c>
      <c r="M1349">
        <f>orders[[#This Row],[Ship Date]]-orders[[#This Row],[Order Date]]</f>
        <v>2</v>
      </c>
      <c r="N1349">
        <f>WEEKNUM(orders[[#This Row],[Order Date]],2)</f>
        <v>8</v>
      </c>
      <c r="O1349" t="str" cm="1">
        <f t="array" ref="O13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50" spans="1:15" x14ac:dyDescent="0.3">
      <c r="A1350" t="s">
        <v>1446</v>
      </c>
      <c r="B1350" t="s">
        <v>143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20</v>
      </c>
      <c r="I1350" t="s">
        <v>32</v>
      </c>
      <c r="J1350">
        <v>5</v>
      </c>
      <c r="K1350" t="s">
        <v>16</v>
      </c>
      <c r="L1350" t="s">
        <v>69</v>
      </c>
      <c r="M1350">
        <f>orders[[#This Row],[Ship Date]]-orders[[#This Row],[Order Date]]</f>
        <v>2</v>
      </c>
      <c r="N1350">
        <f>WEEKNUM(orders[[#This Row],[Order Date]],2)</f>
        <v>8</v>
      </c>
      <c r="O1350" t="str" cm="1">
        <f t="array" ref="O13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51" spans="1:15" x14ac:dyDescent="0.3">
      <c r="A1351" t="s">
        <v>1447</v>
      </c>
      <c r="B1351" t="s">
        <v>51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86</v>
      </c>
      <c r="I1351" t="s">
        <v>37</v>
      </c>
      <c r="J1351">
        <v>4</v>
      </c>
      <c r="K1351" t="s">
        <v>16</v>
      </c>
      <c r="L1351" t="s">
        <v>69</v>
      </c>
      <c r="M1351">
        <f>orders[[#This Row],[Ship Date]]-orders[[#This Row],[Order Date]]</f>
        <v>2</v>
      </c>
      <c r="N1351">
        <f>WEEKNUM(orders[[#This Row],[Order Date]],2)</f>
        <v>8</v>
      </c>
      <c r="O1351" t="str" cm="1">
        <f t="array" ref="O1351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352" spans="1:15" x14ac:dyDescent="0.3">
      <c r="A1352" t="s">
        <v>1448</v>
      </c>
      <c r="B1352" t="s">
        <v>23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24</v>
      </c>
      <c r="I1352" t="s">
        <v>32</v>
      </c>
      <c r="J1352">
        <v>5</v>
      </c>
      <c r="K1352" t="s">
        <v>16</v>
      </c>
      <c r="L1352" t="s">
        <v>107</v>
      </c>
      <c r="M1352">
        <f>orders[[#This Row],[Ship Date]]-orders[[#This Row],[Order Date]]</f>
        <v>4</v>
      </c>
      <c r="N1352">
        <f>WEEKNUM(orders[[#This Row],[Order Date]],2)</f>
        <v>8</v>
      </c>
      <c r="O1352" t="str" cm="1">
        <f t="array" ref="O13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53" spans="1:15" x14ac:dyDescent="0.3">
      <c r="A1353" t="s">
        <v>1449</v>
      </c>
      <c r="B1353" t="s">
        <v>143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20</v>
      </c>
      <c r="I1353" t="s">
        <v>67</v>
      </c>
      <c r="J1353">
        <v>5</v>
      </c>
      <c r="K1353" t="s">
        <v>16</v>
      </c>
      <c r="L1353" t="s">
        <v>107</v>
      </c>
      <c r="M1353">
        <f>orders[[#This Row],[Ship Date]]-orders[[#This Row],[Order Date]]</f>
        <v>2</v>
      </c>
      <c r="N1353">
        <f>WEEKNUM(orders[[#This Row],[Order Date]],2)</f>
        <v>8</v>
      </c>
      <c r="O1353" t="str" cm="1">
        <f t="array" ref="O135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54" spans="1:15" x14ac:dyDescent="0.3">
      <c r="A1354" t="s">
        <v>1450</v>
      </c>
      <c r="B1354" t="s">
        <v>125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24</v>
      </c>
      <c r="I1354" t="s">
        <v>15</v>
      </c>
      <c r="J1354">
        <v>2</v>
      </c>
      <c r="K1354" t="s">
        <v>16</v>
      </c>
      <c r="L1354" t="s">
        <v>107</v>
      </c>
      <c r="M1354">
        <f>orders[[#This Row],[Ship Date]]-orders[[#This Row],[Order Date]]</f>
        <v>8</v>
      </c>
      <c r="N1354">
        <f>WEEKNUM(orders[[#This Row],[Order Date]],2)</f>
        <v>8</v>
      </c>
      <c r="O1354" t="str" cm="1">
        <f t="array" ref="O13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55" spans="1:15" x14ac:dyDescent="0.3">
      <c r="A1355" t="s">
        <v>1451</v>
      </c>
      <c r="B1355" t="s">
        <v>39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20</v>
      </c>
      <c r="I1355" t="s">
        <v>32</v>
      </c>
      <c r="J1355">
        <v>3</v>
      </c>
      <c r="K1355" t="s">
        <v>16</v>
      </c>
      <c r="L1355" t="s">
        <v>107</v>
      </c>
      <c r="M1355">
        <f>orders[[#This Row],[Ship Date]]-orders[[#This Row],[Order Date]]</f>
        <v>1</v>
      </c>
      <c r="N1355">
        <f>WEEKNUM(orders[[#This Row],[Order Date]],2)</f>
        <v>8</v>
      </c>
      <c r="O1355" t="str" cm="1">
        <f t="array" ref="O13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56" spans="1:15" x14ac:dyDescent="0.3">
      <c r="A1356" t="s">
        <v>1452</v>
      </c>
      <c r="B1356" t="s">
        <v>36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20</v>
      </c>
      <c r="I1356" t="s">
        <v>32</v>
      </c>
      <c r="J1356">
        <v>4</v>
      </c>
      <c r="K1356" t="s">
        <v>16</v>
      </c>
      <c r="L1356" t="s">
        <v>110</v>
      </c>
      <c r="M1356">
        <f>orders[[#This Row],[Ship Date]]-orders[[#This Row],[Order Date]]</f>
        <v>1</v>
      </c>
      <c r="N1356">
        <f>WEEKNUM(orders[[#This Row],[Order Date]],2)</f>
        <v>8</v>
      </c>
      <c r="O1356" t="str" cm="1">
        <f t="array" ref="O13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57" spans="1:15" x14ac:dyDescent="0.3">
      <c r="A1357" t="s">
        <v>1453</v>
      </c>
      <c r="B1357" t="s">
        <v>64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24</v>
      </c>
      <c r="I1357" t="s">
        <v>15</v>
      </c>
      <c r="J1357">
        <v>5</v>
      </c>
      <c r="K1357" t="s">
        <v>16</v>
      </c>
      <c r="L1357" t="s">
        <v>994</v>
      </c>
      <c r="M1357">
        <f>orders[[#This Row],[Ship Date]]-orders[[#This Row],[Order Date]]</f>
        <v>5</v>
      </c>
      <c r="N1357">
        <f>WEEKNUM(orders[[#This Row],[Order Date]],2)</f>
        <v>8</v>
      </c>
      <c r="O1357" t="str" cm="1">
        <f t="array" ref="O13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58" spans="1:15" x14ac:dyDescent="0.3">
      <c r="A1358" t="s">
        <v>1454</v>
      </c>
      <c r="B1358" t="s">
        <v>36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24</v>
      </c>
      <c r="I1358" t="s">
        <v>32</v>
      </c>
      <c r="J1358">
        <v>4</v>
      </c>
      <c r="K1358" t="s">
        <v>16</v>
      </c>
      <c r="L1358" t="s">
        <v>79</v>
      </c>
      <c r="M1358">
        <f>orders[[#This Row],[Ship Date]]-orders[[#This Row],[Order Date]]</f>
        <v>1</v>
      </c>
      <c r="N1358">
        <f>WEEKNUM(orders[[#This Row],[Order Date]],2)</f>
        <v>8</v>
      </c>
      <c r="O1358" t="str" cm="1">
        <f t="array" ref="O13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59" spans="1:15" x14ac:dyDescent="0.3">
      <c r="A1359" t="s">
        <v>1455</v>
      </c>
      <c r="B1359" t="s">
        <v>39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20</v>
      </c>
      <c r="I1359" t="s">
        <v>37</v>
      </c>
      <c r="J1359">
        <v>4</v>
      </c>
      <c r="K1359" t="s">
        <v>16</v>
      </c>
      <c r="L1359" t="s">
        <v>79</v>
      </c>
      <c r="M1359">
        <f>orders[[#This Row],[Ship Date]]-orders[[#This Row],[Order Date]]</f>
        <v>4</v>
      </c>
      <c r="N1359">
        <f>WEEKNUM(orders[[#This Row],[Order Date]],2)</f>
        <v>8</v>
      </c>
      <c r="O1359" t="str" cm="1">
        <f t="array" ref="O13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60" spans="1:15" x14ac:dyDescent="0.3">
      <c r="A1360" t="s">
        <v>1456</v>
      </c>
      <c r="B1360" t="s">
        <v>66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14</v>
      </c>
      <c r="I1360" t="s">
        <v>15</v>
      </c>
      <c r="J1360">
        <v>4</v>
      </c>
      <c r="K1360" t="s">
        <v>16</v>
      </c>
      <c r="L1360" t="s">
        <v>240</v>
      </c>
      <c r="M1360">
        <f>orders[[#This Row],[Ship Date]]-orders[[#This Row],[Order Date]]</f>
        <v>1</v>
      </c>
      <c r="N1360">
        <f>WEEKNUM(orders[[#This Row],[Order Date]],2)</f>
        <v>8</v>
      </c>
      <c r="O1360" t="str" cm="1">
        <f t="array" ref="O136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361" spans="1:15" x14ac:dyDescent="0.3">
      <c r="A1361" t="s">
        <v>1457</v>
      </c>
      <c r="B1361" t="s">
        <v>36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20</v>
      </c>
      <c r="I1361" t="s">
        <v>15</v>
      </c>
      <c r="J1361">
        <v>4</v>
      </c>
      <c r="K1361" t="s">
        <v>16</v>
      </c>
      <c r="L1361" t="s">
        <v>112</v>
      </c>
      <c r="M1361">
        <f>orders[[#This Row],[Ship Date]]-orders[[#This Row],[Order Date]]</f>
        <v>1</v>
      </c>
      <c r="N1361">
        <f>WEEKNUM(orders[[#This Row],[Order Date]],2)</f>
        <v>8</v>
      </c>
      <c r="O1361" t="str" cm="1">
        <f t="array" ref="O13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62" spans="1:15" x14ac:dyDescent="0.3">
      <c r="A1362" t="s">
        <v>1458</v>
      </c>
      <c r="B1362" t="s">
        <v>36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24</v>
      </c>
      <c r="I1362" t="s">
        <v>32</v>
      </c>
      <c r="J1362">
        <v>3</v>
      </c>
      <c r="K1362" t="s">
        <v>16</v>
      </c>
      <c r="L1362" t="s">
        <v>112</v>
      </c>
      <c r="M1362">
        <f>orders[[#This Row],[Ship Date]]-orders[[#This Row],[Order Date]]</f>
        <v>1</v>
      </c>
      <c r="N1362">
        <f>WEEKNUM(orders[[#This Row],[Order Date]],2)</f>
        <v>8</v>
      </c>
      <c r="O1362" t="str" cm="1">
        <f t="array" ref="O13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63" spans="1:15" x14ac:dyDescent="0.3">
      <c r="A1363" t="s">
        <v>1459</v>
      </c>
      <c r="B1363" t="s">
        <v>23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20</v>
      </c>
      <c r="I1363" t="s">
        <v>15</v>
      </c>
      <c r="J1363">
        <v>4</v>
      </c>
      <c r="K1363" t="s">
        <v>16</v>
      </c>
      <c r="L1363" t="s">
        <v>21</v>
      </c>
      <c r="M1363">
        <f>orders[[#This Row],[Ship Date]]-orders[[#This Row],[Order Date]]</f>
        <v>1</v>
      </c>
      <c r="N1363">
        <f>WEEKNUM(orders[[#This Row],[Order Date]],2)</f>
        <v>8</v>
      </c>
      <c r="O1363" t="str" cm="1">
        <f t="array" ref="O13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64" spans="1:15" x14ac:dyDescent="0.3">
      <c r="A1364" t="s">
        <v>1460</v>
      </c>
      <c r="B1364" t="s">
        <v>73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14</v>
      </c>
      <c r="I1364" t="s">
        <v>32</v>
      </c>
      <c r="J1364">
        <v>3</v>
      </c>
      <c r="K1364" t="s">
        <v>16</v>
      </c>
      <c r="L1364" t="s">
        <v>21</v>
      </c>
      <c r="M1364">
        <f>orders[[#This Row],[Ship Date]]-orders[[#This Row],[Order Date]]</f>
        <v>1</v>
      </c>
      <c r="N1364">
        <f>WEEKNUM(orders[[#This Row],[Order Date]],2)</f>
        <v>8</v>
      </c>
      <c r="O1364" t="str" cm="1">
        <f t="array" ref="O136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365" spans="1:15" x14ac:dyDescent="0.3">
      <c r="A1365" t="s">
        <v>1461</v>
      </c>
      <c r="B1365" t="s">
        <v>41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20</v>
      </c>
      <c r="I1365" t="s">
        <v>37</v>
      </c>
      <c r="J1365">
        <v>4</v>
      </c>
      <c r="K1365" t="s">
        <v>16</v>
      </c>
      <c r="L1365" t="s">
        <v>30</v>
      </c>
      <c r="M1365">
        <f>orders[[#This Row],[Ship Date]]-orders[[#This Row],[Order Date]]</f>
        <v>6</v>
      </c>
      <c r="N1365">
        <f>WEEKNUM(orders[[#This Row],[Order Date]],2)</f>
        <v>8</v>
      </c>
      <c r="O1365" t="str" cm="1">
        <f t="array" ref="O13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66" spans="1:15" x14ac:dyDescent="0.3">
      <c r="A1366" t="s">
        <v>1462</v>
      </c>
      <c r="B1366" t="s">
        <v>23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20</v>
      </c>
      <c r="I1366" t="s">
        <v>15</v>
      </c>
      <c r="J1366">
        <v>4</v>
      </c>
      <c r="K1366" t="s">
        <v>16</v>
      </c>
      <c r="L1366" t="s">
        <v>30</v>
      </c>
      <c r="M1366">
        <f>orders[[#This Row],[Ship Date]]-orders[[#This Row],[Order Date]]</f>
        <v>0</v>
      </c>
      <c r="N1366">
        <f>WEEKNUM(orders[[#This Row],[Order Date]],2)</f>
        <v>8</v>
      </c>
      <c r="O1366" t="str" cm="1">
        <f t="array" ref="O13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67" spans="1:15" x14ac:dyDescent="0.3">
      <c r="A1367" t="s">
        <v>1463</v>
      </c>
      <c r="B1367" t="s">
        <v>143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14</v>
      </c>
      <c r="I1367" t="s">
        <v>15</v>
      </c>
      <c r="J1367">
        <v>5</v>
      </c>
      <c r="K1367" t="s">
        <v>16</v>
      </c>
      <c r="L1367" t="s">
        <v>30</v>
      </c>
      <c r="M1367">
        <f>orders[[#This Row],[Ship Date]]-orders[[#This Row],[Order Date]]</f>
        <v>2</v>
      </c>
      <c r="N1367">
        <f>WEEKNUM(orders[[#This Row],[Order Date]],2)</f>
        <v>8</v>
      </c>
      <c r="O1367" t="str" cm="1">
        <f t="array" ref="O136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368" spans="1:15" x14ac:dyDescent="0.3">
      <c r="A1368" t="s">
        <v>1464</v>
      </c>
      <c r="B1368" t="s">
        <v>27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24</v>
      </c>
      <c r="I1368" t="s">
        <v>15</v>
      </c>
      <c r="J1368">
        <v>5</v>
      </c>
      <c r="K1368" t="s">
        <v>16</v>
      </c>
      <c r="L1368" t="s">
        <v>30</v>
      </c>
      <c r="M1368">
        <f>orders[[#This Row],[Ship Date]]-orders[[#This Row],[Order Date]]</f>
        <v>0</v>
      </c>
      <c r="N1368">
        <f>WEEKNUM(orders[[#This Row],[Order Date]],2)</f>
        <v>8</v>
      </c>
      <c r="O1368" t="str" cm="1">
        <f t="array" ref="O13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69" spans="1:15" x14ac:dyDescent="0.3">
      <c r="A1369" t="s">
        <v>1465</v>
      </c>
      <c r="B1369" t="s">
        <v>19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20</v>
      </c>
      <c r="I1369" t="s">
        <v>15</v>
      </c>
      <c r="J1369">
        <v>3</v>
      </c>
      <c r="K1369" t="s">
        <v>16</v>
      </c>
      <c r="L1369" t="s">
        <v>30</v>
      </c>
      <c r="M1369">
        <f>orders[[#This Row],[Ship Date]]-orders[[#This Row],[Order Date]]</f>
        <v>4</v>
      </c>
      <c r="N1369">
        <f>WEEKNUM(orders[[#This Row],[Order Date]],2)</f>
        <v>8</v>
      </c>
      <c r="O1369" t="str" cm="1">
        <f t="array" ref="O136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70" spans="1:15" x14ac:dyDescent="0.3">
      <c r="A1370" t="s">
        <v>1466</v>
      </c>
      <c r="B1370" t="s">
        <v>51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20</v>
      </c>
      <c r="I1370" t="s">
        <v>15</v>
      </c>
      <c r="J1370">
        <v>4</v>
      </c>
      <c r="K1370" t="s">
        <v>16</v>
      </c>
      <c r="L1370" t="s">
        <v>30</v>
      </c>
      <c r="M1370">
        <f>orders[[#This Row],[Ship Date]]-orders[[#This Row],[Order Date]]</f>
        <v>5</v>
      </c>
      <c r="N1370">
        <f>WEEKNUM(orders[[#This Row],[Order Date]],2)</f>
        <v>8</v>
      </c>
      <c r="O1370" t="str" cm="1">
        <f t="array" ref="O13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71" spans="1:15" x14ac:dyDescent="0.3">
      <c r="A1371" t="s">
        <v>1467</v>
      </c>
      <c r="B1371" t="s">
        <v>36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20</v>
      </c>
      <c r="I1371" t="s">
        <v>48</v>
      </c>
      <c r="J1371">
        <v>3</v>
      </c>
      <c r="K1371" t="s">
        <v>16</v>
      </c>
      <c r="L1371" t="s">
        <v>183</v>
      </c>
      <c r="M1371">
        <f>orders[[#This Row],[Ship Date]]-orders[[#This Row],[Order Date]]</f>
        <v>5</v>
      </c>
      <c r="N1371">
        <f>WEEKNUM(orders[[#This Row],[Order Date]],2)</f>
        <v>8</v>
      </c>
      <c r="O1371" t="str" cm="1">
        <f t="array" ref="O13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72" spans="1:15" x14ac:dyDescent="0.3">
      <c r="A1372" t="s">
        <v>1468</v>
      </c>
      <c r="B1372" t="s">
        <v>36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20</v>
      </c>
      <c r="I1372" t="s">
        <v>48</v>
      </c>
      <c r="J1372">
        <v>4</v>
      </c>
      <c r="K1372" t="s">
        <v>16</v>
      </c>
      <c r="L1372" t="s">
        <v>799</v>
      </c>
      <c r="M1372">
        <f>orders[[#This Row],[Ship Date]]-orders[[#This Row],[Order Date]]</f>
        <v>4</v>
      </c>
      <c r="N1372">
        <f>WEEKNUM(orders[[#This Row],[Order Date]],2)</f>
        <v>8</v>
      </c>
      <c r="O1372" t="str" cm="1">
        <f t="array" ref="O13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73" spans="1:15" x14ac:dyDescent="0.3">
      <c r="A1373" t="s">
        <v>1469</v>
      </c>
      <c r="B1373" t="s">
        <v>19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24</v>
      </c>
      <c r="I1373" t="s">
        <v>67</v>
      </c>
      <c r="J1373">
        <v>3</v>
      </c>
      <c r="K1373" t="s">
        <v>16</v>
      </c>
      <c r="L1373" t="s">
        <v>155</v>
      </c>
      <c r="M1373">
        <f>orders[[#This Row],[Ship Date]]-orders[[#This Row],[Order Date]]</f>
        <v>1</v>
      </c>
      <c r="N1373">
        <f>WEEKNUM(orders[[#This Row],[Order Date]],2)</f>
        <v>8</v>
      </c>
      <c r="O1373" t="str" cm="1">
        <f t="array" ref="O13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74" spans="1:15" x14ac:dyDescent="0.3">
      <c r="A1374" t="s">
        <v>1470</v>
      </c>
      <c r="B1374" t="s">
        <v>36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86</v>
      </c>
      <c r="I1374" t="s">
        <v>15</v>
      </c>
      <c r="J1374">
        <v>4</v>
      </c>
      <c r="K1374" t="s">
        <v>16</v>
      </c>
      <c r="L1374" t="s">
        <v>52</v>
      </c>
      <c r="M1374">
        <f>orders[[#This Row],[Ship Date]]-orders[[#This Row],[Order Date]]</f>
        <v>1</v>
      </c>
      <c r="N1374">
        <f>WEEKNUM(orders[[#This Row],[Order Date]],2)</f>
        <v>8</v>
      </c>
      <c r="O1374" t="str" cm="1">
        <f t="array" ref="O137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375" spans="1:15" x14ac:dyDescent="0.3">
      <c r="A1375" t="s">
        <v>1471</v>
      </c>
      <c r="B1375" t="s">
        <v>36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24</v>
      </c>
      <c r="I1375" t="s">
        <v>37</v>
      </c>
      <c r="J1375">
        <v>5</v>
      </c>
      <c r="K1375" t="s">
        <v>16</v>
      </c>
      <c r="L1375" t="s">
        <v>52</v>
      </c>
      <c r="M1375">
        <f>orders[[#This Row],[Ship Date]]-orders[[#This Row],[Order Date]]</f>
        <v>2</v>
      </c>
      <c r="N1375">
        <f>WEEKNUM(orders[[#This Row],[Order Date]],2)</f>
        <v>8</v>
      </c>
      <c r="O1375" t="str" cm="1">
        <f t="array" ref="O13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76" spans="1:15" x14ac:dyDescent="0.3">
      <c r="A1376" t="s">
        <v>1472</v>
      </c>
      <c r="B1376" t="s">
        <v>51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24</v>
      </c>
      <c r="I1376" t="s">
        <v>37</v>
      </c>
      <c r="J1376">
        <v>3</v>
      </c>
      <c r="K1376" t="s">
        <v>16</v>
      </c>
      <c r="L1376" t="s">
        <v>52</v>
      </c>
      <c r="M1376">
        <f>orders[[#This Row],[Ship Date]]-orders[[#This Row],[Order Date]]</f>
        <v>5</v>
      </c>
      <c r="N1376">
        <f>WEEKNUM(orders[[#This Row],[Order Date]],2)</f>
        <v>8</v>
      </c>
      <c r="O1376" t="str" cm="1">
        <f t="array" ref="O13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77" spans="1:15" x14ac:dyDescent="0.3">
      <c r="A1377" t="s">
        <v>1473</v>
      </c>
      <c r="B1377" t="s">
        <v>143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20</v>
      </c>
      <c r="I1377" t="s">
        <v>15</v>
      </c>
      <c r="J1377">
        <v>3</v>
      </c>
      <c r="K1377" t="s">
        <v>16</v>
      </c>
      <c r="L1377" t="s">
        <v>52</v>
      </c>
      <c r="M1377">
        <f>orders[[#This Row],[Ship Date]]-orders[[#This Row],[Order Date]]</f>
        <v>1</v>
      </c>
      <c r="N1377">
        <f>WEEKNUM(orders[[#This Row],[Order Date]],2)</f>
        <v>8</v>
      </c>
      <c r="O1377" t="str" cm="1">
        <f t="array" ref="O13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78" spans="1:15" x14ac:dyDescent="0.3">
      <c r="A1378" t="s">
        <v>1474</v>
      </c>
      <c r="B1378" t="s">
        <v>19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20</v>
      </c>
      <c r="I1378" t="s">
        <v>15</v>
      </c>
      <c r="J1378">
        <v>4</v>
      </c>
      <c r="K1378" t="s">
        <v>16</v>
      </c>
      <c r="L1378" t="s">
        <v>56</v>
      </c>
      <c r="M1378">
        <f>orders[[#This Row],[Ship Date]]-orders[[#This Row],[Order Date]]</f>
        <v>1</v>
      </c>
      <c r="N1378">
        <f>WEEKNUM(orders[[#This Row],[Order Date]],2)</f>
        <v>8</v>
      </c>
      <c r="O1378" t="str" cm="1">
        <f t="array" ref="O137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79" spans="1:15" x14ac:dyDescent="0.3">
      <c r="A1379" t="s">
        <v>1475</v>
      </c>
      <c r="B1379" t="s">
        <v>143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20</v>
      </c>
      <c r="I1379" t="s">
        <v>48</v>
      </c>
      <c r="J1379">
        <v>3</v>
      </c>
      <c r="K1379" t="s">
        <v>16</v>
      </c>
      <c r="L1379" t="s">
        <v>59</v>
      </c>
      <c r="M1379">
        <f>orders[[#This Row],[Ship Date]]-orders[[#This Row],[Order Date]]</f>
        <v>3</v>
      </c>
      <c r="N1379">
        <f>WEEKNUM(orders[[#This Row],[Order Date]],2)</f>
        <v>8</v>
      </c>
      <c r="O1379" t="str" cm="1">
        <f t="array" ref="O13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0" spans="1:15" x14ac:dyDescent="0.3">
      <c r="A1380" t="s">
        <v>1476</v>
      </c>
      <c r="B1380" t="s">
        <v>41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24</v>
      </c>
      <c r="I1380" t="s">
        <v>15</v>
      </c>
      <c r="J1380">
        <v>4</v>
      </c>
      <c r="K1380" t="s">
        <v>16</v>
      </c>
      <c r="L1380" t="s">
        <v>59</v>
      </c>
      <c r="M1380">
        <f>orders[[#This Row],[Ship Date]]-orders[[#This Row],[Order Date]]</f>
        <v>4</v>
      </c>
      <c r="N1380">
        <f>WEEKNUM(orders[[#This Row],[Order Date]],2)</f>
        <v>8</v>
      </c>
      <c r="O1380" t="str" cm="1">
        <f t="array" ref="O13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81" spans="1:15" x14ac:dyDescent="0.3">
      <c r="A1381" t="s">
        <v>1477</v>
      </c>
      <c r="B1381" t="s">
        <v>41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20</v>
      </c>
      <c r="I1381" t="s">
        <v>32</v>
      </c>
      <c r="J1381">
        <v>5</v>
      </c>
      <c r="K1381" t="s">
        <v>16</v>
      </c>
      <c r="L1381" t="s">
        <v>59</v>
      </c>
      <c r="M1381">
        <f>orders[[#This Row],[Ship Date]]-orders[[#This Row],[Order Date]]</f>
        <v>1</v>
      </c>
      <c r="N1381">
        <f>WEEKNUM(orders[[#This Row],[Order Date]],2)</f>
        <v>8</v>
      </c>
      <c r="O1381" t="str" cm="1">
        <f t="array" ref="O13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2" spans="1:15" x14ac:dyDescent="0.3">
      <c r="A1382" t="s">
        <v>1478</v>
      </c>
      <c r="B1382" t="s">
        <v>51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20</v>
      </c>
      <c r="I1382" t="s">
        <v>37</v>
      </c>
      <c r="J1382">
        <v>5</v>
      </c>
      <c r="K1382" t="s">
        <v>16</v>
      </c>
      <c r="L1382" t="s">
        <v>100</v>
      </c>
      <c r="M1382">
        <f>orders[[#This Row],[Ship Date]]-orders[[#This Row],[Order Date]]</f>
        <v>1</v>
      </c>
      <c r="N1382">
        <f>WEEKNUM(orders[[#This Row],[Order Date]],2)</f>
        <v>8</v>
      </c>
      <c r="O1382" t="str" cm="1">
        <f t="array" ref="O13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3" spans="1:15" x14ac:dyDescent="0.3">
      <c r="A1383" t="s">
        <v>1479</v>
      </c>
      <c r="B1383" t="s">
        <v>13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20</v>
      </c>
      <c r="I1383" t="s">
        <v>15</v>
      </c>
      <c r="J1383">
        <v>4</v>
      </c>
      <c r="K1383" t="s">
        <v>16</v>
      </c>
      <c r="L1383" t="s">
        <v>100</v>
      </c>
      <c r="M1383">
        <f>orders[[#This Row],[Ship Date]]-orders[[#This Row],[Order Date]]</f>
        <v>5</v>
      </c>
      <c r="N1383">
        <f>WEEKNUM(orders[[#This Row],[Order Date]],2)</f>
        <v>8</v>
      </c>
      <c r="O1383" t="str" cm="1">
        <f t="array" ref="O138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4" spans="1:15" x14ac:dyDescent="0.3">
      <c r="A1384" t="s">
        <v>1480</v>
      </c>
      <c r="B1384" t="s">
        <v>36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20</v>
      </c>
      <c r="I1384" t="s">
        <v>32</v>
      </c>
      <c r="J1384">
        <v>4</v>
      </c>
      <c r="K1384" t="s">
        <v>16</v>
      </c>
      <c r="L1384" t="s">
        <v>198</v>
      </c>
      <c r="M1384">
        <f>orders[[#This Row],[Ship Date]]-orders[[#This Row],[Order Date]]</f>
        <v>2</v>
      </c>
      <c r="N1384">
        <f>WEEKNUM(orders[[#This Row],[Order Date]],2)</f>
        <v>8</v>
      </c>
      <c r="O1384" t="str" cm="1">
        <f t="array" ref="O13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5" spans="1:15" x14ac:dyDescent="0.3">
      <c r="A1385" t="s">
        <v>1481</v>
      </c>
      <c r="B1385" t="s">
        <v>41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20</v>
      </c>
      <c r="I1385" t="s">
        <v>67</v>
      </c>
      <c r="J1385">
        <v>5</v>
      </c>
      <c r="K1385" t="s">
        <v>16</v>
      </c>
      <c r="L1385" t="s">
        <v>69</v>
      </c>
      <c r="M1385">
        <f>orders[[#This Row],[Ship Date]]-orders[[#This Row],[Order Date]]</f>
        <v>3</v>
      </c>
      <c r="N1385">
        <f>WEEKNUM(orders[[#This Row],[Order Date]],2)</f>
        <v>8</v>
      </c>
      <c r="O1385" t="str" cm="1">
        <f t="array" ref="O13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6" spans="1:15" x14ac:dyDescent="0.3">
      <c r="A1386" t="s">
        <v>1482</v>
      </c>
      <c r="B1386" t="s">
        <v>132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24</v>
      </c>
      <c r="I1386" t="s">
        <v>37</v>
      </c>
      <c r="J1386">
        <v>4</v>
      </c>
      <c r="K1386" t="s">
        <v>16</v>
      </c>
      <c r="L1386" t="s">
        <v>74</v>
      </c>
      <c r="M1386">
        <f>orders[[#This Row],[Ship Date]]-orders[[#This Row],[Order Date]]</f>
        <v>2</v>
      </c>
      <c r="N1386">
        <f>WEEKNUM(orders[[#This Row],[Order Date]],2)</f>
        <v>8</v>
      </c>
      <c r="O1386" t="str" cm="1">
        <f t="array" ref="O13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87" spans="1:15" x14ac:dyDescent="0.3">
      <c r="A1387" t="s">
        <v>1483</v>
      </c>
      <c r="B1387" t="s">
        <v>41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20</v>
      </c>
      <c r="I1387" t="s">
        <v>15</v>
      </c>
      <c r="J1387">
        <v>5</v>
      </c>
      <c r="K1387" t="s">
        <v>16</v>
      </c>
      <c r="L1387" t="s">
        <v>74</v>
      </c>
      <c r="M1387">
        <f>orders[[#This Row],[Ship Date]]-orders[[#This Row],[Order Date]]</f>
        <v>2</v>
      </c>
      <c r="N1387">
        <f>WEEKNUM(orders[[#This Row],[Order Date]],2)</f>
        <v>8</v>
      </c>
      <c r="O1387" t="str" cm="1">
        <f t="array" ref="O13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8" spans="1:15" x14ac:dyDescent="0.3">
      <c r="A1388" t="s">
        <v>1484</v>
      </c>
      <c r="B1388" t="s">
        <v>51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20</v>
      </c>
      <c r="I1388" t="s">
        <v>67</v>
      </c>
      <c r="J1388">
        <v>3</v>
      </c>
      <c r="K1388" t="s">
        <v>16</v>
      </c>
      <c r="L1388" t="s">
        <v>374</v>
      </c>
      <c r="M1388">
        <f>orders[[#This Row],[Ship Date]]-orders[[#This Row],[Order Date]]</f>
        <v>3</v>
      </c>
      <c r="N1388">
        <f>WEEKNUM(orders[[#This Row],[Order Date]],2)</f>
        <v>8</v>
      </c>
      <c r="O1388" t="str" cm="1">
        <f t="array" ref="O138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89" spans="1:15" x14ac:dyDescent="0.3">
      <c r="A1389" t="s">
        <v>1485</v>
      </c>
      <c r="B1389" t="s">
        <v>43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20</v>
      </c>
      <c r="I1389" t="s">
        <v>15</v>
      </c>
      <c r="J1389">
        <v>4</v>
      </c>
      <c r="K1389" t="s">
        <v>16</v>
      </c>
      <c r="L1389" t="s">
        <v>79</v>
      </c>
      <c r="M1389">
        <f>orders[[#This Row],[Ship Date]]-orders[[#This Row],[Order Date]]</f>
        <v>1</v>
      </c>
      <c r="N1389">
        <f>WEEKNUM(orders[[#This Row],[Order Date]],2)</f>
        <v>8</v>
      </c>
      <c r="O1389" t="str" cm="1">
        <f t="array" ref="O13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0" spans="1:15" x14ac:dyDescent="0.3">
      <c r="A1390" t="s">
        <v>1486</v>
      </c>
      <c r="B1390" t="s">
        <v>27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14</v>
      </c>
      <c r="I1390" t="s">
        <v>32</v>
      </c>
      <c r="J1390">
        <v>5</v>
      </c>
      <c r="K1390" t="s">
        <v>16</v>
      </c>
      <c r="L1390" t="s">
        <v>112</v>
      </c>
      <c r="M1390">
        <f>orders[[#This Row],[Ship Date]]-orders[[#This Row],[Order Date]]</f>
        <v>2</v>
      </c>
      <c r="N1390">
        <f>WEEKNUM(orders[[#This Row],[Order Date]],2)</f>
        <v>8</v>
      </c>
      <c r="O1390" t="str" cm="1">
        <f t="array" ref="O139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391" spans="1:15" x14ac:dyDescent="0.3">
      <c r="A1391" t="s">
        <v>1487</v>
      </c>
      <c r="B1391" t="s">
        <v>39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20</v>
      </c>
      <c r="I1391" t="s">
        <v>15</v>
      </c>
      <c r="J1391">
        <v>3</v>
      </c>
      <c r="K1391" t="s">
        <v>16</v>
      </c>
      <c r="L1391" t="s">
        <v>112</v>
      </c>
      <c r="M1391">
        <f>orders[[#This Row],[Ship Date]]-orders[[#This Row],[Order Date]]</f>
        <v>2</v>
      </c>
      <c r="N1391">
        <f>WEEKNUM(orders[[#This Row],[Order Date]],2)</f>
        <v>8</v>
      </c>
      <c r="O1391" t="str" cm="1">
        <f t="array" ref="O13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2" spans="1:15" x14ac:dyDescent="0.3">
      <c r="A1392" t="s">
        <v>1488</v>
      </c>
      <c r="B1392" t="s">
        <v>41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20</v>
      </c>
      <c r="I1392" t="s">
        <v>37</v>
      </c>
      <c r="J1392">
        <v>4</v>
      </c>
      <c r="K1392" t="s">
        <v>16</v>
      </c>
      <c r="L1392" t="s">
        <v>21</v>
      </c>
      <c r="M1392">
        <f>orders[[#This Row],[Ship Date]]-orders[[#This Row],[Order Date]]</f>
        <v>5</v>
      </c>
      <c r="N1392">
        <f>WEEKNUM(orders[[#This Row],[Order Date]],2)</f>
        <v>8</v>
      </c>
      <c r="O1392" t="str" cm="1">
        <f t="array" ref="O13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3" spans="1:15" x14ac:dyDescent="0.3">
      <c r="A1393" t="s">
        <v>1489</v>
      </c>
      <c r="B1393" t="s">
        <v>39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24</v>
      </c>
      <c r="I1393" t="s">
        <v>67</v>
      </c>
      <c r="J1393">
        <v>5</v>
      </c>
      <c r="K1393" t="s">
        <v>16</v>
      </c>
      <c r="L1393" t="s">
        <v>21</v>
      </c>
      <c r="M1393">
        <f>orders[[#This Row],[Ship Date]]-orders[[#This Row],[Order Date]]</f>
        <v>2</v>
      </c>
      <c r="N1393">
        <f>WEEKNUM(orders[[#This Row],[Order Date]],2)</f>
        <v>8</v>
      </c>
      <c r="O1393" t="str" cm="1">
        <f t="array" ref="O13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394" spans="1:15" x14ac:dyDescent="0.3">
      <c r="A1394" t="s">
        <v>1490</v>
      </c>
      <c r="B1394" t="s">
        <v>132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20</v>
      </c>
      <c r="I1394" t="s">
        <v>67</v>
      </c>
      <c r="J1394">
        <v>4</v>
      </c>
      <c r="K1394" t="s">
        <v>16</v>
      </c>
      <c r="L1394" t="s">
        <v>25</v>
      </c>
      <c r="M1394">
        <f>orders[[#This Row],[Ship Date]]-orders[[#This Row],[Order Date]]</f>
        <v>1</v>
      </c>
      <c r="N1394">
        <f>WEEKNUM(orders[[#This Row],[Order Date]],2)</f>
        <v>8</v>
      </c>
      <c r="O1394" t="str" cm="1">
        <f t="array" ref="O13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5" spans="1:15" x14ac:dyDescent="0.3">
      <c r="A1395" t="s">
        <v>1491</v>
      </c>
      <c r="B1395" t="s">
        <v>51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20</v>
      </c>
      <c r="I1395" t="s">
        <v>15</v>
      </c>
      <c r="J1395">
        <v>4</v>
      </c>
      <c r="K1395" t="s">
        <v>16</v>
      </c>
      <c r="L1395" t="s">
        <v>584</v>
      </c>
      <c r="M1395">
        <f>orders[[#This Row],[Ship Date]]-orders[[#This Row],[Order Date]]</f>
        <v>3</v>
      </c>
      <c r="N1395">
        <f>WEEKNUM(orders[[#This Row],[Order Date]],2)</f>
        <v>8</v>
      </c>
      <c r="O1395" t="str" cm="1">
        <f t="array" ref="O13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6" spans="1:15" x14ac:dyDescent="0.3">
      <c r="A1396" t="s">
        <v>1492</v>
      </c>
      <c r="B1396" t="s">
        <v>39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20</v>
      </c>
      <c r="I1396" t="s">
        <v>37</v>
      </c>
      <c r="J1396">
        <v>4</v>
      </c>
      <c r="K1396" t="s">
        <v>16</v>
      </c>
      <c r="L1396" t="s">
        <v>328</v>
      </c>
      <c r="M1396">
        <f>orders[[#This Row],[Ship Date]]-orders[[#This Row],[Order Date]]</f>
        <v>1</v>
      </c>
      <c r="N1396">
        <f>WEEKNUM(orders[[#This Row],[Order Date]],2)</f>
        <v>8</v>
      </c>
      <c r="O1396" t="str" cm="1">
        <f t="array" ref="O13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7" spans="1:15" x14ac:dyDescent="0.3">
      <c r="A1397" t="s">
        <v>1493</v>
      </c>
      <c r="B1397" t="s">
        <v>43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20</v>
      </c>
      <c r="I1397" t="s">
        <v>67</v>
      </c>
      <c r="J1397">
        <v>4</v>
      </c>
      <c r="K1397" t="s">
        <v>16</v>
      </c>
      <c r="L1397" t="s">
        <v>328</v>
      </c>
      <c r="M1397">
        <f>orders[[#This Row],[Ship Date]]-orders[[#This Row],[Order Date]]</f>
        <v>1</v>
      </c>
      <c r="N1397">
        <f>WEEKNUM(orders[[#This Row],[Order Date]],2)</f>
        <v>8</v>
      </c>
      <c r="O1397" t="str" cm="1">
        <f t="array" ref="O13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8" spans="1:15" x14ac:dyDescent="0.3">
      <c r="A1398" t="s">
        <v>1494</v>
      </c>
      <c r="B1398" t="s">
        <v>41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20</v>
      </c>
      <c r="I1398" t="s">
        <v>15</v>
      </c>
      <c r="J1398">
        <v>5</v>
      </c>
      <c r="K1398" t="s">
        <v>16</v>
      </c>
      <c r="L1398" t="s">
        <v>83</v>
      </c>
      <c r="M1398">
        <f>orders[[#This Row],[Ship Date]]-orders[[#This Row],[Order Date]]</f>
        <v>1</v>
      </c>
      <c r="N1398">
        <f>WEEKNUM(orders[[#This Row],[Order Date]],2)</f>
        <v>8</v>
      </c>
      <c r="O1398" t="str" cm="1">
        <f t="array" ref="O13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399" spans="1:15" x14ac:dyDescent="0.3">
      <c r="A1399" t="s">
        <v>1495</v>
      </c>
      <c r="B1399" t="s">
        <v>29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24</v>
      </c>
      <c r="I1399" t="s">
        <v>37</v>
      </c>
      <c r="J1399">
        <v>4</v>
      </c>
      <c r="K1399" t="s">
        <v>16</v>
      </c>
      <c r="L1399" t="s">
        <v>144</v>
      </c>
      <c r="M1399">
        <f>orders[[#This Row],[Ship Date]]-orders[[#This Row],[Order Date]]</f>
        <v>3</v>
      </c>
      <c r="N1399">
        <f>WEEKNUM(orders[[#This Row],[Order Date]],2)</f>
        <v>8</v>
      </c>
      <c r="O1399" t="str" cm="1">
        <f t="array" ref="O13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0" spans="1:15" x14ac:dyDescent="0.3">
      <c r="A1400" t="s">
        <v>1496</v>
      </c>
      <c r="B1400" t="s">
        <v>19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24</v>
      </c>
      <c r="I1400" t="s">
        <v>15</v>
      </c>
      <c r="J1400">
        <v>4</v>
      </c>
      <c r="K1400" t="s">
        <v>16</v>
      </c>
      <c r="L1400" t="s">
        <v>30</v>
      </c>
      <c r="M1400">
        <f>orders[[#This Row],[Ship Date]]-orders[[#This Row],[Order Date]]</f>
        <v>0</v>
      </c>
      <c r="N1400">
        <f>WEEKNUM(orders[[#This Row],[Order Date]],2)</f>
        <v>8</v>
      </c>
      <c r="O1400" t="str" cm="1">
        <f t="array" ref="O14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1" spans="1:15" x14ac:dyDescent="0.3">
      <c r="A1401" t="s">
        <v>1497</v>
      </c>
      <c r="B1401" t="s">
        <v>13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20</v>
      </c>
      <c r="I1401" t="s">
        <v>15</v>
      </c>
      <c r="J1401">
        <v>4</v>
      </c>
      <c r="K1401" t="s">
        <v>16</v>
      </c>
      <c r="L1401" t="s">
        <v>30</v>
      </c>
      <c r="M1401">
        <f>orders[[#This Row],[Ship Date]]-orders[[#This Row],[Order Date]]</f>
        <v>3</v>
      </c>
      <c r="N1401">
        <f>WEEKNUM(orders[[#This Row],[Order Date]],2)</f>
        <v>8</v>
      </c>
      <c r="O1401" t="str" cm="1">
        <f t="array" ref="O14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02" spans="1:15" x14ac:dyDescent="0.3">
      <c r="A1402" t="s">
        <v>1498</v>
      </c>
      <c r="B1402" t="s">
        <v>13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24</v>
      </c>
      <c r="I1402" t="s">
        <v>67</v>
      </c>
      <c r="J1402">
        <v>4</v>
      </c>
      <c r="K1402" t="s">
        <v>16</v>
      </c>
      <c r="L1402" t="s">
        <v>30</v>
      </c>
      <c r="M1402">
        <f>orders[[#This Row],[Ship Date]]-orders[[#This Row],[Order Date]]</f>
        <v>1</v>
      </c>
      <c r="N1402">
        <f>WEEKNUM(orders[[#This Row],[Order Date]],2)</f>
        <v>8</v>
      </c>
      <c r="O1402" t="str" cm="1">
        <f t="array" ref="O14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3" spans="1:15" x14ac:dyDescent="0.3">
      <c r="A1403" t="s">
        <v>1499</v>
      </c>
      <c r="B1403" t="s">
        <v>41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24</v>
      </c>
      <c r="I1403" t="s">
        <v>15</v>
      </c>
      <c r="J1403">
        <v>4</v>
      </c>
      <c r="K1403" t="s">
        <v>16</v>
      </c>
      <c r="L1403" t="s">
        <v>30</v>
      </c>
      <c r="M1403">
        <f>orders[[#This Row],[Ship Date]]-orders[[#This Row],[Order Date]]</f>
        <v>1</v>
      </c>
      <c r="N1403">
        <f>WEEKNUM(orders[[#This Row],[Order Date]],2)</f>
        <v>8</v>
      </c>
      <c r="O1403" t="str" cm="1">
        <f t="array" ref="O14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4" spans="1:15" x14ac:dyDescent="0.3">
      <c r="A1404" t="s">
        <v>1500</v>
      </c>
      <c r="B1404" t="s">
        <v>23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20</v>
      </c>
      <c r="I1404" t="s">
        <v>37</v>
      </c>
      <c r="J1404">
        <v>4</v>
      </c>
      <c r="K1404" t="s">
        <v>16</v>
      </c>
      <c r="L1404" t="s">
        <v>30</v>
      </c>
      <c r="M1404">
        <f>orders[[#This Row],[Ship Date]]-orders[[#This Row],[Order Date]]</f>
        <v>5</v>
      </c>
      <c r="N1404">
        <f>WEEKNUM(orders[[#This Row],[Order Date]],2)</f>
        <v>8</v>
      </c>
      <c r="O1404" t="str" cm="1">
        <f t="array" ref="O14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05" spans="1:15" x14ac:dyDescent="0.3">
      <c r="A1405" t="s">
        <v>1501</v>
      </c>
      <c r="B1405" t="s">
        <v>41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20</v>
      </c>
      <c r="I1405" t="s">
        <v>32</v>
      </c>
      <c r="J1405">
        <v>4</v>
      </c>
      <c r="K1405" t="s">
        <v>16</v>
      </c>
      <c r="L1405" t="s">
        <v>30</v>
      </c>
      <c r="M1405">
        <f>orders[[#This Row],[Ship Date]]-orders[[#This Row],[Order Date]]</f>
        <v>3</v>
      </c>
      <c r="N1405">
        <f>WEEKNUM(orders[[#This Row],[Order Date]],2)</f>
        <v>8</v>
      </c>
      <c r="O1405" t="str" cm="1">
        <f t="array" ref="O14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06" spans="1:15" x14ac:dyDescent="0.3">
      <c r="A1406" t="s">
        <v>1502</v>
      </c>
      <c r="B1406" t="s">
        <v>19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24</v>
      </c>
      <c r="I1406" t="s">
        <v>32</v>
      </c>
      <c r="J1406">
        <v>4</v>
      </c>
      <c r="K1406" t="s">
        <v>16</v>
      </c>
      <c r="L1406" t="s">
        <v>30</v>
      </c>
      <c r="M1406">
        <f>orders[[#This Row],[Ship Date]]-orders[[#This Row],[Order Date]]</f>
        <v>4</v>
      </c>
      <c r="N1406">
        <f>WEEKNUM(orders[[#This Row],[Order Date]],2)</f>
        <v>8</v>
      </c>
      <c r="O1406" t="str" cm="1">
        <f t="array" ref="O14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7" spans="1:15" x14ac:dyDescent="0.3">
      <c r="A1407" t="s">
        <v>1503</v>
      </c>
      <c r="B1407" t="s">
        <v>27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24</v>
      </c>
      <c r="I1407" t="s">
        <v>15</v>
      </c>
      <c r="J1407">
        <v>4</v>
      </c>
      <c r="K1407" t="s">
        <v>16</v>
      </c>
      <c r="L1407" t="s">
        <v>30</v>
      </c>
      <c r="M1407">
        <f>orders[[#This Row],[Ship Date]]-orders[[#This Row],[Order Date]]</f>
        <v>1</v>
      </c>
      <c r="N1407">
        <f>WEEKNUM(orders[[#This Row],[Order Date]],2)</f>
        <v>8</v>
      </c>
      <c r="O1407" t="str" cm="1">
        <f t="array" ref="O14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8" spans="1:15" x14ac:dyDescent="0.3">
      <c r="A1408" t="s">
        <v>1504</v>
      </c>
      <c r="B1408" t="s">
        <v>43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24</v>
      </c>
      <c r="I1408" t="s">
        <v>48</v>
      </c>
      <c r="J1408">
        <v>4</v>
      </c>
      <c r="K1408" t="s">
        <v>16</v>
      </c>
      <c r="L1408" t="s">
        <v>30</v>
      </c>
      <c r="M1408">
        <f>orders[[#This Row],[Ship Date]]-orders[[#This Row],[Order Date]]</f>
        <v>5</v>
      </c>
      <c r="N1408">
        <f>WEEKNUM(orders[[#This Row],[Order Date]],2)</f>
        <v>8</v>
      </c>
      <c r="O1408" t="str" cm="1">
        <f t="array" ref="O14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09" spans="1:15" x14ac:dyDescent="0.3">
      <c r="A1409" t="s">
        <v>1505</v>
      </c>
      <c r="B1409" t="s">
        <v>23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20</v>
      </c>
      <c r="I1409" t="s">
        <v>67</v>
      </c>
      <c r="J1409">
        <v>3</v>
      </c>
      <c r="K1409" t="s">
        <v>16</v>
      </c>
      <c r="L1409" t="s">
        <v>30</v>
      </c>
      <c r="M1409">
        <f>orders[[#This Row],[Ship Date]]-orders[[#This Row],[Order Date]]</f>
        <v>0</v>
      </c>
      <c r="N1409">
        <f>WEEKNUM(orders[[#This Row],[Order Date]],2)</f>
        <v>8</v>
      </c>
      <c r="O1409" t="str" cm="1">
        <f t="array" ref="O14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10" spans="1:15" x14ac:dyDescent="0.3">
      <c r="A1410" t="s">
        <v>1506</v>
      </c>
      <c r="B1410" t="s">
        <v>23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20</v>
      </c>
      <c r="I1410" t="s">
        <v>37</v>
      </c>
      <c r="J1410">
        <v>4</v>
      </c>
      <c r="K1410" t="s">
        <v>16</v>
      </c>
      <c r="L1410" t="s">
        <v>30</v>
      </c>
      <c r="M1410">
        <f>orders[[#This Row],[Ship Date]]-orders[[#This Row],[Order Date]]</f>
        <v>2</v>
      </c>
      <c r="N1410">
        <f>WEEKNUM(orders[[#This Row],[Order Date]],2)</f>
        <v>8</v>
      </c>
      <c r="O1410" t="str" cm="1">
        <f t="array" ref="O14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11" spans="1:15" x14ac:dyDescent="0.3">
      <c r="A1411" t="s">
        <v>1507</v>
      </c>
      <c r="B1411" t="s">
        <v>29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86</v>
      </c>
      <c r="I1411" t="s">
        <v>67</v>
      </c>
      <c r="J1411">
        <v>3</v>
      </c>
      <c r="K1411" t="s">
        <v>16</v>
      </c>
      <c r="L1411" t="s">
        <v>30</v>
      </c>
      <c r="M1411">
        <f>orders[[#This Row],[Ship Date]]-orders[[#This Row],[Order Date]]</f>
        <v>1</v>
      </c>
      <c r="N1411">
        <f>WEEKNUM(orders[[#This Row],[Order Date]],2)</f>
        <v>8</v>
      </c>
      <c r="O1411" t="str" cm="1">
        <f t="array" ref="O1411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412" spans="1:15" x14ac:dyDescent="0.3">
      <c r="A1412" t="s">
        <v>1508</v>
      </c>
      <c r="B1412" t="s">
        <v>64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24</v>
      </c>
      <c r="I1412" t="s">
        <v>48</v>
      </c>
      <c r="J1412">
        <v>1</v>
      </c>
      <c r="K1412" t="s">
        <v>16</v>
      </c>
      <c r="L1412" t="s">
        <v>30</v>
      </c>
      <c r="M1412">
        <f>orders[[#This Row],[Ship Date]]-orders[[#This Row],[Order Date]]</f>
        <v>0</v>
      </c>
      <c r="N1412">
        <f>WEEKNUM(orders[[#This Row],[Order Date]],2)</f>
        <v>8</v>
      </c>
      <c r="O1412" t="str" cm="1">
        <f t="array" ref="O14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13" spans="1:15" x14ac:dyDescent="0.3">
      <c r="A1413" t="s">
        <v>1509</v>
      </c>
      <c r="B1413" t="s">
        <v>23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86</v>
      </c>
      <c r="I1413" t="s">
        <v>15</v>
      </c>
      <c r="J1413">
        <v>4</v>
      </c>
      <c r="K1413" t="s">
        <v>16</v>
      </c>
      <c r="L1413" t="s">
        <v>30</v>
      </c>
      <c r="M1413">
        <f>orders[[#This Row],[Ship Date]]-orders[[#This Row],[Order Date]]</f>
        <v>2</v>
      </c>
      <c r="N1413">
        <f>WEEKNUM(orders[[#This Row],[Order Date]],2)</f>
        <v>8</v>
      </c>
      <c r="O1413" t="str" cm="1">
        <f t="array" ref="O141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414" spans="1:15" x14ac:dyDescent="0.3">
      <c r="A1414" t="s">
        <v>1510</v>
      </c>
      <c r="B1414" t="s">
        <v>43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24</v>
      </c>
      <c r="I1414" t="s">
        <v>48</v>
      </c>
      <c r="J1414">
        <v>4</v>
      </c>
      <c r="K1414" t="s">
        <v>16</v>
      </c>
      <c r="L1414" t="s">
        <v>30</v>
      </c>
      <c r="M1414">
        <f>orders[[#This Row],[Ship Date]]-orders[[#This Row],[Order Date]]</f>
        <v>1</v>
      </c>
      <c r="N1414">
        <f>WEEKNUM(orders[[#This Row],[Order Date]],2)</f>
        <v>8</v>
      </c>
      <c r="O1414" t="str" cm="1">
        <f t="array" ref="O14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15" spans="1:15" x14ac:dyDescent="0.3">
      <c r="A1415" t="s">
        <v>1511</v>
      </c>
      <c r="B1415" t="s">
        <v>36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24</v>
      </c>
      <c r="I1415" t="s">
        <v>32</v>
      </c>
      <c r="J1415">
        <v>4</v>
      </c>
      <c r="K1415" t="s">
        <v>16</v>
      </c>
      <c r="L1415" t="s">
        <v>46</v>
      </c>
      <c r="M1415">
        <f>orders[[#This Row],[Ship Date]]-orders[[#This Row],[Order Date]]</f>
        <v>1</v>
      </c>
      <c r="N1415">
        <f>WEEKNUM(orders[[#This Row],[Order Date]],2)</f>
        <v>8</v>
      </c>
      <c r="O1415" t="str" cm="1">
        <f t="array" ref="O14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16" spans="1:15" x14ac:dyDescent="0.3">
      <c r="A1416" t="s">
        <v>1512</v>
      </c>
      <c r="B1416" t="s">
        <v>41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24</v>
      </c>
      <c r="I1416" t="s">
        <v>15</v>
      </c>
      <c r="J1416">
        <v>3</v>
      </c>
      <c r="K1416" t="s">
        <v>16</v>
      </c>
      <c r="L1416" t="s">
        <v>155</v>
      </c>
      <c r="M1416">
        <f>orders[[#This Row],[Ship Date]]-orders[[#This Row],[Order Date]]</f>
        <v>2</v>
      </c>
      <c r="N1416">
        <f>WEEKNUM(orders[[#This Row],[Order Date]],2)</f>
        <v>8</v>
      </c>
      <c r="O1416" t="str" cm="1">
        <f t="array" ref="O14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17" spans="1:15" x14ac:dyDescent="0.3">
      <c r="A1417" t="s">
        <v>1513</v>
      </c>
      <c r="B1417" t="s">
        <v>36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24</v>
      </c>
      <c r="I1417" t="s">
        <v>15</v>
      </c>
      <c r="J1417">
        <v>4</v>
      </c>
      <c r="K1417" t="s">
        <v>16</v>
      </c>
      <c r="L1417" t="s">
        <v>52</v>
      </c>
      <c r="M1417">
        <f>orders[[#This Row],[Ship Date]]-orders[[#This Row],[Order Date]]</f>
        <v>2</v>
      </c>
      <c r="N1417">
        <f>WEEKNUM(orders[[#This Row],[Order Date]],2)</f>
        <v>8</v>
      </c>
      <c r="O1417" t="str" cm="1">
        <f t="array" ref="O14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18" spans="1:15" x14ac:dyDescent="0.3">
      <c r="A1418" t="s">
        <v>1514</v>
      </c>
      <c r="B1418" t="s">
        <v>43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24</v>
      </c>
      <c r="I1418" t="s">
        <v>37</v>
      </c>
      <c r="J1418">
        <v>4</v>
      </c>
      <c r="K1418" t="s">
        <v>16</v>
      </c>
      <c r="L1418" t="s">
        <v>59</v>
      </c>
      <c r="M1418">
        <f>orders[[#This Row],[Ship Date]]-orders[[#This Row],[Order Date]]</f>
        <v>1</v>
      </c>
      <c r="N1418">
        <f>WEEKNUM(orders[[#This Row],[Order Date]],2)</f>
        <v>8</v>
      </c>
      <c r="O1418" t="str" cm="1">
        <f t="array" ref="O14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19" spans="1:15" x14ac:dyDescent="0.3">
      <c r="A1419" t="s">
        <v>1515</v>
      </c>
      <c r="B1419" t="s">
        <v>41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20</v>
      </c>
      <c r="I1419" t="s">
        <v>37</v>
      </c>
      <c r="J1419">
        <v>3</v>
      </c>
      <c r="K1419" t="s">
        <v>16</v>
      </c>
      <c r="L1419" t="s">
        <v>59</v>
      </c>
      <c r="M1419">
        <f>orders[[#This Row],[Ship Date]]-orders[[#This Row],[Order Date]]</f>
        <v>4</v>
      </c>
      <c r="N1419">
        <f>WEEKNUM(orders[[#This Row],[Order Date]],2)</f>
        <v>8</v>
      </c>
      <c r="O1419" t="str" cm="1">
        <f t="array" ref="O14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20" spans="1:15" x14ac:dyDescent="0.3">
      <c r="A1420" t="s">
        <v>1516</v>
      </c>
      <c r="B1420" t="s">
        <v>120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24</v>
      </c>
      <c r="I1420" t="s">
        <v>32</v>
      </c>
      <c r="J1420">
        <v>3</v>
      </c>
      <c r="K1420" t="s">
        <v>16</v>
      </c>
      <c r="L1420" t="s">
        <v>59</v>
      </c>
      <c r="M1420">
        <f>orders[[#This Row],[Ship Date]]-orders[[#This Row],[Order Date]]</f>
        <v>2</v>
      </c>
      <c r="N1420">
        <f>WEEKNUM(orders[[#This Row],[Order Date]],2)</f>
        <v>8</v>
      </c>
      <c r="O1420" t="str" cm="1">
        <f t="array" ref="O14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21" spans="1:15" x14ac:dyDescent="0.3">
      <c r="A1421" t="s">
        <v>1517</v>
      </c>
      <c r="B1421" t="s">
        <v>43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24</v>
      </c>
      <c r="I1421" t="s">
        <v>32</v>
      </c>
      <c r="J1421">
        <v>4</v>
      </c>
      <c r="K1421" t="s">
        <v>16</v>
      </c>
      <c r="L1421" t="s">
        <v>59</v>
      </c>
      <c r="M1421">
        <f>orders[[#This Row],[Ship Date]]-orders[[#This Row],[Order Date]]</f>
        <v>1</v>
      </c>
      <c r="N1421">
        <f>WEEKNUM(orders[[#This Row],[Order Date]],2)</f>
        <v>8</v>
      </c>
      <c r="O1421" t="str" cm="1">
        <f t="array" ref="O14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22" spans="1:15" x14ac:dyDescent="0.3">
      <c r="A1422" t="s">
        <v>1518</v>
      </c>
      <c r="B1422" t="s">
        <v>64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20</v>
      </c>
      <c r="I1422" t="s">
        <v>32</v>
      </c>
      <c r="J1422">
        <v>4</v>
      </c>
      <c r="K1422" t="s">
        <v>16</v>
      </c>
      <c r="L1422" t="s">
        <v>69</v>
      </c>
      <c r="M1422">
        <f>orders[[#This Row],[Ship Date]]-orders[[#This Row],[Order Date]]</f>
        <v>2</v>
      </c>
      <c r="N1422">
        <f>WEEKNUM(orders[[#This Row],[Order Date]],2)</f>
        <v>8</v>
      </c>
      <c r="O1422" t="str" cm="1">
        <f t="array" ref="O14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23" spans="1:15" x14ac:dyDescent="0.3">
      <c r="A1423" t="s">
        <v>1519</v>
      </c>
      <c r="B1423" t="s">
        <v>66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24</v>
      </c>
      <c r="I1423" t="s">
        <v>15</v>
      </c>
      <c r="J1423">
        <v>3</v>
      </c>
      <c r="K1423" t="s">
        <v>16</v>
      </c>
      <c r="L1423" t="s">
        <v>69</v>
      </c>
      <c r="M1423">
        <f>orders[[#This Row],[Ship Date]]-orders[[#This Row],[Order Date]]</f>
        <v>4</v>
      </c>
      <c r="N1423">
        <f>WEEKNUM(orders[[#This Row],[Order Date]],2)</f>
        <v>8</v>
      </c>
      <c r="O1423" t="str" cm="1">
        <f t="array" ref="O14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24" spans="1:15" x14ac:dyDescent="0.3">
      <c r="A1424" t="s">
        <v>1520</v>
      </c>
      <c r="B1424" t="s">
        <v>41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24</v>
      </c>
      <c r="I1424" t="s">
        <v>37</v>
      </c>
      <c r="J1424">
        <v>3</v>
      </c>
      <c r="K1424" t="s">
        <v>16</v>
      </c>
      <c r="L1424" t="s">
        <v>69</v>
      </c>
      <c r="M1424">
        <f>orders[[#This Row],[Ship Date]]-orders[[#This Row],[Order Date]]</f>
        <v>1</v>
      </c>
      <c r="N1424">
        <f>WEEKNUM(orders[[#This Row],[Order Date]],2)</f>
        <v>8</v>
      </c>
      <c r="O1424" t="str" cm="1">
        <f t="array" ref="O14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25" spans="1:15" x14ac:dyDescent="0.3">
      <c r="A1425" t="s">
        <v>1521</v>
      </c>
      <c r="B1425" t="s">
        <v>51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24</v>
      </c>
      <c r="I1425" t="s">
        <v>37</v>
      </c>
      <c r="J1425">
        <v>4</v>
      </c>
      <c r="K1425" t="s">
        <v>16</v>
      </c>
      <c r="L1425" t="s">
        <v>74</v>
      </c>
      <c r="M1425">
        <f>orders[[#This Row],[Ship Date]]-orders[[#This Row],[Order Date]]</f>
        <v>0</v>
      </c>
      <c r="N1425">
        <f>WEEKNUM(orders[[#This Row],[Order Date]],2)</f>
        <v>8</v>
      </c>
      <c r="O1425" t="str" cm="1">
        <f t="array" ref="O14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26" spans="1:15" x14ac:dyDescent="0.3">
      <c r="A1426" t="s">
        <v>1522</v>
      </c>
      <c r="B1426" t="s">
        <v>125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14</v>
      </c>
      <c r="I1426" t="s">
        <v>32</v>
      </c>
      <c r="J1426">
        <v>3</v>
      </c>
      <c r="K1426" t="s">
        <v>16</v>
      </c>
      <c r="L1426" t="s">
        <v>74</v>
      </c>
      <c r="M1426">
        <f>orders[[#This Row],[Ship Date]]-orders[[#This Row],[Order Date]]</f>
        <v>0</v>
      </c>
      <c r="N1426">
        <f>WEEKNUM(orders[[#This Row],[Order Date]],2)</f>
        <v>8</v>
      </c>
      <c r="O1426" t="str" cm="1">
        <f t="array" ref="O142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427" spans="1:15" x14ac:dyDescent="0.3">
      <c r="A1427" t="s">
        <v>1523</v>
      </c>
      <c r="B1427" t="s">
        <v>39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24</v>
      </c>
      <c r="I1427" t="s">
        <v>32</v>
      </c>
      <c r="J1427">
        <v>4</v>
      </c>
      <c r="K1427" t="s">
        <v>16</v>
      </c>
      <c r="L1427" t="s">
        <v>74</v>
      </c>
      <c r="M1427">
        <f>orders[[#This Row],[Ship Date]]-orders[[#This Row],[Order Date]]</f>
        <v>1</v>
      </c>
      <c r="N1427">
        <f>WEEKNUM(orders[[#This Row],[Order Date]],2)</f>
        <v>8</v>
      </c>
      <c r="O1427" t="str" cm="1">
        <f t="array" ref="O14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28" spans="1:15" x14ac:dyDescent="0.3">
      <c r="A1428" t="s">
        <v>1524</v>
      </c>
      <c r="B1428" t="s">
        <v>27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20</v>
      </c>
      <c r="I1428" t="s">
        <v>15</v>
      </c>
      <c r="J1428">
        <v>5</v>
      </c>
      <c r="K1428" t="s">
        <v>16</v>
      </c>
      <c r="L1428" t="s">
        <v>110</v>
      </c>
      <c r="M1428">
        <f>orders[[#This Row],[Ship Date]]-orders[[#This Row],[Order Date]]</f>
        <v>2</v>
      </c>
      <c r="N1428">
        <f>WEEKNUM(orders[[#This Row],[Order Date]],2)</f>
        <v>8</v>
      </c>
      <c r="O1428" t="str" cm="1">
        <f t="array" ref="O14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29" spans="1:15" x14ac:dyDescent="0.3">
      <c r="A1429" t="s">
        <v>1525</v>
      </c>
      <c r="B1429" t="s">
        <v>43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20</v>
      </c>
      <c r="I1429" t="s">
        <v>48</v>
      </c>
      <c r="J1429">
        <v>3</v>
      </c>
      <c r="K1429" t="s">
        <v>16</v>
      </c>
      <c r="L1429" t="s">
        <v>112</v>
      </c>
      <c r="M1429">
        <f>orders[[#This Row],[Ship Date]]-orders[[#This Row],[Order Date]]</f>
        <v>3</v>
      </c>
      <c r="N1429">
        <f>WEEKNUM(orders[[#This Row],[Order Date]],2)</f>
        <v>8</v>
      </c>
      <c r="O1429" t="str" cm="1">
        <f t="array" ref="O14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30" spans="1:15" x14ac:dyDescent="0.3">
      <c r="A1430" t="s">
        <v>1526</v>
      </c>
      <c r="B1430" t="s">
        <v>36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20</v>
      </c>
      <c r="I1430" t="s">
        <v>32</v>
      </c>
      <c r="J1430">
        <v>4</v>
      </c>
      <c r="K1430" t="s">
        <v>16</v>
      </c>
      <c r="L1430" t="s">
        <v>112</v>
      </c>
      <c r="M1430">
        <f>orders[[#This Row],[Ship Date]]-orders[[#This Row],[Order Date]]</f>
        <v>2</v>
      </c>
      <c r="N1430">
        <f>WEEKNUM(orders[[#This Row],[Order Date]],2)</f>
        <v>8</v>
      </c>
      <c r="O1430" t="str" cm="1">
        <f t="array" ref="O143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31" spans="1:15" x14ac:dyDescent="0.3">
      <c r="A1431" t="s">
        <v>1527</v>
      </c>
      <c r="B1431" t="s">
        <v>125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20</v>
      </c>
      <c r="I1431" t="s">
        <v>15</v>
      </c>
      <c r="J1431">
        <v>4</v>
      </c>
      <c r="K1431" t="s">
        <v>16</v>
      </c>
      <c r="L1431" t="s">
        <v>21</v>
      </c>
      <c r="M1431">
        <f>orders[[#This Row],[Ship Date]]-orders[[#This Row],[Order Date]]</f>
        <v>3</v>
      </c>
      <c r="N1431">
        <f>WEEKNUM(orders[[#This Row],[Order Date]],2)</f>
        <v>8</v>
      </c>
      <c r="O1431" t="str" cm="1">
        <f t="array" ref="O14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32" spans="1:15" x14ac:dyDescent="0.3">
      <c r="A1432" t="s">
        <v>1528</v>
      </c>
      <c r="B1432" t="s">
        <v>43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24</v>
      </c>
      <c r="I1432" t="s">
        <v>37</v>
      </c>
      <c r="J1432">
        <v>5</v>
      </c>
      <c r="K1432" t="s">
        <v>16</v>
      </c>
      <c r="L1432" t="s">
        <v>25</v>
      </c>
      <c r="M1432">
        <f>orders[[#This Row],[Ship Date]]-orders[[#This Row],[Order Date]]</f>
        <v>1</v>
      </c>
      <c r="N1432">
        <f>WEEKNUM(orders[[#This Row],[Order Date]],2)</f>
        <v>8</v>
      </c>
      <c r="O1432" t="str" cm="1">
        <f t="array" ref="O14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33" spans="1:15" x14ac:dyDescent="0.3">
      <c r="A1433" t="s">
        <v>1529</v>
      </c>
      <c r="B1433" t="s">
        <v>168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24</v>
      </c>
      <c r="I1433" t="s">
        <v>32</v>
      </c>
      <c r="J1433">
        <v>5</v>
      </c>
      <c r="K1433" t="s">
        <v>16</v>
      </c>
      <c r="L1433" t="s">
        <v>331</v>
      </c>
      <c r="M1433">
        <f>orders[[#This Row],[Ship Date]]-orders[[#This Row],[Order Date]]</f>
        <v>2</v>
      </c>
      <c r="N1433">
        <f>WEEKNUM(orders[[#This Row],[Order Date]],2)</f>
        <v>8</v>
      </c>
      <c r="O1433" t="str" cm="1">
        <f t="array" ref="O14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34" spans="1:15" x14ac:dyDescent="0.3">
      <c r="A1434" t="s">
        <v>1530</v>
      </c>
      <c r="B1434" t="s">
        <v>13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24</v>
      </c>
      <c r="I1434" t="s">
        <v>48</v>
      </c>
      <c r="J1434">
        <v>5</v>
      </c>
      <c r="K1434" t="s">
        <v>16</v>
      </c>
      <c r="L1434" t="s">
        <v>30</v>
      </c>
      <c r="M1434">
        <f>orders[[#This Row],[Ship Date]]-orders[[#This Row],[Order Date]]</f>
        <v>2</v>
      </c>
      <c r="N1434">
        <f>WEEKNUM(orders[[#This Row],[Order Date]],2)</f>
        <v>8</v>
      </c>
      <c r="O1434" t="str" cm="1">
        <f t="array" ref="O14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35" spans="1:15" x14ac:dyDescent="0.3">
      <c r="A1435" t="s">
        <v>1531</v>
      </c>
      <c r="B1435" t="s">
        <v>27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20</v>
      </c>
      <c r="I1435" t="s">
        <v>15</v>
      </c>
      <c r="J1435">
        <v>4</v>
      </c>
      <c r="K1435" t="s">
        <v>16</v>
      </c>
      <c r="L1435" t="s">
        <v>30</v>
      </c>
      <c r="M1435">
        <f>orders[[#This Row],[Ship Date]]-orders[[#This Row],[Order Date]]</f>
        <v>2</v>
      </c>
      <c r="N1435">
        <f>WEEKNUM(orders[[#This Row],[Order Date]],2)</f>
        <v>8</v>
      </c>
      <c r="O1435" t="str" cm="1">
        <f t="array" ref="O14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36" spans="1:15" x14ac:dyDescent="0.3">
      <c r="A1436" t="s">
        <v>1532</v>
      </c>
      <c r="B1436" t="s">
        <v>23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24</v>
      </c>
      <c r="I1436" t="s">
        <v>32</v>
      </c>
      <c r="J1436">
        <v>4</v>
      </c>
      <c r="K1436" t="s">
        <v>16</v>
      </c>
      <c r="L1436" t="s">
        <v>30</v>
      </c>
      <c r="M1436">
        <f>orders[[#This Row],[Ship Date]]-orders[[#This Row],[Order Date]]</f>
        <v>2</v>
      </c>
      <c r="N1436">
        <f>WEEKNUM(orders[[#This Row],[Order Date]],2)</f>
        <v>8</v>
      </c>
      <c r="O1436" t="str" cm="1">
        <f t="array" ref="O14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37" spans="1:15" x14ac:dyDescent="0.3">
      <c r="A1437" t="s">
        <v>1533</v>
      </c>
      <c r="B1437" t="s">
        <v>39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24</v>
      </c>
      <c r="I1437" t="s">
        <v>15</v>
      </c>
      <c r="J1437">
        <v>4</v>
      </c>
      <c r="K1437" t="s">
        <v>16</v>
      </c>
      <c r="L1437" t="s">
        <v>30</v>
      </c>
      <c r="M1437">
        <f>orders[[#This Row],[Ship Date]]-orders[[#This Row],[Order Date]]</f>
        <v>1</v>
      </c>
      <c r="N1437">
        <f>WEEKNUM(orders[[#This Row],[Order Date]],2)</f>
        <v>8</v>
      </c>
      <c r="O1437" t="str" cm="1">
        <f t="array" ref="O143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38" spans="1:15" x14ac:dyDescent="0.3">
      <c r="A1438" t="s">
        <v>1534</v>
      </c>
      <c r="B1438" t="s">
        <v>39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24</v>
      </c>
      <c r="I1438" t="s">
        <v>32</v>
      </c>
      <c r="J1438">
        <v>4</v>
      </c>
      <c r="K1438" t="s">
        <v>16</v>
      </c>
      <c r="L1438" t="s">
        <v>30</v>
      </c>
      <c r="M1438">
        <f>orders[[#This Row],[Ship Date]]-orders[[#This Row],[Order Date]]</f>
        <v>14</v>
      </c>
      <c r="N1438">
        <f>WEEKNUM(orders[[#This Row],[Order Date]],2)</f>
        <v>8</v>
      </c>
      <c r="O1438" t="str" cm="1">
        <f t="array" ref="O14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39" spans="1:15" x14ac:dyDescent="0.3">
      <c r="A1439" t="s">
        <v>1535</v>
      </c>
      <c r="B1439" t="s">
        <v>66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24</v>
      </c>
      <c r="I1439" t="s">
        <v>67</v>
      </c>
      <c r="J1439">
        <v>4</v>
      </c>
      <c r="K1439" t="s">
        <v>16</v>
      </c>
      <c r="L1439" t="s">
        <v>30</v>
      </c>
      <c r="M1439">
        <f>orders[[#This Row],[Ship Date]]-orders[[#This Row],[Order Date]]</f>
        <v>4</v>
      </c>
      <c r="N1439">
        <f>WEEKNUM(orders[[#This Row],[Order Date]],2)</f>
        <v>8</v>
      </c>
      <c r="O1439" t="str" cm="1">
        <f t="array" ref="O14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40" spans="1:15" x14ac:dyDescent="0.3">
      <c r="A1440" t="s">
        <v>1536</v>
      </c>
      <c r="B1440" t="s">
        <v>41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20</v>
      </c>
      <c r="I1440" t="s">
        <v>15</v>
      </c>
      <c r="J1440">
        <v>4</v>
      </c>
      <c r="K1440" t="s">
        <v>16</v>
      </c>
      <c r="L1440" t="s">
        <v>542</v>
      </c>
      <c r="M1440">
        <f>orders[[#This Row],[Ship Date]]-orders[[#This Row],[Order Date]]</f>
        <v>2</v>
      </c>
      <c r="N1440">
        <f>WEEKNUM(orders[[#This Row],[Order Date]],2)</f>
        <v>8</v>
      </c>
      <c r="O1440" t="str" cm="1">
        <f t="array" ref="O14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41" spans="1:15" x14ac:dyDescent="0.3">
      <c r="A1441" t="s">
        <v>1537</v>
      </c>
      <c r="B1441" t="s">
        <v>41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20</v>
      </c>
      <c r="I1441" t="s">
        <v>32</v>
      </c>
      <c r="J1441">
        <v>5</v>
      </c>
      <c r="K1441" t="s">
        <v>16</v>
      </c>
      <c r="L1441" t="s">
        <v>52</v>
      </c>
      <c r="M1441">
        <f>orders[[#This Row],[Ship Date]]-orders[[#This Row],[Order Date]]</f>
        <v>1</v>
      </c>
      <c r="N1441">
        <f>WEEKNUM(orders[[#This Row],[Order Date]],2)</f>
        <v>8</v>
      </c>
      <c r="O1441" t="str" cm="1">
        <f t="array" ref="O14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42" spans="1:15" x14ac:dyDescent="0.3">
      <c r="A1442" t="s">
        <v>1538</v>
      </c>
      <c r="B1442" t="s">
        <v>34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86</v>
      </c>
      <c r="I1442" t="s">
        <v>32</v>
      </c>
      <c r="J1442">
        <v>2</v>
      </c>
      <c r="K1442" t="s">
        <v>16</v>
      </c>
      <c r="L1442" t="s">
        <v>52</v>
      </c>
      <c r="M1442">
        <f>orders[[#This Row],[Ship Date]]-orders[[#This Row],[Order Date]]</f>
        <v>0</v>
      </c>
      <c r="N1442">
        <f>WEEKNUM(orders[[#This Row],[Order Date]],2)</f>
        <v>8</v>
      </c>
      <c r="O1442" t="str" cm="1">
        <f t="array" ref="O1442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443" spans="1:15" x14ac:dyDescent="0.3">
      <c r="A1443" t="s">
        <v>1539</v>
      </c>
      <c r="B1443" t="s">
        <v>29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24</v>
      </c>
      <c r="I1443" t="s">
        <v>67</v>
      </c>
      <c r="J1443">
        <v>3</v>
      </c>
      <c r="K1443" t="s">
        <v>16</v>
      </c>
      <c r="L1443" t="s">
        <v>59</v>
      </c>
      <c r="M1443">
        <f>orders[[#This Row],[Ship Date]]-orders[[#This Row],[Order Date]]</f>
        <v>4</v>
      </c>
      <c r="N1443">
        <f>WEEKNUM(orders[[#This Row],[Order Date]],2)</f>
        <v>8</v>
      </c>
      <c r="O1443" t="str" cm="1">
        <f t="array" ref="O14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44" spans="1:15" x14ac:dyDescent="0.3">
      <c r="A1444" t="s">
        <v>1540</v>
      </c>
      <c r="B1444" t="s">
        <v>39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24</v>
      </c>
      <c r="I1444" t="s">
        <v>15</v>
      </c>
      <c r="J1444">
        <v>5</v>
      </c>
      <c r="K1444" t="s">
        <v>16</v>
      </c>
      <c r="L1444" t="s">
        <v>59</v>
      </c>
      <c r="M1444">
        <f>orders[[#This Row],[Ship Date]]-orders[[#This Row],[Order Date]]</f>
        <v>2</v>
      </c>
      <c r="N1444">
        <f>WEEKNUM(orders[[#This Row],[Order Date]],2)</f>
        <v>8</v>
      </c>
      <c r="O1444" t="str" cm="1">
        <f t="array" ref="O14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45" spans="1:15" x14ac:dyDescent="0.3">
      <c r="A1445" t="s">
        <v>1541</v>
      </c>
      <c r="B1445" t="s">
        <v>64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24</v>
      </c>
      <c r="I1445" t="s">
        <v>48</v>
      </c>
      <c r="J1445">
        <v>4</v>
      </c>
      <c r="K1445" t="s">
        <v>16</v>
      </c>
      <c r="L1445" t="s">
        <v>59</v>
      </c>
      <c r="M1445">
        <f>orders[[#This Row],[Ship Date]]-orders[[#This Row],[Order Date]]</f>
        <v>4</v>
      </c>
      <c r="N1445">
        <f>WEEKNUM(orders[[#This Row],[Order Date]],2)</f>
        <v>8</v>
      </c>
      <c r="O1445" t="str" cm="1">
        <f t="array" ref="O14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46" spans="1:15" x14ac:dyDescent="0.3">
      <c r="A1446" t="s">
        <v>1542</v>
      </c>
      <c r="B1446" t="s">
        <v>41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20</v>
      </c>
      <c r="I1446" t="s">
        <v>15</v>
      </c>
      <c r="J1446">
        <v>4</v>
      </c>
      <c r="K1446" t="s">
        <v>16</v>
      </c>
      <c r="L1446" t="s">
        <v>198</v>
      </c>
      <c r="M1446">
        <f>orders[[#This Row],[Ship Date]]-orders[[#This Row],[Order Date]]</f>
        <v>1</v>
      </c>
      <c r="N1446">
        <f>WEEKNUM(orders[[#This Row],[Order Date]],2)</f>
        <v>8</v>
      </c>
      <c r="O1446" t="str" cm="1">
        <f t="array" ref="O14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47" spans="1:15" x14ac:dyDescent="0.3">
      <c r="A1447" t="s">
        <v>1543</v>
      </c>
      <c r="B1447" t="s">
        <v>23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24</v>
      </c>
      <c r="I1447" t="s">
        <v>15</v>
      </c>
      <c r="J1447">
        <v>4</v>
      </c>
      <c r="K1447" t="s">
        <v>16</v>
      </c>
      <c r="L1447" t="s">
        <v>198</v>
      </c>
      <c r="M1447">
        <f>orders[[#This Row],[Ship Date]]-orders[[#This Row],[Order Date]]</f>
        <v>0</v>
      </c>
      <c r="N1447">
        <f>WEEKNUM(orders[[#This Row],[Order Date]],2)</f>
        <v>8</v>
      </c>
      <c r="O1447" t="str" cm="1">
        <f t="array" ref="O14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48" spans="1:15" x14ac:dyDescent="0.3">
      <c r="A1448" t="s">
        <v>1544</v>
      </c>
      <c r="B1448" t="s">
        <v>51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20</v>
      </c>
      <c r="I1448" t="s">
        <v>48</v>
      </c>
      <c r="J1448">
        <v>3</v>
      </c>
      <c r="K1448" t="s">
        <v>16</v>
      </c>
      <c r="L1448" t="s">
        <v>79</v>
      </c>
      <c r="M1448">
        <f>orders[[#This Row],[Ship Date]]-orders[[#This Row],[Order Date]]</f>
        <v>3</v>
      </c>
      <c r="N1448">
        <f>WEEKNUM(orders[[#This Row],[Order Date]],2)</f>
        <v>8</v>
      </c>
      <c r="O1448" t="str" cm="1">
        <f t="array" ref="O14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49" spans="1:15" x14ac:dyDescent="0.3">
      <c r="A1449" t="s">
        <v>1545</v>
      </c>
      <c r="B1449" t="s">
        <v>36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14</v>
      </c>
      <c r="I1449" t="s">
        <v>15</v>
      </c>
      <c r="J1449">
        <v>5</v>
      </c>
      <c r="K1449" t="s">
        <v>16</v>
      </c>
      <c r="L1449" t="s">
        <v>112</v>
      </c>
      <c r="M1449">
        <f>orders[[#This Row],[Ship Date]]-orders[[#This Row],[Order Date]]</f>
        <v>1</v>
      </c>
      <c r="N1449">
        <f>WEEKNUM(orders[[#This Row],[Order Date]],2)</f>
        <v>8</v>
      </c>
      <c r="O1449" t="str" cm="1">
        <f t="array" ref="O144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450" spans="1:15" x14ac:dyDescent="0.3">
      <c r="A1450" t="s">
        <v>1546</v>
      </c>
      <c r="B1450" t="s">
        <v>41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20</v>
      </c>
      <c r="I1450" t="s">
        <v>48</v>
      </c>
      <c r="J1450">
        <v>5</v>
      </c>
      <c r="K1450" t="s">
        <v>16</v>
      </c>
      <c r="L1450" t="s">
        <v>25</v>
      </c>
      <c r="M1450">
        <f>orders[[#This Row],[Ship Date]]-orders[[#This Row],[Order Date]]</f>
        <v>5</v>
      </c>
      <c r="N1450">
        <f>WEEKNUM(orders[[#This Row],[Order Date]],2)</f>
        <v>9</v>
      </c>
      <c r="O1450" t="str" cm="1">
        <f t="array" ref="O14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51" spans="1:15" x14ac:dyDescent="0.3">
      <c r="A1451" t="s">
        <v>1547</v>
      </c>
      <c r="B1451" t="s">
        <v>19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20</v>
      </c>
      <c r="I1451" t="s">
        <v>67</v>
      </c>
      <c r="J1451">
        <v>4</v>
      </c>
      <c r="K1451" t="s">
        <v>16</v>
      </c>
      <c r="L1451" t="s">
        <v>30</v>
      </c>
      <c r="M1451">
        <f>orders[[#This Row],[Ship Date]]-orders[[#This Row],[Order Date]]</f>
        <v>1</v>
      </c>
      <c r="N1451">
        <f>WEEKNUM(orders[[#This Row],[Order Date]],2)</f>
        <v>9</v>
      </c>
      <c r="O1451" t="str" cm="1">
        <f t="array" ref="O14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52" spans="1:15" x14ac:dyDescent="0.3">
      <c r="A1452" t="s">
        <v>1548</v>
      </c>
      <c r="B1452" t="s">
        <v>51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24</v>
      </c>
      <c r="I1452" t="s">
        <v>15</v>
      </c>
      <c r="J1452">
        <v>5</v>
      </c>
      <c r="K1452" t="s">
        <v>16</v>
      </c>
      <c r="L1452" t="s">
        <v>30</v>
      </c>
      <c r="M1452">
        <f>orders[[#This Row],[Ship Date]]-orders[[#This Row],[Order Date]]</f>
        <v>2</v>
      </c>
      <c r="N1452">
        <f>WEEKNUM(orders[[#This Row],[Order Date]],2)</f>
        <v>9</v>
      </c>
      <c r="O1452" t="str" cm="1">
        <f t="array" ref="O14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53" spans="1:15" x14ac:dyDescent="0.3">
      <c r="A1453" t="s">
        <v>1549</v>
      </c>
      <c r="B1453" t="s">
        <v>41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20</v>
      </c>
      <c r="I1453" t="s">
        <v>32</v>
      </c>
      <c r="J1453">
        <v>5</v>
      </c>
      <c r="K1453" t="s">
        <v>16</v>
      </c>
      <c r="L1453" t="s">
        <v>30</v>
      </c>
      <c r="M1453">
        <f>orders[[#This Row],[Ship Date]]-orders[[#This Row],[Order Date]]</f>
        <v>2</v>
      </c>
      <c r="N1453">
        <f>WEEKNUM(orders[[#This Row],[Order Date]],2)</f>
        <v>9</v>
      </c>
      <c r="O1453" t="str" cm="1">
        <f t="array" ref="O145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54" spans="1:15" x14ac:dyDescent="0.3">
      <c r="A1454" t="s">
        <v>1550</v>
      </c>
      <c r="B1454" t="s">
        <v>34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20</v>
      </c>
      <c r="I1454" t="s">
        <v>32</v>
      </c>
      <c r="J1454">
        <v>3</v>
      </c>
      <c r="K1454" t="s">
        <v>16</v>
      </c>
      <c r="L1454" t="s">
        <v>30</v>
      </c>
      <c r="M1454">
        <f>orders[[#This Row],[Ship Date]]-orders[[#This Row],[Order Date]]</f>
        <v>0</v>
      </c>
      <c r="N1454">
        <f>WEEKNUM(orders[[#This Row],[Order Date]],2)</f>
        <v>9</v>
      </c>
      <c r="O1454" t="str" cm="1">
        <f t="array" ref="O14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55" spans="1:15" x14ac:dyDescent="0.3">
      <c r="A1455" t="s">
        <v>1551</v>
      </c>
      <c r="B1455" t="s">
        <v>41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20</v>
      </c>
      <c r="I1455" t="s">
        <v>15</v>
      </c>
      <c r="J1455">
        <v>5</v>
      </c>
      <c r="K1455" t="s">
        <v>16</v>
      </c>
      <c r="L1455" t="s">
        <v>30</v>
      </c>
      <c r="M1455">
        <f>orders[[#This Row],[Ship Date]]-orders[[#This Row],[Order Date]]</f>
        <v>3</v>
      </c>
      <c r="N1455">
        <f>WEEKNUM(orders[[#This Row],[Order Date]],2)</f>
        <v>9</v>
      </c>
      <c r="O1455" t="str" cm="1">
        <f t="array" ref="O14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56" spans="1:15" x14ac:dyDescent="0.3">
      <c r="A1456" t="s">
        <v>1552</v>
      </c>
      <c r="B1456" t="s">
        <v>41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20</v>
      </c>
      <c r="I1456" t="s">
        <v>15</v>
      </c>
      <c r="J1456">
        <v>3</v>
      </c>
      <c r="K1456" t="s">
        <v>16</v>
      </c>
      <c r="L1456" t="s">
        <v>30</v>
      </c>
      <c r="M1456">
        <f>orders[[#This Row],[Ship Date]]-orders[[#This Row],[Order Date]]</f>
        <v>1</v>
      </c>
      <c r="N1456">
        <f>WEEKNUM(orders[[#This Row],[Order Date]],2)</f>
        <v>9</v>
      </c>
      <c r="O1456" t="str" cm="1">
        <f t="array" ref="O14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57" spans="1:15" x14ac:dyDescent="0.3">
      <c r="A1457" t="s">
        <v>1553</v>
      </c>
      <c r="B1457" t="s">
        <v>39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24</v>
      </c>
      <c r="I1457" t="s">
        <v>67</v>
      </c>
      <c r="J1457">
        <v>4</v>
      </c>
      <c r="K1457" t="s">
        <v>16</v>
      </c>
      <c r="L1457" t="s">
        <v>30</v>
      </c>
      <c r="M1457">
        <f>orders[[#This Row],[Ship Date]]-orders[[#This Row],[Order Date]]</f>
        <v>2</v>
      </c>
      <c r="N1457">
        <f>WEEKNUM(orders[[#This Row],[Order Date]],2)</f>
        <v>9</v>
      </c>
      <c r="O1457" t="str" cm="1">
        <f t="array" ref="O14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58" spans="1:15" x14ac:dyDescent="0.3">
      <c r="A1458" t="s">
        <v>1554</v>
      </c>
      <c r="B1458" t="s">
        <v>43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24</v>
      </c>
      <c r="I1458" t="s">
        <v>15</v>
      </c>
      <c r="J1458">
        <v>3</v>
      </c>
      <c r="K1458" t="s">
        <v>16</v>
      </c>
      <c r="L1458" t="s">
        <v>30</v>
      </c>
      <c r="M1458">
        <f>orders[[#This Row],[Ship Date]]-orders[[#This Row],[Order Date]]</f>
        <v>1</v>
      </c>
      <c r="N1458">
        <f>WEEKNUM(orders[[#This Row],[Order Date]],2)</f>
        <v>9</v>
      </c>
      <c r="O1458" t="str" cm="1">
        <f t="array" ref="O14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59" spans="1:15" x14ac:dyDescent="0.3">
      <c r="A1459" t="s">
        <v>1555</v>
      </c>
      <c r="B1459" t="s">
        <v>36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20</v>
      </c>
      <c r="I1459" t="s">
        <v>15</v>
      </c>
      <c r="J1459">
        <v>3</v>
      </c>
      <c r="K1459" t="s">
        <v>16</v>
      </c>
      <c r="L1459" t="s">
        <v>30</v>
      </c>
      <c r="M1459">
        <f>orders[[#This Row],[Ship Date]]-orders[[#This Row],[Order Date]]</f>
        <v>1</v>
      </c>
      <c r="N1459">
        <f>WEEKNUM(orders[[#This Row],[Order Date]],2)</f>
        <v>9</v>
      </c>
      <c r="O1459" t="str" cm="1">
        <f t="array" ref="O14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60" spans="1:15" x14ac:dyDescent="0.3">
      <c r="A1460" t="s">
        <v>1556</v>
      </c>
      <c r="B1460" t="s">
        <v>36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24</v>
      </c>
      <c r="I1460" t="s">
        <v>32</v>
      </c>
      <c r="J1460">
        <v>5</v>
      </c>
      <c r="K1460" t="s">
        <v>16</v>
      </c>
      <c r="L1460" t="s">
        <v>30</v>
      </c>
      <c r="M1460">
        <f>orders[[#This Row],[Ship Date]]-orders[[#This Row],[Order Date]]</f>
        <v>1</v>
      </c>
      <c r="N1460">
        <f>WEEKNUM(orders[[#This Row],[Order Date]],2)</f>
        <v>9</v>
      </c>
      <c r="O1460" t="str" cm="1">
        <f t="array" ref="O14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61" spans="1:15" x14ac:dyDescent="0.3">
      <c r="A1461" t="s">
        <v>1557</v>
      </c>
      <c r="B1461" t="s">
        <v>19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24</v>
      </c>
      <c r="I1461" t="s">
        <v>15</v>
      </c>
      <c r="J1461">
        <v>4</v>
      </c>
      <c r="K1461" t="s">
        <v>16</v>
      </c>
      <c r="L1461" t="s">
        <v>30</v>
      </c>
      <c r="M1461">
        <f>orders[[#This Row],[Ship Date]]-orders[[#This Row],[Order Date]]</f>
        <v>8</v>
      </c>
      <c r="N1461">
        <f>WEEKNUM(orders[[#This Row],[Order Date]],2)</f>
        <v>9</v>
      </c>
      <c r="O1461" t="str" cm="1">
        <f t="array" ref="O14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62" spans="1:15" x14ac:dyDescent="0.3">
      <c r="A1462" t="s">
        <v>1558</v>
      </c>
      <c r="B1462" t="s">
        <v>43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20</v>
      </c>
      <c r="I1462" t="s">
        <v>67</v>
      </c>
      <c r="J1462">
        <v>5</v>
      </c>
      <c r="K1462" t="s">
        <v>16</v>
      </c>
      <c r="L1462" t="s">
        <v>30</v>
      </c>
      <c r="M1462">
        <f>orders[[#This Row],[Ship Date]]-orders[[#This Row],[Order Date]]</f>
        <v>4</v>
      </c>
      <c r="N1462">
        <f>WEEKNUM(orders[[#This Row],[Order Date]],2)</f>
        <v>9</v>
      </c>
      <c r="O1462" t="str" cm="1">
        <f t="array" ref="O146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63" spans="1:15" x14ac:dyDescent="0.3">
      <c r="A1463" t="s">
        <v>1559</v>
      </c>
      <c r="B1463" t="s">
        <v>41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20</v>
      </c>
      <c r="I1463" t="s">
        <v>48</v>
      </c>
      <c r="J1463">
        <v>5</v>
      </c>
      <c r="K1463" t="s">
        <v>16</v>
      </c>
      <c r="L1463" t="s">
        <v>30</v>
      </c>
      <c r="M1463">
        <f>orders[[#This Row],[Ship Date]]-orders[[#This Row],[Order Date]]</f>
        <v>3</v>
      </c>
      <c r="N1463">
        <f>WEEKNUM(orders[[#This Row],[Order Date]],2)</f>
        <v>9</v>
      </c>
      <c r="O1463" t="str" cm="1">
        <f t="array" ref="O14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64" spans="1:15" x14ac:dyDescent="0.3">
      <c r="A1464" t="s">
        <v>1560</v>
      </c>
      <c r="B1464" t="s">
        <v>23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24</v>
      </c>
      <c r="I1464" t="s">
        <v>15</v>
      </c>
      <c r="J1464">
        <v>5</v>
      </c>
      <c r="K1464" t="s">
        <v>16</v>
      </c>
      <c r="L1464" t="s">
        <v>335</v>
      </c>
      <c r="M1464">
        <f>orders[[#This Row],[Ship Date]]-orders[[#This Row],[Order Date]]</f>
        <v>3</v>
      </c>
      <c r="N1464">
        <f>WEEKNUM(orders[[#This Row],[Order Date]],2)</f>
        <v>9</v>
      </c>
      <c r="O1464" t="str" cm="1">
        <f t="array" ref="O14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65" spans="1:15" x14ac:dyDescent="0.3">
      <c r="A1465" t="s">
        <v>1561</v>
      </c>
      <c r="B1465" t="s">
        <v>43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14</v>
      </c>
      <c r="I1465" t="s">
        <v>32</v>
      </c>
      <c r="J1465">
        <v>1</v>
      </c>
      <c r="K1465" t="s">
        <v>16</v>
      </c>
      <c r="L1465" t="s">
        <v>155</v>
      </c>
      <c r="M1465">
        <f>orders[[#This Row],[Ship Date]]-orders[[#This Row],[Order Date]]</f>
        <v>5</v>
      </c>
      <c r="N1465">
        <f>WEEKNUM(orders[[#This Row],[Order Date]],2)</f>
        <v>9</v>
      </c>
      <c r="O1465" t="str" cm="1">
        <f t="array" ref="O146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466" spans="1:15" x14ac:dyDescent="0.3">
      <c r="A1466" t="s">
        <v>1562</v>
      </c>
      <c r="B1466" t="s">
        <v>34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14</v>
      </c>
      <c r="I1466" t="s">
        <v>32</v>
      </c>
      <c r="J1466">
        <v>4</v>
      </c>
      <c r="K1466" t="s">
        <v>16</v>
      </c>
      <c r="L1466" t="s">
        <v>52</v>
      </c>
      <c r="M1466">
        <f>orders[[#This Row],[Ship Date]]-orders[[#This Row],[Order Date]]</f>
        <v>1</v>
      </c>
      <c r="N1466">
        <f>WEEKNUM(orders[[#This Row],[Order Date]],2)</f>
        <v>9</v>
      </c>
      <c r="O1466" t="str" cm="1">
        <f t="array" ref="O146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467" spans="1:15" x14ac:dyDescent="0.3">
      <c r="A1467" t="s">
        <v>1563</v>
      </c>
      <c r="B1467" t="s">
        <v>43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20</v>
      </c>
      <c r="I1467" t="s">
        <v>32</v>
      </c>
      <c r="J1467">
        <v>4</v>
      </c>
      <c r="K1467" t="s">
        <v>16</v>
      </c>
      <c r="L1467" t="s">
        <v>52</v>
      </c>
      <c r="M1467">
        <f>orders[[#This Row],[Ship Date]]-orders[[#This Row],[Order Date]]</f>
        <v>0</v>
      </c>
      <c r="N1467">
        <f>WEEKNUM(orders[[#This Row],[Order Date]],2)</f>
        <v>9</v>
      </c>
      <c r="O1467" t="str" cm="1">
        <f t="array" ref="O14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68" spans="1:15" x14ac:dyDescent="0.3">
      <c r="A1468" t="s">
        <v>1564</v>
      </c>
      <c r="B1468" t="s">
        <v>51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20</v>
      </c>
      <c r="I1468" t="s">
        <v>48</v>
      </c>
      <c r="J1468">
        <v>5</v>
      </c>
      <c r="K1468" t="s">
        <v>16</v>
      </c>
      <c r="L1468" t="s">
        <v>59</v>
      </c>
      <c r="M1468">
        <f>orders[[#This Row],[Ship Date]]-orders[[#This Row],[Order Date]]</f>
        <v>1</v>
      </c>
      <c r="N1468">
        <f>WEEKNUM(orders[[#This Row],[Order Date]],2)</f>
        <v>9</v>
      </c>
      <c r="O1468" t="str" cm="1">
        <f t="array" ref="O14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69" spans="1:15" x14ac:dyDescent="0.3">
      <c r="A1469" t="s">
        <v>1565</v>
      </c>
      <c r="B1469" t="s">
        <v>78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20</v>
      </c>
      <c r="I1469" t="s">
        <v>48</v>
      </c>
      <c r="J1469">
        <v>5</v>
      </c>
      <c r="K1469" t="s">
        <v>16</v>
      </c>
      <c r="L1469" t="s">
        <v>59</v>
      </c>
      <c r="M1469">
        <f>orders[[#This Row],[Ship Date]]-orders[[#This Row],[Order Date]]</f>
        <v>4</v>
      </c>
      <c r="N1469">
        <f>WEEKNUM(orders[[#This Row],[Order Date]],2)</f>
        <v>9</v>
      </c>
      <c r="O1469" t="str" cm="1">
        <f t="array" ref="O146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70" spans="1:15" x14ac:dyDescent="0.3">
      <c r="A1470" t="s">
        <v>1566</v>
      </c>
      <c r="B1470" t="s">
        <v>41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24</v>
      </c>
      <c r="I1470" t="s">
        <v>37</v>
      </c>
      <c r="J1470">
        <v>5</v>
      </c>
      <c r="K1470" t="s">
        <v>16</v>
      </c>
      <c r="L1470" t="s">
        <v>59</v>
      </c>
      <c r="M1470">
        <f>orders[[#This Row],[Ship Date]]-orders[[#This Row],[Order Date]]</f>
        <v>1</v>
      </c>
      <c r="N1470">
        <f>WEEKNUM(orders[[#This Row],[Order Date]],2)</f>
        <v>9</v>
      </c>
      <c r="O1470" t="str" cm="1">
        <f t="array" ref="O14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71" spans="1:15" x14ac:dyDescent="0.3">
      <c r="A1471" t="s">
        <v>1567</v>
      </c>
      <c r="B1471" t="s">
        <v>41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24</v>
      </c>
      <c r="I1471" t="s">
        <v>15</v>
      </c>
      <c r="J1471">
        <v>4</v>
      </c>
      <c r="K1471" t="s">
        <v>16</v>
      </c>
      <c r="L1471" t="s">
        <v>59</v>
      </c>
      <c r="M1471">
        <f>orders[[#This Row],[Ship Date]]-orders[[#This Row],[Order Date]]</f>
        <v>1</v>
      </c>
      <c r="N1471">
        <f>WEEKNUM(orders[[#This Row],[Order Date]],2)</f>
        <v>9</v>
      </c>
      <c r="O1471" t="str" cm="1">
        <f t="array" ref="O14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72" spans="1:15" x14ac:dyDescent="0.3">
      <c r="A1472" t="s">
        <v>1568</v>
      </c>
      <c r="B1472" t="s">
        <v>36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20</v>
      </c>
      <c r="I1472" t="s">
        <v>15</v>
      </c>
      <c r="J1472">
        <v>5</v>
      </c>
      <c r="K1472" t="s">
        <v>16</v>
      </c>
      <c r="L1472" t="s">
        <v>59</v>
      </c>
      <c r="M1472">
        <f>orders[[#This Row],[Ship Date]]-orders[[#This Row],[Order Date]]</f>
        <v>3</v>
      </c>
      <c r="N1472">
        <f>WEEKNUM(orders[[#This Row],[Order Date]],2)</f>
        <v>9</v>
      </c>
      <c r="O1472" t="str" cm="1">
        <f t="array" ref="O14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73" spans="1:15" x14ac:dyDescent="0.3">
      <c r="A1473" t="s">
        <v>1569</v>
      </c>
      <c r="B1473" t="s">
        <v>29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24</v>
      </c>
      <c r="I1473" t="s">
        <v>15</v>
      </c>
      <c r="J1473">
        <v>4</v>
      </c>
      <c r="K1473" t="s">
        <v>16</v>
      </c>
      <c r="L1473" t="s">
        <v>100</v>
      </c>
      <c r="M1473">
        <f>orders[[#This Row],[Ship Date]]-orders[[#This Row],[Order Date]]</f>
        <v>2</v>
      </c>
      <c r="N1473">
        <f>WEEKNUM(orders[[#This Row],[Order Date]],2)</f>
        <v>9</v>
      </c>
      <c r="O1473" t="str" cm="1">
        <f t="array" ref="O14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74" spans="1:15" x14ac:dyDescent="0.3">
      <c r="A1474" t="s">
        <v>1570</v>
      </c>
      <c r="B1474" t="s">
        <v>66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20</v>
      </c>
      <c r="I1474" t="s">
        <v>32</v>
      </c>
      <c r="J1474">
        <v>5</v>
      </c>
      <c r="K1474" t="s">
        <v>16</v>
      </c>
      <c r="L1474" t="s">
        <v>71</v>
      </c>
      <c r="M1474">
        <f>orders[[#This Row],[Ship Date]]-orders[[#This Row],[Order Date]]</f>
        <v>4</v>
      </c>
      <c r="N1474">
        <f>WEEKNUM(orders[[#This Row],[Order Date]],2)</f>
        <v>9</v>
      </c>
      <c r="O1474" t="str" cm="1">
        <f t="array" ref="O14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75" spans="1:15" x14ac:dyDescent="0.3">
      <c r="A1475" t="s">
        <v>1571</v>
      </c>
      <c r="B1475" t="s">
        <v>64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20</v>
      </c>
      <c r="I1475" t="s">
        <v>32</v>
      </c>
      <c r="J1475">
        <v>5</v>
      </c>
      <c r="K1475" t="s">
        <v>16</v>
      </c>
      <c r="L1475" t="s">
        <v>74</v>
      </c>
      <c r="M1475">
        <f>orders[[#This Row],[Ship Date]]-orders[[#This Row],[Order Date]]</f>
        <v>0</v>
      </c>
      <c r="N1475">
        <f>WEEKNUM(orders[[#This Row],[Order Date]],2)</f>
        <v>9</v>
      </c>
      <c r="O1475" t="str" cm="1">
        <f t="array" ref="O147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76" spans="1:15" x14ac:dyDescent="0.3">
      <c r="A1476" t="s">
        <v>1572</v>
      </c>
      <c r="B1476" t="s">
        <v>29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24</v>
      </c>
      <c r="I1476" t="s">
        <v>15</v>
      </c>
      <c r="J1476">
        <v>3</v>
      </c>
      <c r="K1476" t="s">
        <v>16</v>
      </c>
      <c r="L1476" t="s">
        <v>74</v>
      </c>
      <c r="M1476">
        <f>orders[[#This Row],[Ship Date]]-orders[[#This Row],[Order Date]]</f>
        <v>3</v>
      </c>
      <c r="N1476">
        <f>WEEKNUM(orders[[#This Row],[Order Date]],2)</f>
        <v>9</v>
      </c>
      <c r="O1476" t="str" cm="1">
        <f t="array" ref="O14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77" spans="1:15" x14ac:dyDescent="0.3">
      <c r="A1477" t="s">
        <v>1573</v>
      </c>
      <c r="B1477" t="s">
        <v>34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20</v>
      </c>
      <c r="I1477" t="s">
        <v>15</v>
      </c>
      <c r="J1477">
        <v>4</v>
      </c>
      <c r="K1477" t="s">
        <v>16</v>
      </c>
      <c r="L1477" t="s">
        <v>374</v>
      </c>
      <c r="M1477">
        <f>orders[[#This Row],[Ship Date]]-orders[[#This Row],[Order Date]]</f>
        <v>1</v>
      </c>
      <c r="N1477">
        <f>WEEKNUM(orders[[#This Row],[Order Date]],2)</f>
        <v>9</v>
      </c>
      <c r="O1477" t="str" cm="1">
        <f t="array" ref="O14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78" spans="1:15" x14ac:dyDescent="0.3">
      <c r="A1478" t="s">
        <v>1574</v>
      </c>
      <c r="B1478" t="s">
        <v>34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24</v>
      </c>
      <c r="I1478" t="s">
        <v>32</v>
      </c>
      <c r="J1478">
        <v>2</v>
      </c>
      <c r="K1478" t="s">
        <v>16</v>
      </c>
      <c r="L1478" t="s">
        <v>79</v>
      </c>
      <c r="M1478">
        <f>orders[[#This Row],[Ship Date]]-orders[[#This Row],[Order Date]]</f>
        <v>7</v>
      </c>
      <c r="N1478">
        <f>WEEKNUM(orders[[#This Row],[Order Date]],2)</f>
        <v>9</v>
      </c>
      <c r="O1478" t="str" cm="1">
        <f t="array" ref="O14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79" spans="1:15" x14ac:dyDescent="0.3">
      <c r="A1479" t="s">
        <v>1575</v>
      </c>
      <c r="B1479" t="s">
        <v>43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20</v>
      </c>
      <c r="I1479" t="s">
        <v>67</v>
      </c>
      <c r="J1479">
        <v>3</v>
      </c>
      <c r="K1479" t="s">
        <v>16</v>
      </c>
      <c r="L1479" t="s">
        <v>112</v>
      </c>
      <c r="M1479">
        <f>orders[[#This Row],[Ship Date]]-orders[[#This Row],[Order Date]]</f>
        <v>4</v>
      </c>
      <c r="N1479">
        <f>WEEKNUM(orders[[#This Row],[Order Date]],2)</f>
        <v>9</v>
      </c>
      <c r="O1479" t="str" cm="1">
        <f t="array" ref="O14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80" spans="1:15" x14ac:dyDescent="0.3">
      <c r="A1480" t="s">
        <v>1576</v>
      </c>
      <c r="B1480" t="s">
        <v>29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24</v>
      </c>
      <c r="I1480" t="s">
        <v>32</v>
      </c>
      <c r="J1480">
        <v>5</v>
      </c>
      <c r="K1480" t="s">
        <v>16</v>
      </c>
      <c r="L1480" t="s">
        <v>21</v>
      </c>
      <c r="M1480">
        <f>orders[[#This Row],[Ship Date]]-orders[[#This Row],[Order Date]]</f>
        <v>2</v>
      </c>
      <c r="N1480">
        <f>WEEKNUM(orders[[#This Row],[Order Date]],2)</f>
        <v>9</v>
      </c>
      <c r="O1480" t="str" cm="1">
        <f t="array" ref="O14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81" spans="1:15" x14ac:dyDescent="0.3">
      <c r="A1481" t="s">
        <v>1577</v>
      </c>
      <c r="B1481" t="s">
        <v>23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24</v>
      </c>
      <c r="I1481" t="s">
        <v>67</v>
      </c>
      <c r="J1481">
        <v>3</v>
      </c>
      <c r="K1481" t="s">
        <v>16</v>
      </c>
      <c r="L1481" t="s">
        <v>21</v>
      </c>
      <c r="M1481">
        <f>orders[[#This Row],[Ship Date]]-orders[[#This Row],[Order Date]]</f>
        <v>5</v>
      </c>
      <c r="N1481">
        <f>WEEKNUM(orders[[#This Row],[Order Date]],2)</f>
        <v>9</v>
      </c>
      <c r="O1481" t="str" cm="1">
        <f t="array" ref="O14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82" spans="1:15" x14ac:dyDescent="0.3">
      <c r="A1482" t="s">
        <v>1578</v>
      </c>
      <c r="B1482" t="s">
        <v>34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20</v>
      </c>
      <c r="I1482" t="s">
        <v>37</v>
      </c>
      <c r="J1482">
        <v>4</v>
      </c>
      <c r="K1482" t="s">
        <v>16</v>
      </c>
      <c r="L1482" t="s">
        <v>584</v>
      </c>
      <c r="M1482">
        <f>orders[[#This Row],[Ship Date]]-orders[[#This Row],[Order Date]]</f>
        <v>0</v>
      </c>
      <c r="N1482">
        <f>WEEKNUM(orders[[#This Row],[Order Date]],2)</f>
        <v>9</v>
      </c>
      <c r="O1482" t="str" cm="1">
        <f t="array" ref="O14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83" spans="1:15" x14ac:dyDescent="0.3">
      <c r="A1483" t="s">
        <v>1579</v>
      </c>
      <c r="B1483" t="s">
        <v>43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24</v>
      </c>
      <c r="I1483" t="s">
        <v>15</v>
      </c>
      <c r="J1483">
        <v>5</v>
      </c>
      <c r="K1483" t="s">
        <v>16</v>
      </c>
      <c r="L1483" t="s">
        <v>30</v>
      </c>
      <c r="M1483">
        <f>orders[[#This Row],[Ship Date]]-orders[[#This Row],[Order Date]]</f>
        <v>3</v>
      </c>
      <c r="N1483">
        <f>WEEKNUM(orders[[#This Row],[Order Date]],2)</f>
        <v>9</v>
      </c>
      <c r="O1483" t="str" cm="1">
        <f t="array" ref="O14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84" spans="1:15" x14ac:dyDescent="0.3">
      <c r="A1484" t="s">
        <v>1580</v>
      </c>
      <c r="B1484" t="s">
        <v>13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20</v>
      </c>
      <c r="I1484" t="s">
        <v>37</v>
      </c>
      <c r="J1484">
        <v>5</v>
      </c>
      <c r="K1484" t="s">
        <v>16</v>
      </c>
      <c r="L1484" t="s">
        <v>30</v>
      </c>
      <c r="M1484">
        <f>orders[[#This Row],[Ship Date]]-orders[[#This Row],[Order Date]]</f>
        <v>1</v>
      </c>
      <c r="N1484">
        <f>WEEKNUM(orders[[#This Row],[Order Date]],2)</f>
        <v>9</v>
      </c>
      <c r="O1484" t="str" cm="1">
        <f t="array" ref="O14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85" spans="1:15" x14ac:dyDescent="0.3">
      <c r="A1485" t="s">
        <v>1581</v>
      </c>
      <c r="B1485" t="s">
        <v>41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24</v>
      </c>
      <c r="I1485" t="s">
        <v>48</v>
      </c>
      <c r="J1485">
        <v>5</v>
      </c>
      <c r="K1485" t="s">
        <v>16</v>
      </c>
      <c r="L1485" t="s">
        <v>30</v>
      </c>
      <c r="M1485">
        <f>orders[[#This Row],[Ship Date]]-orders[[#This Row],[Order Date]]</f>
        <v>1</v>
      </c>
      <c r="N1485">
        <f>WEEKNUM(orders[[#This Row],[Order Date]],2)</f>
        <v>9</v>
      </c>
      <c r="O1485" t="str" cm="1">
        <f t="array" ref="O14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86" spans="1:15" x14ac:dyDescent="0.3">
      <c r="A1486" t="s">
        <v>1582</v>
      </c>
      <c r="B1486" t="s">
        <v>41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86</v>
      </c>
      <c r="I1486" t="s">
        <v>37</v>
      </c>
      <c r="J1486">
        <v>3</v>
      </c>
      <c r="K1486" t="s">
        <v>16</v>
      </c>
      <c r="L1486" t="s">
        <v>30</v>
      </c>
      <c r="M1486">
        <f>orders[[#This Row],[Ship Date]]-orders[[#This Row],[Order Date]]</f>
        <v>1</v>
      </c>
      <c r="N1486">
        <f>WEEKNUM(orders[[#This Row],[Order Date]],2)</f>
        <v>9</v>
      </c>
      <c r="O1486" t="str" cm="1">
        <f t="array" ref="O1486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487" spans="1:15" x14ac:dyDescent="0.3">
      <c r="A1487" t="s">
        <v>1583</v>
      </c>
      <c r="B1487" t="s">
        <v>29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24</v>
      </c>
      <c r="I1487" t="s">
        <v>37</v>
      </c>
      <c r="J1487">
        <v>4</v>
      </c>
      <c r="K1487" t="s">
        <v>16</v>
      </c>
      <c r="L1487" t="s">
        <v>30</v>
      </c>
      <c r="M1487">
        <f>orders[[#This Row],[Ship Date]]-orders[[#This Row],[Order Date]]</f>
        <v>2</v>
      </c>
      <c r="N1487">
        <f>WEEKNUM(orders[[#This Row],[Order Date]],2)</f>
        <v>9</v>
      </c>
      <c r="O1487" t="str" cm="1">
        <f t="array" ref="O14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88" spans="1:15" x14ac:dyDescent="0.3">
      <c r="A1488" t="s">
        <v>1584</v>
      </c>
      <c r="B1488" t="s">
        <v>66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24</v>
      </c>
      <c r="I1488" t="s">
        <v>37</v>
      </c>
      <c r="J1488">
        <v>4</v>
      </c>
      <c r="K1488" t="s">
        <v>16</v>
      </c>
      <c r="L1488" t="s">
        <v>30</v>
      </c>
      <c r="M1488">
        <f>orders[[#This Row],[Ship Date]]-orders[[#This Row],[Order Date]]</f>
        <v>2</v>
      </c>
      <c r="N1488">
        <f>WEEKNUM(orders[[#This Row],[Order Date]],2)</f>
        <v>9</v>
      </c>
      <c r="O1488" t="str" cm="1">
        <f t="array" ref="O14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89" spans="1:15" x14ac:dyDescent="0.3">
      <c r="A1489" t="s">
        <v>1585</v>
      </c>
      <c r="B1489" t="s">
        <v>66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24</v>
      </c>
      <c r="I1489" t="s">
        <v>32</v>
      </c>
      <c r="J1489">
        <v>4</v>
      </c>
      <c r="K1489" t="s">
        <v>16</v>
      </c>
      <c r="L1489" t="s">
        <v>30</v>
      </c>
      <c r="M1489">
        <f>orders[[#This Row],[Ship Date]]-orders[[#This Row],[Order Date]]</f>
        <v>3</v>
      </c>
      <c r="N1489">
        <f>WEEKNUM(orders[[#This Row],[Order Date]],2)</f>
        <v>9</v>
      </c>
      <c r="O1489" t="str" cm="1">
        <f t="array" ref="O14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90" spans="1:15" x14ac:dyDescent="0.3">
      <c r="A1490" t="s">
        <v>1586</v>
      </c>
      <c r="B1490" t="s">
        <v>13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24</v>
      </c>
      <c r="I1490" t="s">
        <v>15</v>
      </c>
      <c r="J1490">
        <v>1</v>
      </c>
      <c r="K1490" t="s">
        <v>16</v>
      </c>
      <c r="L1490" t="s">
        <v>30</v>
      </c>
      <c r="M1490">
        <f>orders[[#This Row],[Ship Date]]-orders[[#This Row],[Order Date]]</f>
        <v>2</v>
      </c>
      <c r="N1490">
        <f>WEEKNUM(orders[[#This Row],[Order Date]],2)</f>
        <v>9</v>
      </c>
      <c r="O1490" t="str" cm="1">
        <f t="array" ref="O14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91" spans="1:15" x14ac:dyDescent="0.3">
      <c r="A1491" t="s">
        <v>1587</v>
      </c>
      <c r="B1491" t="s">
        <v>51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20</v>
      </c>
      <c r="I1491" t="s">
        <v>48</v>
      </c>
      <c r="J1491">
        <v>5</v>
      </c>
      <c r="K1491" t="s">
        <v>16</v>
      </c>
      <c r="L1491" t="s">
        <v>183</v>
      </c>
      <c r="M1491">
        <f>orders[[#This Row],[Ship Date]]-orders[[#This Row],[Order Date]]</f>
        <v>5</v>
      </c>
      <c r="N1491">
        <f>WEEKNUM(orders[[#This Row],[Order Date]],2)</f>
        <v>9</v>
      </c>
      <c r="O1491" t="str" cm="1">
        <f t="array" ref="O14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92" spans="1:15" x14ac:dyDescent="0.3">
      <c r="A1492" t="s">
        <v>1588</v>
      </c>
      <c r="B1492" t="s">
        <v>34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20</v>
      </c>
      <c r="I1492" t="s">
        <v>37</v>
      </c>
      <c r="J1492">
        <v>4</v>
      </c>
      <c r="K1492" t="s">
        <v>16</v>
      </c>
      <c r="L1492" t="s">
        <v>95</v>
      </c>
      <c r="M1492">
        <f>orders[[#This Row],[Ship Date]]-orders[[#This Row],[Order Date]]</f>
        <v>3</v>
      </c>
      <c r="N1492">
        <f>WEEKNUM(orders[[#This Row],[Order Date]],2)</f>
        <v>9</v>
      </c>
      <c r="O1492" t="str" cm="1">
        <f t="array" ref="O14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93" spans="1:15" x14ac:dyDescent="0.3">
      <c r="A1493" t="s">
        <v>1589</v>
      </c>
      <c r="B1493" t="s">
        <v>29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24</v>
      </c>
      <c r="I1493" t="s">
        <v>32</v>
      </c>
      <c r="J1493">
        <v>4</v>
      </c>
      <c r="K1493" t="s">
        <v>16</v>
      </c>
      <c r="L1493" t="s">
        <v>49</v>
      </c>
      <c r="M1493">
        <f>orders[[#This Row],[Ship Date]]-orders[[#This Row],[Order Date]]</f>
        <v>2</v>
      </c>
      <c r="N1493">
        <f>WEEKNUM(orders[[#This Row],[Order Date]],2)</f>
        <v>9</v>
      </c>
      <c r="O1493" t="str" cm="1">
        <f t="array" ref="O14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94" spans="1:15" x14ac:dyDescent="0.3">
      <c r="A1494" t="s">
        <v>1590</v>
      </c>
      <c r="B1494" t="s">
        <v>27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20</v>
      </c>
      <c r="I1494" t="s">
        <v>67</v>
      </c>
      <c r="J1494">
        <v>4</v>
      </c>
      <c r="K1494" t="s">
        <v>16</v>
      </c>
      <c r="L1494" t="s">
        <v>52</v>
      </c>
      <c r="M1494">
        <f>orders[[#This Row],[Ship Date]]-orders[[#This Row],[Order Date]]</f>
        <v>3</v>
      </c>
      <c r="N1494">
        <f>WEEKNUM(orders[[#This Row],[Order Date]],2)</f>
        <v>9</v>
      </c>
      <c r="O1494" t="str" cm="1">
        <f t="array" ref="O14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95" spans="1:15" x14ac:dyDescent="0.3">
      <c r="A1495" t="s">
        <v>1591</v>
      </c>
      <c r="B1495" t="s">
        <v>36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14</v>
      </c>
      <c r="I1495" t="s">
        <v>32</v>
      </c>
      <c r="J1495">
        <v>4</v>
      </c>
      <c r="K1495" t="s">
        <v>16</v>
      </c>
      <c r="L1495" t="s">
        <v>59</v>
      </c>
      <c r="M1495">
        <f>orders[[#This Row],[Ship Date]]-orders[[#This Row],[Order Date]]</f>
        <v>0</v>
      </c>
      <c r="N1495">
        <f>WEEKNUM(orders[[#This Row],[Order Date]],2)</f>
        <v>9</v>
      </c>
      <c r="O1495" t="str" cm="1">
        <f t="array" ref="O149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496" spans="1:15" x14ac:dyDescent="0.3">
      <c r="A1496" t="s">
        <v>1592</v>
      </c>
      <c r="B1496" t="s">
        <v>39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24</v>
      </c>
      <c r="I1496" t="s">
        <v>37</v>
      </c>
      <c r="J1496">
        <v>3</v>
      </c>
      <c r="K1496" t="s">
        <v>16</v>
      </c>
      <c r="L1496" t="s">
        <v>59</v>
      </c>
      <c r="M1496">
        <f>orders[[#This Row],[Ship Date]]-orders[[#This Row],[Order Date]]</f>
        <v>2</v>
      </c>
      <c r="N1496">
        <f>WEEKNUM(orders[[#This Row],[Order Date]],2)</f>
        <v>9</v>
      </c>
      <c r="O1496" t="str" cm="1">
        <f t="array" ref="O14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97" spans="1:15" x14ac:dyDescent="0.3">
      <c r="A1497" t="s">
        <v>1593</v>
      </c>
      <c r="B1497" t="s">
        <v>23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20</v>
      </c>
      <c r="I1497" t="s">
        <v>37</v>
      </c>
      <c r="J1497">
        <v>4</v>
      </c>
      <c r="K1497" t="s">
        <v>16</v>
      </c>
      <c r="L1497" t="s">
        <v>59</v>
      </c>
      <c r="M1497">
        <f>orders[[#This Row],[Ship Date]]-orders[[#This Row],[Order Date]]</f>
        <v>2</v>
      </c>
      <c r="N1497">
        <f>WEEKNUM(orders[[#This Row],[Order Date]],2)</f>
        <v>9</v>
      </c>
      <c r="O1497" t="str" cm="1">
        <f t="array" ref="O14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498" spans="1:15" x14ac:dyDescent="0.3">
      <c r="A1498" t="s">
        <v>1594</v>
      </c>
      <c r="B1498" t="s">
        <v>29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24</v>
      </c>
      <c r="I1498" t="s">
        <v>37</v>
      </c>
      <c r="J1498">
        <v>5</v>
      </c>
      <c r="K1498" t="s">
        <v>16</v>
      </c>
      <c r="L1498" t="s">
        <v>59</v>
      </c>
      <c r="M1498">
        <f>orders[[#This Row],[Ship Date]]-orders[[#This Row],[Order Date]]</f>
        <v>2</v>
      </c>
      <c r="N1498">
        <f>WEEKNUM(orders[[#This Row],[Order Date]],2)</f>
        <v>9</v>
      </c>
      <c r="O1498" t="str" cm="1">
        <f t="array" ref="O14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499" spans="1:15" x14ac:dyDescent="0.3">
      <c r="A1499" t="s">
        <v>1595</v>
      </c>
      <c r="B1499" t="s">
        <v>23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14</v>
      </c>
      <c r="I1499" t="s">
        <v>15</v>
      </c>
      <c r="J1499">
        <v>5</v>
      </c>
      <c r="K1499" t="s">
        <v>16</v>
      </c>
      <c r="L1499" t="s">
        <v>59</v>
      </c>
      <c r="M1499">
        <f>orders[[#This Row],[Ship Date]]-orders[[#This Row],[Order Date]]</f>
        <v>1</v>
      </c>
      <c r="N1499">
        <f>WEEKNUM(orders[[#This Row],[Order Date]],2)</f>
        <v>9</v>
      </c>
      <c r="O1499" t="str" cm="1">
        <f t="array" ref="O149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00" spans="1:15" x14ac:dyDescent="0.3">
      <c r="A1500" t="s">
        <v>1596</v>
      </c>
      <c r="B1500" t="s">
        <v>41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20</v>
      </c>
      <c r="I1500" t="s">
        <v>32</v>
      </c>
      <c r="J1500">
        <v>2</v>
      </c>
      <c r="K1500" t="s">
        <v>16</v>
      </c>
      <c r="L1500" t="s">
        <v>59</v>
      </c>
      <c r="M1500">
        <f>orders[[#This Row],[Ship Date]]-orders[[#This Row],[Order Date]]</f>
        <v>1</v>
      </c>
      <c r="N1500">
        <f>WEEKNUM(orders[[#This Row],[Order Date]],2)</f>
        <v>9</v>
      </c>
      <c r="O1500" t="str" cm="1">
        <f t="array" ref="O15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01" spans="1:15" x14ac:dyDescent="0.3">
      <c r="A1501" t="s">
        <v>1597</v>
      </c>
      <c r="B1501" t="s">
        <v>73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24</v>
      </c>
      <c r="I1501" t="s">
        <v>32</v>
      </c>
      <c r="J1501">
        <v>5</v>
      </c>
      <c r="K1501" t="s">
        <v>16</v>
      </c>
      <c r="L1501" t="s">
        <v>100</v>
      </c>
      <c r="M1501">
        <f>orders[[#This Row],[Ship Date]]-orders[[#This Row],[Order Date]]</f>
        <v>3</v>
      </c>
      <c r="N1501">
        <f>WEEKNUM(orders[[#This Row],[Order Date]],2)</f>
        <v>9</v>
      </c>
      <c r="O1501" t="str" cm="1">
        <f t="array" ref="O15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02" spans="1:15" x14ac:dyDescent="0.3">
      <c r="A1502" t="s">
        <v>1598</v>
      </c>
      <c r="B1502" t="s">
        <v>43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24</v>
      </c>
      <c r="I1502" t="s">
        <v>15</v>
      </c>
      <c r="J1502">
        <v>2</v>
      </c>
      <c r="K1502" t="s">
        <v>16</v>
      </c>
      <c r="L1502" t="s">
        <v>74</v>
      </c>
      <c r="M1502">
        <f>orders[[#This Row],[Ship Date]]-orders[[#This Row],[Order Date]]</f>
        <v>6</v>
      </c>
      <c r="N1502">
        <f>WEEKNUM(orders[[#This Row],[Order Date]],2)</f>
        <v>9</v>
      </c>
      <c r="O1502" t="str" cm="1">
        <f t="array" ref="O15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03" spans="1:15" x14ac:dyDescent="0.3">
      <c r="A1503" t="s">
        <v>1599</v>
      </c>
      <c r="B1503" t="s">
        <v>19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24</v>
      </c>
      <c r="I1503" t="s">
        <v>32</v>
      </c>
      <c r="J1503">
        <v>4</v>
      </c>
      <c r="K1503" t="s">
        <v>16</v>
      </c>
      <c r="L1503" t="s">
        <v>105</v>
      </c>
      <c r="M1503">
        <f>orders[[#This Row],[Ship Date]]-orders[[#This Row],[Order Date]]</f>
        <v>2</v>
      </c>
      <c r="N1503">
        <f>WEEKNUM(orders[[#This Row],[Order Date]],2)</f>
        <v>9</v>
      </c>
      <c r="O1503" t="str" cm="1">
        <f t="array" ref="O15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04" spans="1:15" x14ac:dyDescent="0.3">
      <c r="A1504" t="s">
        <v>1600</v>
      </c>
      <c r="B1504" t="s">
        <v>29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24</v>
      </c>
      <c r="I1504" t="s">
        <v>32</v>
      </c>
      <c r="J1504">
        <v>4</v>
      </c>
      <c r="K1504" t="s">
        <v>16</v>
      </c>
      <c r="L1504" t="s">
        <v>107</v>
      </c>
      <c r="M1504">
        <f>orders[[#This Row],[Ship Date]]-orders[[#This Row],[Order Date]]</f>
        <v>3</v>
      </c>
      <c r="N1504">
        <f>WEEKNUM(orders[[#This Row],[Order Date]],2)</f>
        <v>9</v>
      </c>
      <c r="O1504" t="str" cm="1">
        <f t="array" ref="O15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05" spans="1:15" x14ac:dyDescent="0.3">
      <c r="A1505" t="s">
        <v>1601</v>
      </c>
      <c r="B1505" t="s">
        <v>73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20</v>
      </c>
      <c r="I1505" t="s">
        <v>32</v>
      </c>
      <c r="J1505">
        <v>3</v>
      </c>
      <c r="K1505" t="s">
        <v>16</v>
      </c>
      <c r="L1505" t="s">
        <v>79</v>
      </c>
      <c r="M1505">
        <f>orders[[#This Row],[Ship Date]]-orders[[#This Row],[Order Date]]</f>
        <v>1</v>
      </c>
      <c r="N1505">
        <f>WEEKNUM(orders[[#This Row],[Order Date]],2)</f>
        <v>9</v>
      </c>
      <c r="O1505" t="str" cm="1">
        <f t="array" ref="O15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06" spans="1:15" x14ac:dyDescent="0.3">
      <c r="A1506" t="s">
        <v>1602</v>
      </c>
      <c r="B1506" t="s">
        <v>66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24</v>
      </c>
      <c r="I1506" t="s">
        <v>15</v>
      </c>
      <c r="J1506">
        <v>5</v>
      </c>
      <c r="K1506" t="s">
        <v>16</v>
      </c>
      <c r="L1506" t="s">
        <v>112</v>
      </c>
      <c r="M1506">
        <f>orders[[#This Row],[Ship Date]]-orders[[#This Row],[Order Date]]</f>
        <v>5</v>
      </c>
      <c r="N1506">
        <f>WEEKNUM(orders[[#This Row],[Order Date]],2)</f>
        <v>9</v>
      </c>
      <c r="O1506" t="str" cm="1">
        <f t="array" ref="O15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07" spans="1:15" x14ac:dyDescent="0.3">
      <c r="A1507" t="s">
        <v>1603</v>
      </c>
      <c r="B1507" t="s">
        <v>168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20</v>
      </c>
      <c r="I1507" t="s">
        <v>48</v>
      </c>
      <c r="J1507">
        <v>4</v>
      </c>
      <c r="K1507" t="s">
        <v>16</v>
      </c>
      <c r="L1507" t="s">
        <v>112</v>
      </c>
      <c r="M1507">
        <f>orders[[#This Row],[Ship Date]]-orders[[#This Row],[Order Date]]</f>
        <v>1</v>
      </c>
      <c r="N1507">
        <f>WEEKNUM(orders[[#This Row],[Order Date]],2)</f>
        <v>9</v>
      </c>
      <c r="O1507" t="str" cm="1">
        <f t="array" ref="O150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08" spans="1:15" x14ac:dyDescent="0.3">
      <c r="A1508" t="s">
        <v>1604</v>
      </c>
      <c r="B1508" t="s">
        <v>36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20</v>
      </c>
      <c r="I1508" t="s">
        <v>37</v>
      </c>
      <c r="J1508">
        <v>3</v>
      </c>
      <c r="K1508" t="s">
        <v>16</v>
      </c>
      <c r="L1508" t="s">
        <v>21</v>
      </c>
      <c r="M1508">
        <f>orders[[#This Row],[Ship Date]]-orders[[#This Row],[Order Date]]</f>
        <v>8</v>
      </c>
      <c r="N1508">
        <f>WEEKNUM(orders[[#This Row],[Order Date]],2)</f>
        <v>9</v>
      </c>
      <c r="O1508" t="str" cm="1">
        <f t="array" ref="O15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09" spans="1:15" x14ac:dyDescent="0.3">
      <c r="A1509" t="s">
        <v>1605</v>
      </c>
      <c r="B1509" t="s">
        <v>36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20</v>
      </c>
      <c r="I1509" t="s">
        <v>15</v>
      </c>
      <c r="J1509">
        <v>4</v>
      </c>
      <c r="K1509" t="s">
        <v>16</v>
      </c>
      <c r="L1509" t="s">
        <v>30</v>
      </c>
      <c r="M1509">
        <f>orders[[#This Row],[Ship Date]]-orders[[#This Row],[Order Date]]</f>
        <v>1</v>
      </c>
      <c r="N1509">
        <f>WEEKNUM(orders[[#This Row],[Order Date]],2)</f>
        <v>9</v>
      </c>
      <c r="O1509" t="str" cm="1">
        <f t="array" ref="O15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10" spans="1:15" x14ac:dyDescent="0.3">
      <c r="A1510" t="s">
        <v>1606</v>
      </c>
      <c r="B1510" t="s">
        <v>23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20</v>
      </c>
      <c r="I1510" t="s">
        <v>48</v>
      </c>
      <c r="J1510">
        <v>5</v>
      </c>
      <c r="K1510" t="s">
        <v>16</v>
      </c>
      <c r="L1510" t="s">
        <v>30</v>
      </c>
      <c r="M1510">
        <f>orders[[#This Row],[Ship Date]]-orders[[#This Row],[Order Date]]</f>
        <v>0</v>
      </c>
      <c r="N1510">
        <f>WEEKNUM(orders[[#This Row],[Order Date]],2)</f>
        <v>9</v>
      </c>
      <c r="O1510" t="str" cm="1">
        <f t="array" ref="O15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11" spans="1:15" x14ac:dyDescent="0.3">
      <c r="A1511" t="s">
        <v>1607</v>
      </c>
      <c r="B1511" t="s">
        <v>19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20</v>
      </c>
      <c r="I1511" t="s">
        <v>32</v>
      </c>
      <c r="J1511">
        <v>3</v>
      </c>
      <c r="K1511" t="s">
        <v>16</v>
      </c>
      <c r="L1511" t="s">
        <v>30</v>
      </c>
      <c r="M1511">
        <f>orders[[#This Row],[Ship Date]]-orders[[#This Row],[Order Date]]</f>
        <v>4</v>
      </c>
      <c r="N1511">
        <f>WEEKNUM(orders[[#This Row],[Order Date]],2)</f>
        <v>9</v>
      </c>
      <c r="O1511" t="str" cm="1">
        <f t="array" ref="O15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12" spans="1:15" x14ac:dyDescent="0.3">
      <c r="A1512" t="s">
        <v>1608</v>
      </c>
      <c r="B1512" t="s">
        <v>73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20</v>
      </c>
      <c r="I1512" t="s">
        <v>32</v>
      </c>
      <c r="J1512">
        <v>4</v>
      </c>
      <c r="K1512" t="s">
        <v>16</v>
      </c>
      <c r="L1512" t="s">
        <v>30</v>
      </c>
      <c r="M1512">
        <f>orders[[#This Row],[Ship Date]]-orders[[#This Row],[Order Date]]</f>
        <v>2</v>
      </c>
      <c r="N1512">
        <f>WEEKNUM(orders[[#This Row],[Order Date]],2)</f>
        <v>9</v>
      </c>
      <c r="O1512" t="str" cm="1">
        <f t="array" ref="O15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13" spans="1:15" x14ac:dyDescent="0.3">
      <c r="A1513" t="s">
        <v>1609</v>
      </c>
      <c r="B1513" t="s">
        <v>132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24</v>
      </c>
      <c r="I1513" t="s">
        <v>37</v>
      </c>
      <c r="J1513">
        <v>4</v>
      </c>
      <c r="K1513" t="s">
        <v>16</v>
      </c>
      <c r="L1513" t="s">
        <v>30</v>
      </c>
      <c r="M1513">
        <f>orders[[#This Row],[Ship Date]]-orders[[#This Row],[Order Date]]</f>
        <v>1</v>
      </c>
      <c r="N1513">
        <f>WEEKNUM(orders[[#This Row],[Order Date]],2)</f>
        <v>9</v>
      </c>
      <c r="O1513" t="str" cm="1">
        <f t="array" ref="O15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14" spans="1:15" x14ac:dyDescent="0.3">
      <c r="A1514" t="s">
        <v>1610</v>
      </c>
      <c r="B1514" t="s">
        <v>41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24</v>
      </c>
      <c r="I1514" t="s">
        <v>15</v>
      </c>
      <c r="J1514">
        <v>3</v>
      </c>
      <c r="K1514" t="s">
        <v>16</v>
      </c>
      <c r="L1514" t="s">
        <v>30</v>
      </c>
      <c r="M1514">
        <f>orders[[#This Row],[Ship Date]]-orders[[#This Row],[Order Date]]</f>
        <v>2</v>
      </c>
      <c r="N1514">
        <f>WEEKNUM(orders[[#This Row],[Order Date]],2)</f>
        <v>9</v>
      </c>
      <c r="O1514" t="str" cm="1">
        <f t="array" ref="O15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15" spans="1:15" x14ac:dyDescent="0.3">
      <c r="A1515" t="s">
        <v>1611</v>
      </c>
      <c r="B1515" t="s">
        <v>36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24</v>
      </c>
      <c r="I1515" t="s">
        <v>37</v>
      </c>
      <c r="J1515">
        <v>3</v>
      </c>
      <c r="K1515" t="s">
        <v>16</v>
      </c>
      <c r="L1515" t="s">
        <v>30</v>
      </c>
      <c r="M1515">
        <f>orders[[#This Row],[Ship Date]]-orders[[#This Row],[Order Date]]</f>
        <v>2</v>
      </c>
      <c r="N1515">
        <f>WEEKNUM(orders[[#This Row],[Order Date]],2)</f>
        <v>9</v>
      </c>
      <c r="O1515" t="str" cm="1">
        <f t="array" ref="O15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16" spans="1:15" x14ac:dyDescent="0.3">
      <c r="A1516" t="s">
        <v>1612</v>
      </c>
      <c r="B1516" t="s">
        <v>51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24</v>
      </c>
      <c r="I1516" t="s">
        <v>15</v>
      </c>
      <c r="J1516">
        <v>5</v>
      </c>
      <c r="K1516" t="s">
        <v>16</v>
      </c>
      <c r="L1516" t="s">
        <v>30</v>
      </c>
      <c r="M1516">
        <f>orders[[#This Row],[Ship Date]]-orders[[#This Row],[Order Date]]</f>
        <v>7</v>
      </c>
      <c r="N1516">
        <f>WEEKNUM(orders[[#This Row],[Order Date]],2)</f>
        <v>9</v>
      </c>
      <c r="O1516" t="str" cm="1">
        <f t="array" ref="O15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17" spans="1:15" x14ac:dyDescent="0.3">
      <c r="A1517" t="s">
        <v>1613</v>
      </c>
      <c r="B1517" t="s">
        <v>34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24</v>
      </c>
      <c r="I1517" t="s">
        <v>15</v>
      </c>
      <c r="J1517">
        <v>4</v>
      </c>
      <c r="K1517" t="s">
        <v>16</v>
      </c>
      <c r="L1517" t="s">
        <v>30</v>
      </c>
      <c r="M1517">
        <f>orders[[#This Row],[Ship Date]]-orders[[#This Row],[Order Date]]</f>
        <v>1</v>
      </c>
      <c r="N1517">
        <f>WEEKNUM(orders[[#This Row],[Order Date]],2)</f>
        <v>9</v>
      </c>
      <c r="O1517" t="str" cm="1">
        <f t="array" ref="O15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18" spans="1:15" x14ac:dyDescent="0.3">
      <c r="A1518" t="s">
        <v>1614</v>
      </c>
      <c r="B1518" t="s">
        <v>43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20</v>
      </c>
      <c r="I1518" t="s">
        <v>15</v>
      </c>
      <c r="J1518">
        <v>4</v>
      </c>
      <c r="K1518" t="s">
        <v>16</v>
      </c>
      <c r="L1518" t="s">
        <v>30</v>
      </c>
      <c r="M1518">
        <f>orders[[#This Row],[Ship Date]]-orders[[#This Row],[Order Date]]</f>
        <v>2</v>
      </c>
      <c r="N1518">
        <f>WEEKNUM(orders[[#This Row],[Order Date]],2)</f>
        <v>9</v>
      </c>
      <c r="O1518" t="str" cm="1">
        <f t="array" ref="O151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19" spans="1:15" x14ac:dyDescent="0.3">
      <c r="A1519" t="s">
        <v>1615</v>
      </c>
      <c r="B1519" t="s">
        <v>23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24</v>
      </c>
      <c r="I1519" t="s">
        <v>32</v>
      </c>
      <c r="J1519">
        <v>3</v>
      </c>
      <c r="K1519" t="s">
        <v>16</v>
      </c>
      <c r="L1519" t="s">
        <v>30</v>
      </c>
      <c r="M1519">
        <f>orders[[#This Row],[Ship Date]]-orders[[#This Row],[Order Date]]</f>
        <v>1</v>
      </c>
      <c r="N1519">
        <f>WEEKNUM(orders[[#This Row],[Order Date]],2)</f>
        <v>9</v>
      </c>
      <c r="O1519" t="str" cm="1">
        <f t="array" ref="O15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20" spans="1:15" x14ac:dyDescent="0.3">
      <c r="A1520" t="s">
        <v>1616</v>
      </c>
      <c r="B1520" t="s">
        <v>36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20</v>
      </c>
      <c r="I1520" t="s">
        <v>37</v>
      </c>
      <c r="J1520">
        <v>4</v>
      </c>
      <c r="K1520" t="s">
        <v>16</v>
      </c>
      <c r="L1520" t="s">
        <v>339</v>
      </c>
      <c r="M1520">
        <f>orders[[#This Row],[Ship Date]]-orders[[#This Row],[Order Date]]</f>
        <v>4</v>
      </c>
      <c r="N1520">
        <f>WEEKNUM(orders[[#This Row],[Order Date]],2)</f>
        <v>9</v>
      </c>
      <c r="O1520" t="str" cm="1">
        <f t="array" ref="O15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21" spans="1:15" x14ac:dyDescent="0.3">
      <c r="A1521" t="s">
        <v>1617</v>
      </c>
      <c r="B1521" t="s">
        <v>19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24</v>
      </c>
      <c r="I1521" t="s">
        <v>15</v>
      </c>
      <c r="J1521">
        <v>4</v>
      </c>
      <c r="K1521" t="s">
        <v>16</v>
      </c>
      <c r="L1521" t="s">
        <v>59</v>
      </c>
      <c r="M1521">
        <f>orders[[#This Row],[Ship Date]]-orders[[#This Row],[Order Date]]</f>
        <v>2</v>
      </c>
      <c r="N1521">
        <f>WEEKNUM(orders[[#This Row],[Order Date]],2)</f>
        <v>9</v>
      </c>
      <c r="O1521" t="str" cm="1">
        <f t="array" ref="O15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22" spans="1:15" x14ac:dyDescent="0.3">
      <c r="A1522" t="s">
        <v>1618</v>
      </c>
      <c r="B1522" t="s">
        <v>39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20</v>
      </c>
      <c r="I1522" t="s">
        <v>15</v>
      </c>
      <c r="J1522">
        <v>4</v>
      </c>
      <c r="K1522" t="s">
        <v>16</v>
      </c>
      <c r="L1522" t="s">
        <v>59</v>
      </c>
      <c r="M1522">
        <f>orders[[#This Row],[Ship Date]]-orders[[#This Row],[Order Date]]</f>
        <v>2</v>
      </c>
      <c r="N1522">
        <f>WEEKNUM(orders[[#This Row],[Order Date]],2)</f>
        <v>9</v>
      </c>
      <c r="O1522" t="str" cm="1">
        <f t="array" ref="O15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23" spans="1:15" x14ac:dyDescent="0.3">
      <c r="A1523" t="s">
        <v>1619</v>
      </c>
      <c r="B1523" t="s">
        <v>34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20</v>
      </c>
      <c r="I1523" t="s">
        <v>15</v>
      </c>
      <c r="J1523">
        <v>5</v>
      </c>
      <c r="K1523" t="s">
        <v>16</v>
      </c>
      <c r="L1523" t="s">
        <v>59</v>
      </c>
      <c r="M1523">
        <f>orders[[#This Row],[Ship Date]]-orders[[#This Row],[Order Date]]</f>
        <v>0</v>
      </c>
      <c r="N1523">
        <f>WEEKNUM(orders[[#This Row],[Order Date]],2)</f>
        <v>9</v>
      </c>
      <c r="O1523" t="str" cm="1">
        <f t="array" ref="O15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24" spans="1:15" x14ac:dyDescent="0.3">
      <c r="A1524" t="s">
        <v>1620</v>
      </c>
      <c r="B1524" t="s">
        <v>34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24</v>
      </c>
      <c r="I1524" t="s">
        <v>15</v>
      </c>
      <c r="J1524">
        <v>5</v>
      </c>
      <c r="K1524" t="s">
        <v>16</v>
      </c>
      <c r="L1524" t="s">
        <v>59</v>
      </c>
      <c r="M1524">
        <f>orders[[#This Row],[Ship Date]]-orders[[#This Row],[Order Date]]</f>
        <v>3</v>
      </c>
      <c r="N1524">
        <f>WEEKNUM(orders[[#This Row],[Order Date]],2)</f>
        <v>9</v>
      </c>
      <c r="O1524" t="str" cm="1">
        <f t="array" ref="O15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25" spans="1:15" x14ac:dyDescent="0.3">
      <c r="A1525" t="s">
        <v>1621</v>
      </c>
      <c r="B1525" t="s">
        <v>125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14</v>
      </c>
      <c r="I1525" t="s">
        <v>48</v>
      </c>
      <c r="J1525">
        <v>4</v>
      </c>
      <c r="K1525" t="s">
        <v>16</v>
      </c>
      <c r="L1525" t="s">
        <v>100</v>
      </c>
      <c r="M1525">
        <f>orders[[#This Row],[Ship Date]]-orders[[#This Row],[Order Date]]</f>
        <v>0</v>
      </c>
      <c r="N1525">
        <f>WEEKNUM(orders[[#This Row],[Order Date]],2)</f>
        <v>9</v>
      </c>
      <c r="O1525" t="str" cm="1">
        <f t="array" ref="O152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26" spans="1:15" x14ac:dyDescent="0.3">
      <c r="A1526" t="s">
        <v>1622</v>
      </c>
      <c r="B1526" t="s">
        <v>23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14</v>
      </c>
      <c r="I1526" t="s">
        <v>15</v>
      </c>
      <c r="J1526">
        <v>4</v>
      </c>
      <c r="K1526" t="s">
        <v>16</v>
      </c>
      <c r="L1526" t="s">
        <v>100</v>
      </c>
      <c r="M1526">
        <f>orders[[#This Row],[Ship Date]]-orders[[#This Row],[Order Date]]</f>
        <v>5</v>
      </c>
      <c r="N1526">
        <f>WEEKNUM(orders[[#This Row],[Order Date]],2)</f>
        <v>9</v>
      </c>
      <c r="O1526" t="str" cm="1">
        <f t="array" ref="O152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27" spans="1:15" x14ac:dyDescent="0.3">
      <c r="A1527" t="s">
        <v>1623</v>
      </c>
      <c r="B1527" t="s">
        <v>34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20</v>
      </c>
      <c r="I1527" t="s">
        <v>67</v>
      </c>
      <c r="J1527">
        <v>2</v>
      </c>
      <c r="K1527" t="s">
        <v>16</v>
      </c>
      <c r="L1527" t="s">
        <v>198</v>
      </c>
      <c r="M1527">
        <f>orders[[#This Row],[Ship Date]]-orders[[#This Row],[Order Date]]</f>
        <v>1</v>
      </c>
      <c r="N1527">
        <f>WEEKNUM(orders[[#This Row],[Order Date]],2)</f>
        <v>9</v>
      </c>
      <c r="O1527" t="str" cm="1">
        <f t="array" ref="O152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28" spans="1:15" x14ac:dyDescent="0.3">
      <c r="A1528" t="s">
        <v>1624</v>
      </c>
      <c r="B1528" t="s">
        <v>19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20</v>
      </c>
      <c r="I1528" t="s">
        <v>15</v>
      </c>
      <c r="J1528">
        <v>3</v>
      </c>
      <c r="K1528" t="s">
        <v>16</v>
      </c>
      <c r="L1528" t="s">
        <v>198</v>
      </c>
      <c r="M1528">
        <f>orders[[#This Row],[Ship Date]]-orders[[#This Row],[Order Date]]</f>
        <v>0</v>
      </c>
      <c r="N1528">
        <f>WEEKNUM(orders[[#This Row],[Order Date]],2)</f>
        <v>9</v>
      </c>
      <c r="O1528" t="str" cm="1">
        <f t="array" ref="O15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29" spans="1:15" x14ac:dyDescent="0.3">
      <c r="A1529" t="s">
        <v>1625</v>
      </c>
      <c r="B1529" t="s">
        <v>39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20</v>
      </c>
      <c r="I1529" t="s">
        <v>15</v>
      </c>
      <c r="J1529">
        <v>5</v>
      </c>
      <c r="K1529" t="s">
        <v>16</v>
      </c>
      <c r="L1529" t="s">
        <v>69</v>
      </c>
      <c r="M1529">
        <f>orders[[#This Row],[Ship Date]]-orders[[#This Row],[Order Date]]</f>
        <v>1</v>
      </c>
      <c r="N1529">
        <f>WEEKNUM(orders[[#This Row],[Order Date]],2)</f>
        <v>9</v>
      </c>
      <c r="O1529" t="str" cm="1">
        <f t="array" ref="O15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30" spans="1:15" x14ac:dyDescent="0.3">
      <c r="A1530" t="s">
        <v>1626</v>
      </c>
      <c r="B1530" t="s">
        <v>23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14</v>
      </c>
      <c r="I1530" t="s">
        <v>37</v>
      </c>
      <c r="J1530">
        <v>5</v>
      </c>
      <c r="K1530" t="s">
        <v>16</v>
      </c>
      <c r="L1530" t="s">
        <v>69</v>
      </c>
      <c r="M1530">
        <f>orders[[#This Row],[Ship Date]]-orders[[#This Row],[Order Date]]</f>
        <v>2</v>
      </c>
      <c r="N1530">
        <f>WEEKNUM(orders[[#This Row],[Order Date]],2)</f>
        <v>9</v>
      </c>
      <c r="O1530" t="str" cm="1">
        <f t="array" ref="O153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31" spans="1:15" x14ac:dyDescent="0.3">
      <c r="A1531" t="s">
        <v>1627</v>
      </c>
      <c r="B1531" t="s">
        <v>29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20</v>
      </c>
      <c r="I1531" t="s">
        <v>15</v>
      </c>
      <c r="J1531">
        <v>2</v>
      </c>
      <c r="K1531" t="s">
        <v>16</v>
      </c>
      <c r="L1531" t="s">
        <v>71</v>
      </c>
      <c r="M1531">
        <f>orders[[#This Row],[Ship Date]]-orders[[#This Row],[Order Date]]</f>
        <v>3</v>
      </c>
      <c r="N1531">
        <f>WEEKNUM(orders[[#This Row],[Order Date]],2)</f>
        <v>9</v>
      </c>
      <c r="O1531" t="str" cm="1">
        <f t="array" ref="O15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32" spans="1:15" x14ac:dyDescent="0.3">
      <c r="A1532" t="s">
        <v>1628</v>
      </c>
      <c r="B1532" t="s">
        <v>34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14</v>
      </c>
      <c r="I1532" t="s">
        <v>48</v>
      </c>
      <c r="J1532">
        <v>4</v>
      </c>
      <c r="K1532" t="s">
        <v>16</v>
      </c>
      <c r="L1532" t="s">
        <v>71</v>
      </c>
      <c r="M1532">
        <f>orders[[#This Row],[Ship Date]]-orders[[#This Row],[Order Date]]</f>
        <v>2</v>
      </c>
      <c r="N1532">
        <f>WEEKNUM(orders[[#This Row],[Order Date]],2)</f>
        <v>9</v>
      </c>
      <c r="O1532" t="str" cm="1">
        <f t="array" ref="O153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33" spans="1:15" x14ac:dyDescent="0.3">
      <c r="A1533" t="s">
        <v>1629</v>
      </c>
      <c r="B1533" t="s">
        <v>132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20</v>
      </c>
      <c r="I1533" t="s">
        <v>37</v>
      </c>
      <c r="J1533">
        <v>4</v>
      </c>
      <c r="K1533" t="s">
        <v>16</v>
      </c>
      <c r="L1533" t="s">
        <v>107</v>
      </c>
      <c r="M1533">
        <f>orders[[#This Row],[Ship Date]]-orders[[#This Row],[Order Date]]</f>
        <v>0</v>
      </c>
      <c r="N1533">
        <f>WEEKNUM(orders[[#This Row],[Order Date]],2)</f>
        <v>9</v>
      </c>
      <c r="O1533" t="str" cm="1">
        <f t="array" ref="O15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34" spans="1:15" x14ac:dyDescent="0.3">
      <c r="A1534" t="s">
        <v>1630</v>
      </c>
      <c r="B1534" t="s">
        <v>29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14</v>
      </c>
      <c r="I1534" t="s">
        <v>48</v>
      </c>
      <c r="J1534">
        <v>5</v>
      </c>
      <c r="K1534" t="s">
        <v>16</v>
      </c>
      <c r="L1534" t="s">
        <v>79</v>
      </c>
      <c r="M1534">
        <f>orders[[#This Row],[Ship Date]]-orders[[#This Row],[Order Date]]</f>
        <v>1</v>
      </c>
      <c r="N1534">
        <f>WEEKNUM(orders[[#This Row],[Order Date]],2)</f>
        <v>9</v>
      </c>
      <c r="O1534" t="str" cm="1">
        <f t="array" ref="O153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35" spans="1:15" x14ac:dyDescent="0.3">
      <c r="A1535" t="s">
        <v>1631</v>
      </c>
      <c r="B1535" t="s">
        <v>64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24</v>
      </c>
      <c r="I1535" t="s">
        <v>15</v>
      </c>
      <c r="J1535">
        <v>5</v>
      </c>
      <c r="K1535" t="s">
        <v>16</v>
      </c>
      <c r="L1535" t="s">
        <v>79</v>
      </c>
      <c r="M1535">
        <f>orders[[#This Row],[Ship Date]]-orders[[#This Row],[Order Date]]</f>
        <v>1</v>
      </c>
      <c r="N1535">
        <f>WEEKNUM(orders[[#This Row],[Order Date]],2)</f>
        <v>9</v>
      </c>
      <c r="O1535" t="str" cm="1">
        <f t="array" ref="O15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36" spans="1:15" x14ac:dyDescent="0.3">
      <c r="A1536" t="s">
        <v>1632</v>
      </c>
      <c r="B1536" t="s">
        <v>36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24</v>
      </c>
      <c r="I1536" t="s">
        <v>15</v>
      </c>
      <c r="J1536">
        <v>3</v>
      </c>
      <c r="K1536" t="s">
        <v>16</v>
      </c>
      <c r="L1536" t="s">
        <v>112</v>
      </c>
      <c r="M1536">
        <f>orders[[#This Row],[Ship Date]]-orders[[#This Row],[Order Date]]</f>
        <v>4</v>
      </c>
      <c r="N1536">
        <f>WEEKNUM(orders[[#This Row],[Order Date]],2)</f>
        <v>9</v>
      </c>
      <c r="O1536" t="str" cm="1">
        <f t="array" ref="O15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37" spans="1:15" x14ac:dyDescent="0.3">
      <c r="A1537" t="s">
        <v>1633</v>
      </c>
      <c r="B1537" t="s">
        <v>36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20</v>
      </c>
      <c r="I1537" t="s">
        <v>32</v>
      </c>
      <c r="J1537">
        <v>5</v>
      </c>
      <c r="K1537" t="s">
        <v>16</v>
      </c>
      <c r="L1537" t="s">
        <v>638</v>
      </c>
      <c r="M1537">
        <f>orders[[#This Row],[Ship Date]]-orders[[#This Row],[Order Date]]</f>
        <v>1</v>
      </c>
      <c r="N1537">
        <f>WEEKNUM(orders[[#This Row],[Order Date]],2)</f>
        <v>9</v>
      </c>
      <c r="O1537" t="str" cm="1">
        <f t="array" ref="O15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38" spans="1:15" x14ac:dyDescent="0.3">
      <c r="A1538" t="s">
        <v>1634</v>
      </c>
      <c r="B1538" t="s">
        <v>29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20</v>
      </c>
      <c r="I1538" t="s">
        <v>15</v>
      </c>
      <c r="J1538">
        <v>5</v>
      </c>
      <c r="K1538" t="s">
        <v>16</v>
      </c>
      <c r="L1538" t="s">
        <v>25</v>
      </c>
      <c r="M1538">
        <f>orders[[#This Row],[Ship Date]]-orders[[#This Row],[Order Date]]</f>
        <v>3</v>
      </c>
      <c r="N1538">
        <f>WEEKNUM(orders[[#This Row],[Order Date]],2)</f>
        <v>9</v>
      </c>
      <c r="O1538" t="str" cm="1">
        <f t="array" ref="O15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39" spans="1:15" x14ac:dyDescent="0.3">
      <c r="A1539" t="s">
        <v>1635</v>
      </c>
      <c r="B1539" t="s">
        <v>66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24</v>
      </c>
      <c r="I1539" t="s">
        <v>32</v>
      </c>
      <c r="J1539">
        <v>3</v>
      </c>
      <c r="K1539" t="s">
        <v>16</v>
      </c>
      <c r="L1539" t="s">
        <v>144</v>
      </c>
      <c r="M1539">
        <f>orders[[#This Row],[Ship Date]]-orders[[#This Row],[Order Date]]</f>
        <v>1</v>
      </c>
      <c r="N1539">
        <f>WEEKNUM(orders[[#This Row],[Order Date]],2)</f>
        <v>9</v>
      </c>
      <c r="O1539" t="str" cm="1">
        <f t="array" ref="O15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40" spans="1:15" x14ac:dyDescent="0.3">
      <c r="A1540" t="s">
        <v>1636</v>
      </c>
      <c r="B1540" t="s">
        <v>13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24</v>
      </c>
      <c r="I1540" t="s">
        <v>15</v>
      </c>
      <c r="J1540">
        <v>5</v>
      </c>
      <c r="K1540" t="s">
        <v>16</v>
      </c>
      <c r="L1540" t="s">
        <v>144</v>
      </c>
      <c r="M1540">
        <f>orders[[#This Row],[Ship Date]]-orders[[#This Row],[Order Date]]</f>
        <v>3</v>
      </c>
      <c r="N1540">
        <f>WEEKNUM(orders[[#This Row],[Order Date]],2)</f>
        <v>9</v>
      </c>
      <c r="O1540" t="str" cm="1">
        <f t="array" ref="O15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41" spans="1:15" x14ac:dyDescent="0.3">
      <c r="A1541" t="s">
        <v>1637</v>
      </c>
      <c r="B1541" t="s">
        <v>41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24</v>
      </c>
      <c r="I1541" t="s">
        <v>32</v>
      </c>
      <c r="J1541">
        <v>4</v>
      </c>
      <c r="K1541" t="s">
        <v>16</v>
      </c>
      <c r="L1541" t="s">
        <v>144</v>
      </c>
      <c r="M1541">
        <f>orders[[#This Row],[Ship Date]]-orders[[#This Row],[Order Date]]</f>
        <v>0</v>
      </c>
      <c r="N1541">
        <f>WEEKNUM(orders[[#This Row],[Order Date]],2)</f>
        <v>9</v>
      </c>
      <c r="O1541" t="str" cm="1">
        <f t="array" ref="O15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42" spans="1:15" x14ac:dyDescent="0.3">
      <c r="A1542" t="s">
        <v>1638</v>
      </c>
      <c r="B1542" t="s">
        <v>13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20</v>
      </c>
      <c r="I1542" t="s">
        <v>67</v>
      </c>
      <c r="J1542">
        <v>5</v>
      </c>
      <c r="K1542" t="s">
        <v>16</v>
      </c>
      <c r="L1542" t="s">
        <v>30</v>
      </c>
      <c r="M1542">
        <f>orders[[#This Row],[Ship Date]]-orders[[#This Row],[Order Date]]</f>
        <v>0</v>
      </c>
      <c r="N1542">
        <f>WEEKNUM(orders[[#This Row],[Order Date]],2)</f>
        <v>9</v>
      </c>
      <c r="O1542" t="str" cm="1">
        <f t="array" ref="O15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43" spans="1:15" x14ac:dyDescent="0.3">
      <c r="A1543" t="s">
        <v>1639</v>
      </c>
      <c r="B1543" t="s">
        <v>51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20</v>
      </c>
      <c r="I1543" t="s">
        <v>32</v>
      </c>
      <c r="J1543">
        <v>5</v>
      </c>
      <c r="K1543" t="s">
        <v>16</v>
      </c>
      <c r="L1543" t="s">
        <v>30</v>
      </c>
      <c r="M1543">
        <f>orders[[#This Row],[Ship Date]]-orders[[#This Row],[Order Date]]</f>
        <v>1</v>
      </c>
      <c r="N1543">
        <f>WEEKNUM(orders[[#This Row],[Order Date]],2)</f>
        <v>9</v>
      </c>
      <c r="O1543" t="str" cm="1">
        <f t="array" ref="O15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44" spans="1:15" x14ac:dyDescent="0.3">
      <c r="A1544" t="s">
        <v>1640</v>
      </c>
      <c r="B1544" t="s">
        <v>143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20</v>
      </c>
      <c r="I1544" t="s">
        <v>48</v>
      </c>
      <c r="J1544">
        <v>2</v>
      </c>
      <c r="K1544" t="s">
        <v>16</v>
      </c>
      <c r="L1544" t="s">
        <v>30</v>
      </c>
      <c r="M1544">
        <f>orders[[#This Row],[Ship Date]]-orders[[#This Row],[Order Date]]</f>
        <v>3</v>
      </c>
      <c r="N1544">
        <f>WEEKNUM(orders[[#This Row],[Order Date]],2)</f>
        <v>9</v>
      </c>
      <c r="O1544" t="str" cm="1">
        <f t="array" ref="O15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45" spans="1:15" x14ac:dyDescent="0.3">
      <c r="A1545" t="s">
        <v>1641</v>
      </c>
      <c r="B1545" t="s">
        <v>27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24</v>
      </c>
      <c r="I1545" t="s">
        <v>32</v>
      </c>
      <c r="J1545">
        <v>4</v>
      </c>
      <c r="K1545" t="s">
        <v>16</v>
      </c>
      <c r="L1545" t="s">
        <v>30</v>
      </c>
      <c r="M1545">
        <f>orders[[#This Row],[Ship Date]]-orders[[#This Row],[Order Date]]</f>
        <v>3</v>
      </c>
      <c r="N1545">
        <f>WEEKNUM(orders[[#This Row],[Order Date]],2)</f>
        <v>9</v>
      </c>
      <c r="O1545" t="str" cm="1">
        <f t="array" ref="O15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46" spans="1:15" x14ac:dyDescent="0.3">
      <c r="A1546" t="s">
        <v>1642</v>
      </c>
      <c r="B1546" t="s">
        <v>43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24</v>
      </c>
      <c r="I1546" t="s">
        <v>32</v>
      </c>
      <c r="J1546">
        <v>2</v>
      </c>
      <c r="K1546" t="s">
        <v>16</v>
      </c>
      <c r="L1546" t="s">
        <v>30</v>
      </c>
      <c r="M1546">
        <f>orders[[#This Row],[Ship Date]]-orders[[#This Row],[Order Date]]</f>
        <v>0</v>
      </c>
      <c r="N1546">
        <f>WEEKNUM(orders[[#This Row],[Order Date]],2)</f>
        <v>9</v>
      </c>
      <c r="O1546" t="str" cm="1">
        <f t="array" ref="O15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47" spans="1:15" x14ac:dyDescent="0.3">
      <c r="A1547" t="s">
        <v>1643</v>
      </c>
      <c r="B1547" t="s">
        <v>120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24</v>
      </c>
      <c r="I1547" t="s">
        <v>15</v>
      </c>
      <c r="J1547">
        <v>4</v>
      </c>
      <c r="K1547" t="s">
        <v>16</v>
      </c>
      <c r="L1547" t="s">
        <v>95</v>
      </c>
      <c r="M1547">
        <f>orders[[#This Row],[Ship Date]]-orders[[#This Row],[Order Date]]</f>
        <v>2</v>
      </c>
      <c r="N1547">
        <f>WEEKNUM(orders[[#This Row],[Order Date]],2)</f>
        <v>9</v>
      </c>
      <c r="O1547" t="str" cm="1">
        <f t="array" ref="O15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48" spans="1:15" x14ac:dyDescent="0.3">
      <c r="A1548" t="s">
        <v>1644</v>
      </c>
      <c r="B1548" t="s">
        <v>36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24</v>
      </c>
      <c r="I1548" t="s">
        <v>15</v>
      </c>
      <c r="J1548">
        <v>5</v>
      </c>
      <c r="K1548" t="s">
        <v>16</v>
      </c>
      <c r="L1548" t="s">
        <v>155</v>
      </c>
      <c r="M1548">
        <f>orders[[#This Row],[Ship Date]]-orders[[#This Row],[Order Date]]</f>
        <v>14</v>
      </c>
      <c r="N1548">
        <f>WEEKNUM(orders[[#This Row],[Order Date]],2)</f>
        <v>9</v>
      </c>
      <c r="O1548" t="str" cm="1">
        <f t="array" ref="O15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49" spans="1:15" x14ac:dyDescent="0.3">
      <c r="A1549" t="s">
        <v>1645</v>
      </c>
      <c r="B1549" t="s">
        <v>41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24</v>
      </c>
      <c r="I1549" t="s">
        <v>32</v>
      </c>
      <c r="J1549">
        <v>4</v>
      </c>
      <c r="K1549" t="s">
        <v>16</v>
      </c>
      <c r="L1549" t="s">
        <v>52</v>
      </c>
      <c r="M1549">
        <f>orders[[#This Row],[Ship Date]]-orders[[#This Row],[Order Date]]</f>
        <v>4</v>
      </c>
      <c r="N1549">
        <f>WEEKNUM(orders[[#This Row],[Order Date]],2)</f>
        <v>9</v>
      </c>
      <c r="O1549" t="str" cm="1">
        <f t="array" ref="O15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50" spans="1:15" x14ac:dyDescent="0.3">
      <c r="A1550" t="s">
        <v>1646</v>
      </c>
      <c r="B1550" t="s">
        <v>23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24</v>
      </c>
      <c r="I1550" t="s">
        <v>15</v>
      </c>
      <c r="J1550">
        <v>3</v>
      </c>
      <c r="K1550" t="s">
        <v>16</v>
      </c>
      <c r="L1550" t="s">
        <v>52</v>
      </c>
      <c r="M1550">
        <f>orders[[#This Row],[Ship Date]]-orders[[#This Row],[Order Date]]</f>
        <v>1</v>
      </c>
      <c r="N1550">
        <f>WEEKNUM(orders[[#This Row],[Order Date]],2)</f>
        <v>9</v>
      </c>
      <c r="O1550" t="str" cm="1">
        <f t="array" ref="O15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51" spans="1:15" x14ac:dyDescent="0.3">
      <c r="A1551" t="s">
        <v>1647</v>
      </c>
      <c r="B1551" t="s">
        <v>143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20</v>
      </c>
      <c r="I1551" t="s">
        <v>67</v>
      </c>
      <c r="J1551">
        <v>4</v>
      </c>
      <c r="K1551" t="s">
        <v>16</v>
      </c>
      <c r="L1551" t="s">
        <v>59</v>
      </c>
      <c r="M1551">
        <f>orders[[#This Row],[Ship Date]]-orders[[#This Row],[Order Date]]</f>
        <v>2</v>
      </c>
      <c r="N1551">
        <f>WEEKNUM(orders[[#This Row],[Order Date]],2)</f>
        <v>9</v>
      </c>
      <c r="O1551" t="str" cm="1">
        <f t="array" ref="O15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52" spans="1:15" x14ac:dyDescent="0.3">
      <c r="A1552" t="s">
        <v>1648</v>
      </c>
      <c r="B1552" t="s">
        <v>41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20</v>
      </c>
      <c r="I1552" t="s">
        <v>32</v>
      </c>
      <c r="J1552">
        <v>5</v>
      </c>
      <c r="K1552" t="s">
        <v>16</v>
      </c>
      <c r="L1552" t="s">
        <v>59</v>
      </c>
      <c r="M1552">
        <f>orders[[#This Row],[Ship Date]]-orders[[#This Row],[Order Date]]</f>
        <v>4</v>
      </c>
      <c r="N1552">
        <f>WEEKNUM(orders[[#This Row],[Order Date]],2)</f>
        <v>9</v>
      </c>
      <c r="O1552" t="str" cm="1">
        <f t="array" ref="O15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53" spans="1:15" x14ac:dyDescent="0.3">
      <c r="A1553" t="s">
        <v>1649</v>
      </c>
      <c r="B1553" t="s">
        <v>41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20</v>
      </c>
      <c r="I1553" t="s">
        <v>37</v>
      </c>
      <c r="J1553">
        <v>5</v>
      </c>
      <c r="K1553" t="s">
        <v>16</v>
      </c>
      <c r="L1553" t="s">
        <v>59</v>
      </c>
      <c r="M1553">
        <f>orders[[#This Row],[Ship Date]]-orders[[#This Row],[Order Date]]</f>
        <v>2</v>
      </c>
      <c r="N1553">
        <f>WEEKNUM(orders[[#This Row],[Order Date]],2)</f>
        <v>9</v>
      </c>
      <c r="O1553" t="str" cm="1">
        <f t="array" ref="O155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54" spans="1:15" x14ac:dyDescent="0.3">
      <c r="A1554" t="s">
        <v>1650</v>
      </c>
      <c r="B1554" t="s">
        <v>73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20</v>
      </c>
      <c r="I1554" t="s">
        <v>15</v>
      </c>
      <c r="J1554">
        <v>5</v>
      </c>
      <c r="K1554" t="s">
        <v>16</v>
      </c>
      <c r="L1554" t="s">
        <v>59</v>
      </c>
      <c r="M1554">
        <f>orders[[#This Row],[Ship Date]]-orders[[#This Row],[Order Date]]</f>
        <v>3</v>
      </c>
      <c r="N1554">
        <f>WEEKNUM(orders[[#This Row],[Order Date]],2)</f>
        <v>9</v>
      </c>
      <c r="O1554" t="str" cm="1">
        <f t="array" ref="O15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55" spans="1:15" x14ac:dyDescent="0.3">
      <c r="A1555" t="s">
        <v>1651</v>
      </c>
      <c r="B1555" t="s">
        <v>51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24</v>
      </c>
      <c r="I1555" t="s">
        <v>15</v>
      </c>
      <c r="J1555">
        <v>4</v>
      </c>
      <c r="K1555" t="s">
        <v>16</v>
      </c>
      <c r="L1555" t="s">
        <v>100</v>
      </c>
      <c r="M1555">
        <f>orders[[#This Row],[Ship Date]]-orders[[#This Row],[Order Date]]</f>
        <v>1</v>
      </c>
      <c r="N1555">
        <f>WEEKNUM(orders[[#This Row],[Order Date]],2)</f>
        <v>9</v>
      </c>
      <c r="O1555" t="str" cm="1">
        <f t="array" ref="O15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56" spans="1:15" x14ac:dyDescent="0.3">
      <c r="A1556" t="s">
        <v>1652</v>
      </c>
      <c r="B1556" t="s">
        <v>78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24</v>
      </c>
      <c r="I1556" t="s">
        <v>15</v>
      </c>
      <c r="J1556">
        <v>4</v>
      </c>
      <c r="K1556" t="s">
        <v>16</v>
      </c>
      <c r="L1556" t="s">
        <v>69</v>
      </c>
      <c r="M1556">
        <f>orders[[#This Row],[Ship Date]]-orders[[#This Row],[Order Date]]</f>
        <v>2</v>
      </c>
      <c r="N1556">
        <f>WEEKNUM(orders[[#This Row],[Order Date]],2)</f>
        <v>9</v>
      </c>
      <c r="O1556" t="str" cm="1">
        <f t="array" ref="O15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57" spans="1:15" x14ac:dyDescent="0.3">
      <c r="A1557" t="s">
        <v>1653</v>
      </c>
      <c r="B1557" t="s">
        <v>27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14</v>
      </c>
      <c r="I1557" t="s">
        <v>15</v>
      </c>
      <c r="J1557">
        <v>5</v>
      </c>
      <c r="K1557" t="s">
        <v>16</v>
      </c>
      <c r="L1557" t="s">
        <v>74</v>
      </c>
      <c r="M1557">
        <f>orders[[#This Row],[Ship Date]]-orders[[#This Row],[Order Date]]</f>
        <v>3</v>
      </c>
      <c r="N1557">
        <f>WEEKNUM(orders[[#This Row],[Order Date]],2)</f>
        <v>9</v>
      </c>
      <c r="O1557" t="str" cm="1">
        <f t="array" ref="O155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58" spans="1:15" x14ac:dyDescent="0.3">
      <c r="A1558" t="s">
        <v>1654</v>
      </c>
      <c r="B1558" t="s">
        <v>19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20</v>
      </c>
      <c r="I1558" t="s">
        <v>48</v>
      </c>
      <c r="J1558">
        <v>4</v>
      </c>
      <c r="K1558" t="s">
        <v>16</v>
      </c>
      <c r="L1558" t="s">
        <v>74</v>
      </c>
      <c r="M1558">
        <f>orders[[#This Row],[Ship Date]]-orders[[#This Row],[Order Date]]</f>
        <v>5</v>
      </c>
      <c r="N1558">
        <f>WEEKNUM(orders[[#This Row],[Order Date]],2)</f>
        <v>9</v>
      </c>
      <c r="O1558" t="str" cm="1">
        <f t="array" ref="O155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59" spans="1:15" x14ac:dyDescent="0.3">
      <c r="A1559" t="s">
        <v>1655</v>
      </c>
      <c r="B1559" t="s">
        <v>168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20</v>
      </c>
      <c r="I1559" t="s">
        <v>32</v>
      </c>
      <c r="J1559">
        <v>4</v>
      </c>
      <c r="K1559" t="s">
        <v>16</v>
      </c>
      <c r="L1559" t="s">
        <v>105</v>
      </c>
      <c r="M1559">
        <f>orders[[#This Row],[Ship Date]]-orders[[#This Row],[Order Date]]</f>
        <v>11</v>
      </c>
      <c r="N1559">
        <f>WEEKNUM(orders[[#This Row],[Order Date]],2)</f>
        <v>9</v>
      </c>
      <c r="O1559" t="str" cm="1">
        <f t="array" ref="O15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60" spans="1:15" x14ac:dyDescent="0.3">
      <c r="A1560" t="s">
        <v>1656</v>
      </c>
      <c r="B1560" t="s">
        <v>143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86</v>
      </c>
      <c r="I1560" t="s">
        <v>48</v>
      </c>
      <c r="J1560">
        <v>4</v>
      </c>
      <c r="K1560" t="s">
        <v>16</v>
      </c>
      <c r="L1560" t="s">
        <v>289</v>
      </c>
      <c r="M1560">
        <f>orders[[#This Row],[Ship Date]]-orders[[#This Row],[Order Date]]</f>
        <v>0</v>
      </c>
      <c r="N1560">
        <f>WEEKNUM(orders[[#This Row],[Order Date]],2)</f>
        <v>9</v>
      </c>
      <c r="O1560" t="str" cm="1">
        <f t="array" ref="O156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561" spans="1:15" x14ac:dyDescent="0.3">
      <c r="A1561" t="s">
        <v>1657</v>
      </c>
      <c r="B1561" t="s">
        <v>36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24</v>
      </c>
      <c r="I1561" t="s">
        <v>32</v>
      </c>
      <c r="J1561">
        <v>4</v>
      </c>
      <c r="K1561" t="s">
        <v>16</v>
      </c>
      <c r="L1561" t="s">
        <v>21</v>
      </c>
      <c r="M1561">
        <f>orders[[#This Row],[Ship Date]]-orders[[#This Row],[Order Date]]</f>
        <v>2</v>
      </c>
      <c r="N1561">
        <f>WEEKNUM(orders[[#This Row],[Order Date]],2)</f>
        <v>9</v>
      </c>
      <c r="O1561" t="str" cm="1">
        <f t="array" ref="O15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62" spans="1:15" x14ac:dyDescent="0.3">
      <c r="A1562" t="s">
        <v>1658</v>
      </c>
      <c r="B1562" t="s">
        <v>41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24</v>
      </c>
      <c r="I1562" t="s">
        <v>37</v>
      </c>
      <c r="J1562">
        <v>5</v>
      </c>
      <c r="K1562" t="s">
        <v>16</v>
      </c>
      <c r="L1562" t="s">
        <v>25</v>
      </c>
      <c r="M1562">
        <f>orders[[#This Row],[Ship Date]]-orders[[#This Row],[Order Date]]</f>
        <v>1</v>
      </c>
      <c r="N1562">
        <f>WEEKNUM(orders[[#This Row],[Order Date]],2)</f>
        <v>9</v>
      </c>
      <c r="O1562" t="str" cm="1">
        <f t="array" ref="O15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63" spans="1:15" x14ac:dyDescent="0.3">
      <c r="A1563" t="s">
        <v>1659</v>
      </c>
      <c r="B1563" t="s">
        <v>168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86</v>
      </c>
      <c r="I1563" t="s">
        <v>37</v>
      </c>
      <c r="J1563">
        <v>4</v>
      </c>
      <c r="K1563" t="s">
        <v>16</v>
      </c>
      <c r="L1563" t="s">
        <v>144</v>
      </c>
      <c r="M1563">
        <f>orders[[#This Row],[Ship Date]]-orders[[#This Row],[Order Date]]</f>
        <v>3</v>
      </c>
      <c r="N1563">
        <f>WEEKNUM(orders[[#This Row],[Order Date]],2)</f>
        <v>9</v>
      </c>
      <c r="O1563" t="str" cm="1">
        <f t="array" ref="O156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564" spans="1:15" x14ac:dyDescent="0.3">
      <c r="A1564" t="s">
        <v>1660</v>
      </c>
      <c r="B1564" t="s">
        <v>66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24</v>
      </c>
      <c r="I1564" t="s">
        <v>48</v>
      </c>
      <c r="J1564">
        <v>5</v>
      </c>
      <c r="K1564" t="s">
        <v>16</v>
      </c>
      <c r="L1564" t="s">
        <v>144</v>
      </c>
      <c r="M1564">
        <f>orders[[#This Row],[Ship Date]]-orders[[#This Row],[Order Date]]</f>
        <v>1</v>
      </c>
      <c r="N1564">
        <f>WEEKNUM(orders[[#This Row],[Order Date]],2)</f>
        <v>9</v>
      </c>
      <c r="O1564" t="str" cm="1">
        <f t="array" ref="O15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65" spans="1:15" x14ac:dyDescent="0.3">
      <c r="A1565" t="s">
        <v>1661</v>
      </c>
      <c r="B1565" t="s">
        <v>51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24</v>
      </c>
      <c r="I1565" t="s">
        <v>15</v>
      </c>
      <c r="J1565">
        <v>4</v>
      </c>
      <c r="K1565" t="s">
        <v>16</v>
      </c>
      <c r="L1565" t="s">
        <v>331</v>
      </c>
      <c r="M1565">
        <f>orders[[#This Row],[Ship Date]]-orders[[#This Row],[Order Date]]</f>
        <v>0</v>
      </c>
      <c r="N1565">
        <f>WEEKNUM(orders[[#This Row],[Order Date]],2)</f>
        <v>9</v>
      </c>
      <c r="O1565" t="str" cm="1">
        <f t="array" ref="O15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66" spans="1:15" x14ac:dyDescent="0.3">
      <c r="A1566" t="s">
        <v>1662</v>
      </c>
      <c r="B1566" t="s">
        <v>36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20</v>
      </c>
      <c r="I1566" t="s">
        <v>15</v>
      </c>
      <c r="J1566">
        <v>5</v>
      </c>
      <c r="K1566" t="s">
        <v>16</v>
      </c>
      <c r="L1566" t="s">
        <v>30</v>
      </c>
      <c r="M1566">
        <f>orders[[#This Row],[Ship Date]]-orders[[#This Row],[Order Date]]</f>
        <v>3</v>
      </c>
      <c r="N1566">
        <f>WEEKNUM(orders[[#This Row],[Order Date]],2)</f>
        <v>9</v>
      </c>
      <c r="O1566" t="str" cm="1">
        <f t="array" ref="O15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67" spans="1:15" x14ac:dyDescent="0.3">
      <c r="A1567" t="s">
        <v>1663</v>
      </c>
      <c r="B1567" t="s">
        <v>23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20</v>
      </c>
      <c r="I1567" t="s">
        <v>15</v>
      </c>
      <c r="J1567">
        <v>5</v>
      </c>
      <c r="K1567" t="s">
        <v>16</v>
      </c>
      <c r="L1567" t="s">
        <v>30</v>
      </c>
      <c r="M1567">
        <f>orders[[#This Row],[Ship Date]]-orders[[#This Row],[Order Date]]</f>
        <v>1</v>
      </c>
      <c r="N1567">
        <f>WEEKNUM(orders[[#This Row],[Order Date]],2)</f>
        <v>9</v>
      </c>
      <c r="O1567" t="str" cm="1">
        <f t="array" ref="O15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68" spans="1:15" x14ac:dyDescent="0.3">
      <c r="A1568" t="s">
        <v>1664</v>
      </c>
      <c r="B1568" t="s">
        <v>19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24</v>
      </c>
      <c r="I1568" t="s">
        <v>37</v>
      </c>
      <c r="J1568">
        <v>3</v>
      </c>
      <c r="K1568" t="s">
        <v>16</v>
      </c>
      <c r="L1568" t="s">
        <v>30</v>
      </c>
      <c r="M1568">
        <f>orders[[#This Row],[Ship Date]]-orders[[#This Row],[Order Date]]</f>
        <v>1</v>
      </c>
      <c r="N1568">
        <f>WEEKNUM(orders[[#This Row],[Order Date]],2)</f>
        <v>9</v>
      </c>
      <c r="O1568" t="str" cm="1">
        <f t="array" ref="O15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69" spans="1:15" x14ac:dyDescent="0.3">
      <c r="A1569" t="s">
        <v>1665</v>
      </c>
      <c r="B1569" t="s">
        <v>39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20</v>
      </c>
      <c r="I1569" t="s">
        <v>37</v>
      </c>
      <c r="J1569">
        <v>5</v>
      </c>
      <c r="K1569" t="s">
        <v>16</v>
      </c>
      <c r="L1569" t="s">
        <v>30</v>
      </c>
      <c r="M1569">
        <f>orders[[#This Row],[Ship Date]]-orders[[#This Row],[Order Date]]</f>
        <v>2</v>
      </c>
      <c r="N1569">
        <f>WEEKNUM(orders[[#This Row],[Order Date]],2)</f>
        <v>9</v>
      </c>
      <c r="O1569" t="str" cm="1">
        <f t="array" ref="O156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70" spans="1:15" x14ac:dyDescent="0.3">
      <c r="A1570" t="s">
        <v>1666</v>
      </c>
      <c r="B1570" t="s">
        <v>41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24</v>
      </c>
      <c r="I1570" t="s">
        <v>48</v>
      </c>
      <c r="J1570">
        <v>5</v>
      </c>
      <c r="K1570" t="s">
        <v>16</v>
      </c>
      <c r="L1570" t="s">
        <v>30</v>
      </c>
      <c r="M1570">
        <f>orders[[#This Row],[Ship Date]]-orders[[#This Row],[Order Date]]</f>
        <v>1</v>
      </c>
      <c r="N1570">
        <f>WEEKNUM(orders[[#This Row],[Order Date]],2)</f>
        <v>9</v>
      </c>
      <c r="O1570" t="str" cm="1">
        <f t="array" ref="O15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71" spans="1:15" x14ac:dyDescent="0.3">
      <c r="A1571" t="s">
        <v>1667</v>
      </c>
      <c r="B1571" t="s">
        <v>43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20</v>
      </c>
      <c r="I1571" t="s">
        <v>37</v>
      </c>
      <c r="J1571">
        <v>5</v>
      </c>
      <c r="K1571" t="s">
        <v>16</v>
      </c>
      <c r="L1571" t="s">
        <v>30</v>
      </c>
      <c r="M1571">
        <f>orders[[#This Row],[Ship Date]]-orders[[#This Row],[Order Date]]</f>
        <v>4</v>
      </c>
      <c r="N1571">
        <f>WEEKNUM(orders[[#This Row],[Order Date]],2)</f>
        <v>9</v>
      </c>
      <c r="O1571" t="str" cm="1">
        <f t="array" ref="O15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72" spans="1:15" x14ac:dyDescent="0.3">
      <c r="A1572" t="s">
        <v>1668</v>
      </c>
      <c r="B1572" t="s">
        <v>34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20</v>
      </c>
      <c r="I1572" t="s">
        <v>15</v>
      </c>
      <c r="J1572">
        <v>4</v>
      </c>
      <c r="K1572" t="s">
        <v>16</v>
      </c>
      <c r="L1572" t="s">
        <v>361</v>
      </c>
      <c r="M1572">
        <f>orders[[#This Row],[Ship Date]]-orders[[#This Row],[Order Date]]</f>
        <v>2</v>
      </c>
      <c r="N1572">
        <f>WEEKNUM(orders[[#This Row],[Order Date]],2)</f>
        <v>9</v>
      </c>
      <c r="O1572" t="str" cm="1">
        <f t="array" ref="O15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73" spans="1:15" x14ac:dyDescent="0.3">
      <c r="A1573" t="s">
        <v>1669</v>
      </c>
      <c r="B1573" t="s">
        <v>36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20</v>
      </c>
      <c r="I1573" t="s">
        <v>15</v>
      </c>
      <c r="J1573">
        <v>5</v>
      </c>
      <c r="K1573" t="s">
        <v>16</v>
      </c>
      <c r="L1573" t="s">
        <v>185</v>
      </c>
      <c r="M1573">
        <f>orders[[#This Row],[Ship Date]]-orders[[#This Row],[Order Date]]</f>
        <v>1</v>
      </c>
      <c r="N1573">
        <f>WEEKNUM(orders[[#This Row],[Order Date]],2)</f>
        <v>9</v>
      </c>
      <c r="O1573" t="str" cm="1">
        <f t="array" ref="O15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74" spans="1:15" x14ac:dyDescent="0.3">
      <c r="A1574" t="s">
        <v>1670</v>
      </c>
      <c r="B1574" t="s">
        <v>36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24</v>
      </c>
      <c r="I1574" t="s">
        <v>15</v>
      </c>
      <c r="J1574">
        <v>3</v>
      </c>
      <c r="K1574" t="s">
        <v>16</v>
      </c>
      <c r="L1574" t="s">
        <v>155</v>
      </c>
      <c r="M1574">
        <f>orders[[#This Row],[Ship Date]]-orders[[#This Row],[Order Date]]</f>
        <v>3</v>
      </c>
      <c r="N1574">
        <f>WEEKNUM(orders[[#This Row],[Order Date]],2)</f>
        <v>9</v>
      </c>
      <c r="O1574" t="str" cm="1">
        <f t="array" ref="O15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75" spans="1:15" x14ac:dyDescent="0.3">
      <c r="A1575" t="s">
        <v>1671</v>
      </c>
      <c r="B1575" t="s">
        <v>51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24</v>
      </c>
      <c r="I1575" t="s">
        <v>15</v>
      </c>
      <c r="J1575">
        <v>4</v>
      </c>
      <c r="K1575" t="s">
        <v>16</v>
      </c>
      <c r="L1575" t="s">
        <v>52</v>
      </c>
      <c r="M1575">
        <f>orders[[#This Row],[Ship Date]]-orders[[#This Row],[Order Date]]</f>
        <v>1</v>
      </c>
      <c r="N1575">
        <f>WEEKNUM(orders[[#This Row],[Order Date]],2)</f>
        <v>9</v>
      </c>
      <c r="O1575" t="str" cm="1">
        <f t="array" ref="O15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76" spans="1:15" x14ac:dyDescent="0.3">
      <c r="A1576" t="s">
        <v>1672</v>
      </c>
      <c r="B1576" t="s">
        <v>19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24</v>
      </c>
      <c r="I1576" t="s">
        <v>37</v>
      </c>
      <c r="J1576">
        <v>4</v>
      </c>
      <c r="K1576" t="s">
        <v>16</v>
      </c>
      <c r="L1576" t="s">
        <v>59</v>
      </c>
      <c r="M1576">
        <f>orders[[#This Row],[Ship Date]]-orders[[#This Row],[Order Date]]</f>
        <v>2</v>
      </c>
      <c r="N1576">
        <f>WEEKNUM(orders[[#This Row],[Order Date]],2)</f>
        <v>9</v>
      </c>
      <c r="O1576" t="str" cm="1">
        <f t="array" ref="O15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77" spans="1:15" x14ac:dyDescent="0.3">
      <c r="A1577" t="s">
        <v>1673</v>
      </c>
      <c r="B1577" t="s">
        <v>41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24</v>
      </c>
      <c r="I1577" t="s">
        <v>48</v>
      </c>
      <c r="J1577">
        <v>4</v>
      </c>
      <c r="K1577" t="s">
        <v>16</v>
      </c>
      <c r="L1577" t="s">
        <v>59</v>
      </c>
      <c r="M1577">
        <f>orders[[#This Row],[Ship Date]]-orders[[#This Row],[Order Date]]</f>
        <v>2</v>
      </c>
      <c r="N1577">
        <f>WEEKNUM(orders[[#This Row],[Order Date]],2)</f>
        <v>9</v>
      </c>
      <c r="O1577" t="str" cm="1">
        <f t="array" ref="O15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78" spans="1:15" x14ac:dyDescent="0.3">
      <c r="A1578" t="s">
        <v>1674</v>
      </c>
      <c r="B1578" t="s">
        <v>51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24</v>
      </c>
      <c r="I1578" t="s">
        <v>15</v>
      </c>
      <c r="J1578">
        <v>4</v>
      </c>
      <c r="K1578" t="s">
        <v>16</v>
      </c>
      <c r="L1578" t="s">
        <v>59</v>
      </c>
      <c r="M1578">
        <f>orders[[#This Row],[Ship Date]]-orders[[#This Row],[Order Date]]</f>
        <v>6</v>
      </c>
      <c r="N1578">
        <f>WEEKNUM(orders[[#This Row],[Order Date]],2)</f>
        <v>9</v>
      </c>
      <c r="O1578" t="str" cm="1">
        <f t="array" ref="O15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79" spans="1:15" x14ac:dyDescent="0.3">
      <c r="A1579" t="s">
        <v>1675</v>
      </c>
      <c r="B1579" t="s">
        <v>43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24</v>
      </c>
      <c r="I1579" t="s">
        <v>32</v>
      </c>
      <c r="J1579">
        <v>5</v>
      </c>
      <c r="K1579" t="s">
        <v>16</v>
      </c>
      <c r="L1579" t="s">
        <v>69</v>
      </c>
      <c r="M1579">
        <f>orders[[#This Row],[Ship Date]]-orders[[#This Row],[Order Date]]</f>
        <v>2</v>
      </c>
      <c r="N1579">
        <f>WEEKNUM(orders[[#This Row],[Order Date]],2)</f>
        <v>9</v>
      </c>
      <c r="O1579" t="str" cm="1">
        <f t="array" ref="O15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80" spans="1:15" x14ac:dyDescent="0.3">
      <c r="A1580" t="s">
        <v>1676</v>
      </c>
      <c r="B1580" t="s">
        <v>41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24</v>
      </c>
      <c r="I1580" t="s">
        <v>15</v>
      </c>
      <c r="J1580">
        <v>4</v>
      </c>
      <c r="K1580" t="s">
        <v>16</v>
      </c>
      <c r="L1580" t="s">
        <v>69</v>
      </c>
      <c r="M1580">
        <f>orders[[#This Row],[Ship Date]]-orders[[#This Row],[Order Date]]</f>
        <v>0</v>
      </c>
      <c r="N1580">
        <f>WEEKNUM(orders[[#This Row],[Order Date]],2)</f>
        <v>9</v>
      </c>
      <c r="O1580" t="str" cm="1">
        <f t="array" ref="O15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81" spans="1:15" x14ac:dyDescent="0.3">
      <c r="A1581" t="s">
        <v>1677</v>
      </c>
      <c r="B1581" t="s">
        <v>19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24</v>
      </c>
      <c r="I1581" t="s">
        <v>15</v>
      </c>
      <c r="J1581">
        <v>5</v>
      </c>
      <c r="K1581" t="s">
        <v>16</v>
      </c>
      <c r="L1581" t="s">
        <v>69</v>
      </c>
      <c r="M1581">
        <f>orders[[#This Row],[Ship Date]]-orders[[#This Row],[Order Date]]</f>
        <v>2</v>
      </c>
      <c r="N1581">
        <f>WEEKNUM(orders[[#This Row],[Order Date]],2)</f>
        <v>9</v>
      </c>
      <c r="O1581" t="str" cm="1">
        <f t="array" ref="O15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82" spans="1:15" x14ac:dyDescent="0.3">
      <c r="A1582" t="s">
        <v>1678</v>
      </c>
      <c r="B1582" t="s">
        <v>41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20</v>
      </c>
      <c r="I1582" t="s">
        <v>67</v>
      </c>
      <c r="J1582">
        <v>5</v>
      </c>
      <c r="K1582" t="s">
        <v>16</v>
      </c>
      <c r="L1582" t="s">
        <v>71</v>
      </c>
      <c r="M1582">
        <f>orders[[#This Row],[Ship Date]]-orders[[#This Row],[Order Date]]</f>
        <v>0</v>
      </c>
      <c r="N1582">
        <f>WEEKNUM(orders[[#This Row],[Order Date]],2)</f>
        <v>9</v>
      </c>
      <c r="O1582" t="str" cm="1">
        <f t="array" ref="O15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83" spans="1:15" x14ac:dyDescent="0.3">
      <c r="A1583" t="s">
        <v>1679</v>
      </c>
      <c r="B1583" t="s">
        <v>43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24</v>
      </c>
      <c r="I1583" t="s">
        <v>15</v>
      </c>
      <c r="J1583">
        <v>4</v>
      </c>
      <c r="K1583" t="s">
        <v>16</v>
      </c>
      <c r="L1583" t="s">
        <v>74</v>
      </c>
      <c r="M1583">
        <f>orders[[#This Row],[Ship Date]]-orders[[#This Row],[Order Date]]</f>
        <v>5</v>
      </c>
      <c r="N1583">
        <f>WEEKNUM(orders[[#This Row],[Order Date]],2)</f>
        <v>9</v>
      </c>
      <c r="O1583" t="str" cm="1">
        <f t="array" ref="O15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84" spans="1:15" x14ac:dyDescent="0.3">
      <c r="A1584" t="s">
        <v>1680</v>
      </c>
      <c r="B1584" t="s">
        <v>29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20</v>
      </c>
      <c r="I1584" t="s">
        <v>15</v>
      </c>
      <c r="J1584">
        <v>1</v>
      </c>
      <c r="K1584" t="s">
        <v>16</v>
      </c>
      <c r="L1584" t="s">
        <v>105</v>
      </c>
      <c r="M1584">
        <f>orders[[#This Row],[Ship Date]]-orders[[#This Row],[Order Date]]</f>
        <v>2</v>
      </c>
      <c r="N1584">
        <f>WEEKNUM(orders[[#This Row],[Order Date]],2)</f>
        <v>9</v>
      </c>
      <c r="O1584" t="str" cm="1">
        <f t="array" ref="O15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85" spans="1:15" x14ac:dyDescent="0.3">
      <c r="A1585" t="s">
        <v>1681</v>
      </c>
      <c r="B1585" t="s">
        <v>39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24</v>
      </c>
      <c r="I1585" t="s">
        <v>48</v>
      </c>
      <c r="J1585">
        <v>4</v>
      </c>
      <c r="K1585" t="s">
        <v>16</v>
      </c>
      <c r="L1585" t="s">
        <v>21</v>
      </c>
      <c r="M1585">
        <f>orders[[#This Row],[Ship Date]]-orders[[#This Row],[Order Date]]</f>
        <v>1</v>
      </c>
      <c r="N1585">
        <f>WEEKNUM(orders[[#This Row],[Order Date]],2)</f>
        <v>9</v>
      </c>
      <c r="O1585" t="str" cm="1">
        <f t="array" ref="O15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86" spans="1:15" x14ac:dyDescent="0.3">
      <c r="A1586" t="s">
        <v>1682</v>
      </c>
      <c r="B1586" t="s">
        <v>36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14</v>
      </c>
      <c r="I1586" t="s">
        <v>67</v>
      </c>
      <c r="J1586">
        <v>2</v>
      </c>
      <c r="K1586" t="s">
        <v>16</v>
      </c>
      <c r="L1586" t="s">
        <v>21</v>
      </c>
      <c r="M1586">
        <f>orders[[#This Row],[Ship Date]]-orders[[#This Row],[Order Date]]</f>
        <v>3</v>
      </c>
      <c r="N1586">
        <f>WEEKNUM(orders[[#This Row],[Order Date]],2)</f>
        <v>9</v>
      </c>
      <c r="O1586" t="str" cm="1">
        <f t="array" ref="O158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87" spans="1:15" x14ac:dyDescent="0.3">
      <c r="A1587" t="s">
        <v>1683</v>
      </c>
      <c r="B1587" t="s">
        <v>64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20</v>
      </c>
      <c r="I1587" t="s">
        <v>32</v>
      </c>
      <c r="J1587">
        <v>5</v>
      </c>
      <c r="K1587" t="s">
        <v>16</v>
      </c>
      <c r="L1587" t="s">
        <v>328</v>
      </c>
      <c r="M1587">
        <f>orders[[#This Row],[Ship Date]]-orders[[#This Row],[Order Date]]</f>
        <v>1</v>
      </c>
      <c r="N1587">
        <f>WEEKNUM(orders[[#This Row],[Order Date]],2)</f>
        <v>9</v>
      </c>
      <c r="O1587" t="str" cm="1">
        <f t="array" ref="O15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88" spans="1:15" x14ac:dyDescent="0.3">
      <c r="A1588" t="s">
        <v>1684</v>
      </c>
      <c r="B1588" t="s">
        <v>13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24</v>
      </c>
      <c r="I1588" t="s">
        <v>67</v>
      </c>
      <c r="J1588">
        <v>4</v>
      </c>
      <c r="K1588" t="s">
        <v>16</v>
      </c>
      <c r="L1588" t="s">
        <v>30</v>
      </c>
      <c r="M1588">
        <f>orders[[#This Row],[Ship Date]]-orders[[#This Row],[Order Date]]</f>
        <v>1</v>
      </c>
      <c r="N1588">
        <f>WEEKNUM(orders[[#This Row],[Order Date]],2)</f>
        <v>9</v>
      </c>
      <c r="O1588" t="str" cm="1">
        <f t="array" ref="O15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89" spans="1:15" x14ac:dyDescent="0.3">
      <c r="A1589" t="s">
        <v>1685</v>
      </c>
      <c r="B1589" t="s">
        <v>41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20</v>
      </c>
      <c r="I1589" t="s">
        <v>15</v>
      </c>
      <c r="J1589">
        <v>5</v>
      </c>
      <c r="K1589" t="s">
        <v>16</v>
      </c>
      <c r="L1589" t="s">
        <v>30</v>
      </c>
      <c r="M1589">
        <f>orders[[#This Row],[Ship Date]]-orders[[#This Row],[Order Date]]</f>
        <v>1</v>
      </c>
      <c r="N1589">
        <f>WEEKNUM(orders[[#This Row],[Order Date]],2)</f>
        <v>9</v>
      </c>
      <c r="O1589" t="str" cm="1">
        <f t="array" ref="O15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90" spans="1:15" x14ac:dyDescent="0.3">
      <c r="A1590" t="s">
        <v>1686</v>
      </c>
      <c r="B1590" t="s">
        <v>41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86</v>
      </c>
      <c r="I1590" t="s">
        <v>67</v>
      </c>
      <c r="J1590">
        <v>4</v>
      </c>
      <c r="K1590" t="s">
        <v>16</v>
      </c>
      <c r="L1590" t="s">
        <v>30</v>
      </c>
      <c r="M1590">
        <f>orders[[#This Row],[Ship Date]]-orders[[#This Row],[Order Date]]</f>
        <v>2</v>
      </c>
      <c r="N1590">
        <f>WEEKNUM(orders[[#This Row],[Order Date]],2)</f>
        <v>9</v>
      </c>
      <c r="O1590" t="str" cm="1">
        <f t="array" ref="O159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591" spans="1:15" x14ac:dyDescent="0.3">
      <c r="A1591" t="s">
        <v>1687</v>
      </c>
      <c r="B1591" t="s">
        <v>36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24</v>
      </c>
      <c r="I1591" t="s">
        <v>15</v>
      </c>
      <c r="J1591">
        <v>1</v>
      </c>
      <c r="K1591" t="s">
        <v>16</v>
      </c>
      <c r="L1591" t="s">
        <v>30</v>
      </c>
      <c r="M1591">
        <f>orders[[#This Row],[Ship Date]]-orders[[#This Row],[Order Date]]</f>
        <v>1</v>
      </c>
      <c r="N1591">
        <f>WEEKNUM(orders[[#This Row],[Order Date]],2)</f>
        <v>9</v>
      </c>
      <c r="O1591" t="str" cm="1">
        <f t="array" ref="O15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92" spans="1:15" x14ac:dyDescent="0.3">
      <c r="A1592" t="s">
        <v>1688</v>
      </c>
      <c r="B1592" t="s">
        <v>51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24</v>
      </c>
      <c r="I1592" t="s">
        <v>15</v>
      </c>
      <c r="J1592">
        <v>3</v>
      </c>
      <c r="K1592" t="s">
        <v>16</v>
      </c>
      <c r="L1592" t="s">
        <v>30</v>
      </c>
      <c r="M1592">
        <f>orders[[#This Row],[Ship Date]]-orders[[#This Row],[Order Date]]</f>
        <v>2</v>
      </c>
      <c r="N1592">
        <f>WEEKNUM(orders[[#This Row],[Order Date]],2)</f>
        <v>9</v>
      </c>
      <c r="O1592" t="str" cm="1">
        <f t="array" ref="O15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93" spans="1:15" x14ac:dyDescent="0.3">
      <c r="A1593" t="s">
        <v>1689</v>
      </c>
      <c r="B1593" t="s">
        <v>34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24</v>
      </c>
      <c r="I1593" t="s">
        <v>15</v>
      </c>
      <c r="J1593">
        <v>4</v>
      </c>
      <c r="K1593" t="s">
        <v>16</v>
      </c>
      <c r="L1593" t="s">
        <v>30</v>
      </c>
      <c r="M1593">
        <f>orders[[#This Row],[Ship Date]]-orders[[#This Row],[Order Date]]</f>
        <v>13</v>
      </c>
      <c r="N1593">
        <f>WEEKNUM(orders[[#This Row],[Order Date]],2)</f>
        <v>9</v>
      </c>
      <c r="O1593" t="str" cm="1">
        <f t="array" ref="O15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94" spans="1:15" x14ac:dyDescent="0.3">
      <c r="A1594" t="s">
        <v>1690</v>
      </c>
      <c r="B1594" t="s">
        <v>19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24</v>
      </c>
      <c r="I1594" t="s">
        <v>48</v>
      </c>
      <c r="J1594">
        <v>5</v>
      </c>
      <c r="K1594" t="s">
        <v>16</v>
      </c>
      <c r="L1594" t="s">
        <v>49</v>
      </c>
      <c r="M1594">
        <f>orders[[#This Row],[Ship Date]]-orders[[#This Row],[Order Date]]</f>
        <v>1</v>
      </c>
      <c r="N1594">
        <f>WEEKNUM(orders[[#This Row],[Order Date]],2)</f>
        <v>9</v>
      </c>
      <c r="O1594" t="str" cm="1">
        <f t="array" ref="O15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95" spans="1:15" x14ac:dyDescent="0.3">
      <c r="A1595" t="s">
        <v>1691</v>
      </c>
      <c r="B1595" t="s">
        <v>51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20</v>
      </c>
      <c r="I1595" t="s">
        <v>32</v>
      </c>
      <c r="J1595">
        <v>2</v>
      </c>
      <c r="K1595" t="s">
        <v>16</v>
      </c>
      <c r="L1595" t="s">
        <v>52</v>
      </c>
      <c r="M1595">
        <f>orders[[#This Row],[Ship Date]]-orders[[#This Row],[Order Date]]</f>
        <v>6</v>
      </c>
      <c r="N1595">
        <f>WEEKNUM(orders[[#This Row],[Order Date]],2)</f>
        <v>9</v>
      </c>
      <c r="O1595" t="str" cm="1">
        <f t="array" ref="O15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96" spans="1:15" x14ac:dyDescent="0.3">
      <c r="A1596" t="s">
        <v>1692</v>
      </c>
      <c r="B1596" t="s">
        <v>64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24</v>
      </c>
      <c r="I1596" t="s">
        <v>15</v>
      </c>
      <c r="J1596">
        <v>4</v>
      </c>
      <c r="K1596" t="s">
        <v>16</v>
      </c>
      <c r="L1596" t="s">
        <v>52</v>
      </c>
      <c r="M1596">
        <f>orders[[#This Row],[Ship Date]]-orders[[#This Row],[Order Date]]</f>
        <v>5</v>
      </c>
      <c r="N1596">
        <f>WEEKNUM(orders[[#This Row],[Order Date]],2)</f>
        <v>9</v>
      </c>
      <c r="O1596" t="str" cm="1">
        <f t="array" ref="O15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597" spans="1:15" x14ac:dyDescent="0.3">
      <c r="A1597" t="s">
        <v>1693</v>
      </c>
      <c r="B1597" t="s">
        <v>36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20</v>
      </c>
      <c r="I1597" t="s">
        <v>15</v>
      </c>
      <c r="J1597">
        <v>3</v>
      </c>
      <c r="K1597" t="s">
        <v>16</v>
      </c>
      <c r="L1597" t="s">
        <v>52</v>
      </c>
      <c r="M1597">
        <f>orders[[#This Row],[Ship Date]]-orders[[#This Row],[Order Date]]</f>
        <v>0</v>
      </c>
      <c r="N1597">
        <f>WEEKNUM(orders[[#This Row],[Order Date]],2)</f>
        <v>9</v>
      </c>
      <c r="O1597" t="str" cm="1">
        <f t="array" ref="O15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598" spans="1:15" x14ac:dyDescent="0.3">
      <c r="A1598" t="s">
        <v>1694</v>
      </c>
      <c r="B1598" t="s">
        <v>19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14</v>
      </c>
      <c r="I1598" t="s">
        <v>37</v>
      </c>
      <c r="J1598">
        <v>4</v>
      </c>
      <c r="K1598" t="s">
        <v>16</v>
      </c>
      <c r="L1598" t="s">
        <v>56</v>
      </c>
      <c r="M1598">
        <f>orders[[#This Row],[Ship Date]]-orders[[#This Row],[Order Date]]</f>
        <v>1</v>
      </c>
      <c r="N1598">
        <f>WEEKNUM(orders[[#This Row],[Order Date]],2)</f>
        <v>9</v>
      </c>
      <c r="O1598" t="str" cm="1">
        <f t="array" ref="O159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599" spans="1:15" x14ac:dyDescent="0.3">
      <c r="A1599" t="s">
        <v>1695</v>
      </c>
      <c r="B1599" t="s">
        <v>13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24</v>
      </c>
      <c r="I1599" t="s">
        <v>15</v>
      </c>
      <c r="J1599">
        <v>4</v>
      </c>
      <c r="K1599" t="s">
        <v>16</v>
      </c>
      <c r="L1599" t="s">
        <v>59</v>
      </c>
      <c r="M1599">
        <f>orders[[#This Row],[Ship Date]]-orders[[#This Row],[Order Date]]</f>
        <v>4</v>
      </c>
      <c r="N1599">
        <f>WEEKNUM(orders[[#This Row],[Order Date]],2)</f>
        <v>9</v>
      </c>
      <c r="O1599" t="str" cm="1">
        <f t="array" ref="O15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00" spans="1:15" x14ac:dyDescent="0.3">
      <c r="A1600" t="s">
        <v>1696</v>
      </c>
      <c r="B1600" t="s">
        <v>41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24</v>
      </c>
      <c r="I1600" t="s">
        <v>67</v>
      </c>
      <c r="J1600">
        <v>4</v>
      </c>
      <c r="K1600" t="s">
        <v>16</v>
      </c>
      <c r="L1600" t="s">
        <v>59</v>
      </c>
      <c r="M1600">
        <f>orders[[#This Row],[Ship Date]]-orders[[#This Row],[Order Date]]</f>
        <v>1</v>
      </c>
      <c r="N1600">
        <f>WEEKNUM(orders[[#This Row],[Order Date]],2)</f>
        <v>9</v>
      </c>
      <c r="O1600" t="str" cm="1">
        <f t="array" ref="O16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01" spans="1:15" x14ac:dyDescent="0.3">
      <c r="A1601" t="s">
        <v>1697</v>
      </c>
      <c r="B1601" t="s">
        <v>34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24</v>
      </c>
      <c r="I1601" t="s">
        <v>67</v>
      </c>
      <c r="J1601">
        <v>4</v>
      </c>
      <c r="K1601" t="s">
        <v>16</v>
      </c>
      <c r="L1601" t="s">
        <v>59</v>
      </c>
      <c r="M1601">
        <f>orders[[#This Row],[Ship Date]]-orders[[#This Row],[Order Date]]</f>
        <v>8</v>
      </c>
      <c r="N1601">
        <f>WEEKNUM(orders[[#This Row],[Order Date]],2)</f>
        <v>9</v>
      </c>
      <c r="O1601" t="str" cm="1">
        <f t="array" ref="O16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02" spans="1:15" x14ac:dyDescent="0.3">
      <c r="A1602" t="s">
        <v>1698</v>
      </c>
      <c r="B1602" t="s">
        <v>66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20</v>
      </c>
      <c r="I1602" t="s">
        <v>15</v>
      </c>
      <c r="J1602">
        <v>5</v>
      </c>
      <c r="K1602" t="s">
        <v>16</v>
      </c>
      <c r="L1602" t="s">
        <v>59</v>
      </c>
      <c r="M1602">
        <f>orders[[#This Row],[Ship Date]]-orders[[#This Row],[Order Date]]</f>
        <v>2</v>
      </c>
      <c r="N1602">
        <f>WEEKNUM(orders[[#This Row],[Order Date]],2)</f>
        <v>9</v>
      </c>
      <c r="O1602" t="str" cm="1">
        <f t="array" ref="O16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03" spans="1:15" x14ac:dyDescent="0.3">
      <c r="A1603" t="s">
        <v>1699</v>
      </c>
      <c r="B1603" t="s">
        <v>143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20</v>
      </c>
      <c r="I1603" t="s">
        <v>15</v>
      </c>
      <c r="J1603">
        <v>5</v>
      </c>
      <c r="K1603" t="s">
        <v>16</v>
      </c>
      <c r="L1603" t="s">
        <v>59</v>
      </c>
      <c r="M1603">
        <f>orders[[#This Row],[Ship Date]]-orders[[#This Row],[Order Date]]</f>
        <v>2</v>
      </c>
      <c r="N1603">
        <f>WEEKNUM(orders[[#This Row],[Order Date]],2)</f>
        <v>9</v>
      </c>
      <c r="O1603" t="str" cm="1">
        <f t="array" ref="O16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04" spans="1:15" x14ac:dyDescent="0.3">
      <c r="A1604" t="s">
        <v>1700</v>
      </c>
      <c r="B1604" t="s">
        <v>51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24</v>
      </c>
      <c r="I1604" t="s">
        <v>32</v>
      </c>
      <c r="J1604">
        <v>4</v>
      </c>
      <c r="K1604" t="s">
        <v>16</v>
      </c>
      <c r="L1604" t="s">
        <v>74</v>
      </c>
      <c r="M1604">
        <f>orders[[#This Row],[Ship Date]]-orders[[#This Row],[Order Date]]</f>
        <v>0</v>
      </c>
      <c r="N1604">
        <f>WEEKNUM(orders[[#This Row],[Order Date]],2)</f>
        <v>9</v>
      </c>
      <c r="O1604" t="str" cm="1">
        <f t="array" ref="O16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05" spans="1:15" x14ac:dyDescent="0.3">
      <c r="A1605" t="s">
        <v>1701</v>
      </c>
      <c r="B1605" t="s">
        <v>13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20</v>
      </c>
      <c r="I1605" t="s">
        <v>48</v>
      </c>
      <c r="J1605">
        <v>3</v>
      </c>
      <c r="K1605" t="s">
        <v>16</v>
      </c>
      <c r="L1605" t="s">
        <v>105</v>
      </c>
      <c r="M1605">
        <f>orders[[#This Row],[Ship Date]]-orders[[#This Row],[Order Date]]</f>
        <v>2</v>
      </c>
      <c r="N1605">
        <f>WEEKNUM(orders[[#This Row],[Order Date]],2)</f>
        <v>9</v>
      </c>
      <c r="O1605" t="str" cm="1">
        <f t="array" ref="O16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06" spans="1:15" x14ac:dyDescent="0.3">
      <c r="A1606" t="s">
        <v>1702</v>
      </c>
      <c r="B1606" t="s">
        <v>43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20</v>
      </c>
      <c r="I1606" t="s">
        <v>32</v>
      </c>
      <c r="J1606">
        <v>4</v>
      </c>
      <c r="K1606" t="s">
        <v>16</v>
      </c>
      <c r="L1606" t="s">
        <v>107</v>
      </c>
      <c r="M1606">
        <f>orders[[#This Row],[Ship Date]]-orders[[#This Row],[Order Date]]</f>
        <v>1</v>
      </c>
      <c r="N1606">
        <f>WEEKNUM(orders[[#This Row],[Order Date]],2)</f>
        <v>9</v>
      </c>
      <c r="O1606" t="str" cm="1">
        <f t="array" ref="O16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07" spans="1:15" x14ac:dyDescent="0.3">
      <c r="A1607" t="s">
        <v>1703</v>
      </c>
      <c r="B1607" t="s">
        <v>41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20</v>
      </c>
      <c r="I1607" t="s">
        <v>32</v>
      </c>
      <c r="J1607">
        <v>3</v>
      </c>
      <c r="K1607" t="s">
        <v>16</v>
      </c>
      <c r="L1607" t="s">
        <v>79</v>
      </c>
      <c r="M1607">
        <f>orders[[#This Row],[Ship Date]]-orders[[#This Row],[Order Date]]</f>
        <v>4</v>
      </c>
      <c r="N1607">
        <f>WEEKNUM(orders[[#This Row],[Order Date]],2)</f>
        <v>9</v>
      </c>
      <c r="O1607" t="str" cm="1">
        <f t="array" ref="O160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08" spans="1:15" x14ac:dyDescent="0.3">
      <c r="A1608" t="s">
        <v>1704</v>
      </c>
      <c r="B1608" t="s">
        <v>43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24</v>
      </c>
      <c r="I1608" t="s">
        <v>48</v>
      </c>
      <c r="J1608">
        <v>2</v>
      </c>
      <c r="K1608" t="s">
        <v>16</v>
      </c>
      <c r="L1608" t="s">
        <v>112</v>
      </c>
      <c r="M1608">
        <f>orders[[#This Row],[Ship Date]]-orders[[#This Row],[Order Date]]</f>
        <v>1</v>
      </c>
      <c r="N1608">
        <f>WEEKNUM(orders[[#This Row],[Order Date]],2)</f>
        <v>9</v>
      </c>
      <c r="O1608" t="str" cm="1">
        <f t="array" ref="O16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09" spans="1:15" x14ac:dyDescent="0.3">
      <c r="A1609" t="s">
        <v>1705</v>
      </c>
      <c r="B1609" t="s">
        <v>125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24</v>
      </c>
      <c r="I1609" t="s">
        <v>67</v>
      </c>
      <c r="J1609">
        <v>4</v>
      </c>
      <c r="K1609" t="s">
        <v>16</v>
      </c>
      <c r="L1609" t="s">
        <v>112</v>
      </c>
      <c r="M1609">
        <f>orders[[#This Row],[Ship Date]]-orders[[#This Row],[Order Date]]</f>
        <v>2</v>
      </c>
      <c r="N1609">
        <f>WEEKNUM(orders[[#This Row],[Order Date]],2)</f>
        <v>9</v>
      </c>
      <c r="O1609" t="str" cm="1">
        <f t="array" ref="O16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10" spans="1:15" x14ac:dyDescent="0.3">
      <c r="A1610" t="s">
        <v>1706</v>
      </c>
      <c r="B1610" t="s">
        <v>64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20</v>
      </c>
      <c r="I1610" t="s">
        <v>32</v>
      </c>
      <c r="J1610">
        <v>5</v>
      </c>
      <c r="K1610" t="s">
        <v>16</v>
      </c>
      <c r="L1610" t="s">
        <v>21</v>
      </c>
      <c r="M1610">
        <f>orders[[#This Row],[Ship Date]]-orders[[#This Row],[Order Date]]</f>
        <v>1</v>
      </c>
      <c r="N1610">
        <f>WEEKNUM(orders[[#This Row],[Order Date]],2)</f>
        <v>9</v>
      </c>
      <c r="O1610" t="str" cm="1">
        <f t="array" ref="O16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11" spans="1:15" x14ac:dyDescent="0.3">
      <c r="A1611" t="s">
        <v>1707</v>
      </c>
      <c r="B1611" t="s">
        <v>41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20</v>
      </c>
      <c r="I1611" t="s">
        <v>48</v>
      </c>
      <c r="J1611">
        <v>4</v>
      </c>
      <c r="K1611" t="s">
        <v>16</v>
      </c>
      <c r="L1611" t="s">
        <v>205</v>
      </c>
      <c r="M1611">
        <f>orders[[#This Row],[Ship Date]]-orders[[#This Row],[Order Date]]</f>
        <v>2</v>
      </c>
      <c r="N1611">
        <f>WEEKNUM(orders[[#This Row],[Order Date]],2)</f>
        <v>9</v>
      </c>
      <c r="O1611" t="str" cm="1">
        <f t="array" ref="O16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12" spans="1:15" x14ac:dyDescent="0.3">
      <c r="A1612" t="s">
        <v>1708</v>
      </c>
      <c r="B1612" t="s">
        <v>41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20</v>
      </c>
      <c r="I1612" t="s">
        <v>15</v>
      </c>
      <c r="J1612">
        <v>5</v>
      </c>
      <c r="K1612" t="s">
        <v>16</v>
      </c>
      <c r="L1612" t="s">
        <v>331</v>
      </c>
      <c r="M1612">
        <f>orders[[#This Row],[Ship Date]]-orders[[#This Row],[Order Date]]</f>
        <v>1</v>
      </c>
      <c r="N1612">
        <f>WEEKNUM(orders[[#This Row],[Order Date]],2)</f>
        <v>9</v>
      </c>
      <c r="O1612" t="str" cm="1">
        <f t="array" ref="O16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13" spans="1:15" x14ac:dyDescent="0.3">
      <c r="A1613" t="s">
        <v>1709</v>
      </c>
      <c r="B1613" t="s">
        <v>36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20</v>
      </c>
      <c r="I1613" t="s">
        <v>37</v>
      </c>
      <c r="J1613">
        <v>4</v>
      </c>
      <c r="K1613" t="s">
        <v>16</v>
      </c>
      <c r="L1613" t="s">
        <v>30</v>
      </c>
      <c r="M1613">
        <f>orders[[#This Row],[Ship Date]]-orders[[#This Row],[Order Date]]</f>
        <v>1</v>
      </c>
      <c r="N1613">
        <f>WEEKNUM(orders[[#This Row],[Order Date]],2)</f>
        <v>9</v>
      </c>
      <c r="O1613" t="str" cm="1">
        <f t="array" ref="O161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14" spans="1:15" x14ac:dyDescent="0.3">
      <c r="A1614" t="s">
        <v>1710</v>
      </c>
      <c r="B1614" t="s">
        <v>66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24</v>
      </c>
      <c r="I1614" t="s">
        <v>67</v>
      </c>
      <c r="J1614">
        <v>5</v>
      </c>
      <c r="K1614" t="s">
        <v>16</v>
      </c>
      <c r="L1614" t="s">
        <v>30</v>
      </c>
      <c r="M1614">
        <f>orders[[#This Row],[Ship Date]]-orders[[#This Row],[Order Date]]</f>
        <v>4</v>
      </c>
      <c r="N1614">
        <f>WEEKNUM(orders[[#This Row],[Order Date]],2)</f>
        <v>9</v>
      </c>
      <c r="O1614" t="str" cm="1">
        <f t="array" ref="O16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15" spans="1:15" x14ac:dyDescent="0.3">
      <c r="A1615" t="s">
        <v>1711</v>
      </c>
      <c r="B1615" t="s">
        <v>23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24</v>
      </c>
      <c r="I1615" t="s">
        <v>32</v>
      </c>
      <c r="J1615">
        <v>3</v>
      </c>
      <c r="K1615" t="s">
        <v>16</v>
      </c>
      <c r="L1615" t="s">
        <v>30</v>
      </c>
      <c r="M1615">
        <f>orders[[#This Row],[Ship Date]]-orders[[#This Row],[Order Date]]</f>
        <v>3</v>
      </c>
      <c r="N1615">
        <f>WEEKNUM(orders[[#This Row],[Order Date]],2)</f>
        <v>9</v>
      </c>
      <c r="O1615" t="str" cm="1">
        <f t="array" ref="O16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16" spans="1:15" x14ac:dyDescent="0.3">
      <c r="A1616" t="s">
        <v>1712</v>
      </c>
      <c r="B1616" t="s">
        <v>120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24</v>
      </c>
      <c r="I1616" t="s">
        <v>48</v>
      </c>
      <c r="J1616">
        <v>4</v>
      </c>
      <c r="K1616" t="s">
        <v>16</v>
      </c>
      <c r="L1616" t="s">
        <v>30</v>
      </c>
      <c r="M1616">
        <f>orders[[#This Row],[Ship Date]]-orders[[#This Row],[Order Date]]</f>
        <v>2</v>
      </c>
      <c r="N1616">
        <f>WEEKNUM(orders[[#This Row],[Order Date]],2)</f>
        <v>9</v>
      </c>
      <c r="O1616" t="str" cm="1">
        <f t="array" ref="O16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17" spans="1:15" x14ac:dyDescent="0.3">
      <c r="A1617" t="s">
        <v>1713</v>
      </c>
      <c r="B1617" t="s">
        <v>51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24</v>
      </c>
      <c r="I1617" t="s">
        <v>15</v>
      </c>
      <c r="J1617">
        <v>3</v>
      </c>
      <c r="K1617" t="s">
        <v>16</v>
      </c>
      <c r="L1617" t="s">
        <v>30</v>
      </c>
      <c r="M1617">
        <f>orders[[#This Row],[Ship Date]]-orders[[#This Row],[Order Date]]</f>
        <v>2</v>
      </c>
      <c r="N1617">
        <f>WEEKNUM(orders[[#This Row],[Order Date]],2)</f>
        <v>9</v>
      </c>
      <c r="O1617" t="str" cm="1">
        <f t="array" ref="O16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18" spans="1:15" x14ac:dyDescent="0.3">
      <c r="A1618" t="s">
        <v>1714</v>
      </c>
      <c r="B1618" t="s">
        <v>43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24</v>
      </c>
      <c r="I1618" t="s">
        <v>67</v>
      </c>
      <c r="J1618">
        <v>4</v>
      </c>
      <c r="K1618" t="s">
        <v>16</v>
      </c>
      <c r="L1618" t="s">
        <v>30</v>
      </c>
      <c r="M1618">
        <f>orders[[#This Row],[Ship Date]]-orders[[#This Row],[Order Date]]</f>
        <v>3</v>
      </c>
      <c r="N1618">
        <f>WEEKNUM(orders[[#This Row],[Order Date]],2)</f>
        <v>9</v>
      </c>
      <c r="O1618" t="str" cm="1">
        <f t="array" ref="O16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19" spans="1:15" x14ac:dyDescent="0.3">
      <c r="A1619" t="s">
        <v>1715</v>
      </c>
      <c r="B1619" t="s">
        <v>36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86</v>
      </c>
      <c r="I1619" t="s">
        <v>15</v>
      </c>
      <c r="J1619">
        <v>5</v>
      </c>
      <c r="K1619" t="s">
        <v>16</v>
      </c>
      <c r="L1619" t="s">
        <v>30</v>
      </c>
      <c r="M1619">
        <f>orders[[#This Row],[Ship Date]]-orders[[#This Row],[Order Date]]</f>
        <v>14</v>
      </c>
      <c r="N1619">
        <f>WEEKNUM(orders[[#This Row],[Order Date]],2)</f>
        <v>9</v>
      </c>
      <c r="O1619" t="str" cm="1">
        <f t="array" ref="O1619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620" spans="1:15" x14ac:dyDescent="0.3">
      <c r="A1620" t="s">
        <v>1716</v>
      </c>
      <c r="B1620" t="s">
        <v>41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20</v>
      </c>
      <c r="I1620" t="s">
        <v>37</v>
      </c>
      <c r="J1620">
        <v>3</v>
      </c>
      <c r="K1620" t="s">
        <v>16</v>
      </c>
      <c r="L1620" t="s">
        <v>30</v>
      </c>
      <c r="M1620">
        <f>orders[[#This Row],[Ship Date]]-orders[[#This Row],[Order Date]]</f>
        <v>2</v>
      </c>
      <c r="N1620">
        <f>WEEKNUM(orders[[#This Row],[Order Date]],2)</f>
        <v>9</v>
      </c>
      <c r="O1620" t="str" cm="1">
        <f t="array" ref="O16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21" spans="1:15" x14ac:dyDescent="0.3">
      <c r="A1621" t="s">
        <v>1717</v>
      </c>
      <c r="B1621" t="s">
        <v>43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24</v>
      </c>
      <c r="I1621" t="s">
        <v>37</v>
      </c>
      <c r="J1621">
        <v>4</v>
      </c>
      <c r="K1621" t="s">
        <v>16</v>
      </c>
      <c r="L1621" t="s">
        <v>30</v>
      </c>
      <c r="M1621">
        <f>orders[[#This Row],[Ship Date]]-orders[[#This Row],[Order Date]]</f>
        <v>0</v>
      </c>
      <c r="N1621">
        <f>WEEKNUM(orders[[#This Row],[Order Date]],2)</f>
        <v>9</v>
      </c>
      <c r="O1621" t="str" cm="1">
        <f t="array" ref="O16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22" spans="1:15" x14ac:dyDescent="0.3">
      <c r="A1622" t="s">
        <v>1718</v>
      </c>
      <c r="B1622" t="s">
        <v>29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20</v>
      </c>
      <c r="I1622" t="s">
        <v>37</v>
      </c>
      <c r="J1622">
        <v>4</v>
      </c>
      <c r="K1622" t="s">
        <v>16</v>
      </c>
      <c r="L1622" t="s">
        <v>30</v>
      </c>
      <c r="M1622">
        <f>orders[[#This Row],[Ship Date]]-orders[[#This Row],[Order Date]]</f>
        <v>1</v>
      </c>
      <c r="N1622">
        <f>WEEKNUM(orders[[#This Row],[Order Date]],2)</f>
        <v>9</v>
      </c>
      <c r="O1622" t="str" cm="1">
        <f t="array" ref="O16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23" spans="1:15" x14ac:dyDescent="0.3">
      <c r="A1623" t="s">
        <v>1719</v>
      </c>
      <c r="B1623" t="s">
        <v>51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20</v>
      </c>
      <c r="I1623" t="s">
        <v>37</v>
      </c>
      <c r="J1623">
        <v>4</v>
      </c>
      <c r="K1623" t="s">
        <v>16</v>
      </c>
      <c r="L1623" t="s">
        <v>30</v>
      </c>
      <c r="M1623">
        <f>orders[[#This Row],[Ship Date]]-orders[[#This Row],[Order Date]]</f>
        <v>2</v>
      </c>
      <c r="N1623">
        <f>WEEKNUM(orders[[#This Row],[Order Date]],2)</f>
        <v>9</v>
      </c>
      <c r="O1623" t="str" cm="1">
        <f t="array" ref="O16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24" spans="1:15" x14ac:dyDescent="0.3">
      <c r="A1624" t="s">
        <v>1720</v>
      </c>
      <c r="B1624" t="s">
        <v>39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24</v>
      </c>
      <c r="I1624" t="s">
        <v>15</v>
      </c>
      <c r="J1624">
        <v>4</v>
      </c>
      <c r="K1624" t="s">
        <v>16</v>
      </c>
      <c r="L1624" t="s">
        <v>30</v>
      </c>
      <c r="M1624">
        <f>orders[[#This Row],[Ship Date]]-orders[[#This Row],[Order Date]]</f>
        <v>4</v>
      </c>
      <c r="N1624">
        <f>WEEKNUM(orders[[#This Row],[Order Date]],2)</f>
        <v>9</v>
      </c>
      <c r="O1624" t="str" cm="1">
        <f t="array" ref="O16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25" spans="1:15" x14ac:dyDescent="0.3">
      <c r="A1625" t="s">
        <v>1721</v>
      </c>
      <c r="B1625" t="s">
        <v>41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86</v>
      </c>
      <c r="I1625" t="s">
        <v>32</v>
      </c>
      <c r="J1625">
        <v>5</v>
      </c>
      <c r="K1625" t="s">
        <v>16</v>
      </c>
      <c r="L1625" t="s">
        <v>52</v>
      </c>
      <c r="M1625">
        <f>orders[[#This Row],[Ship Date]]-orders[[#This Row],[Order Date]]</f>
        <v>1</v>
      </c>
      <c r="N1625">
        <f>WEEKNUM(orders[[#This Row],[Order Date]],2)</f>
        <v>9</v>
      </c>
      <c r="O1625" t="str" cm="1">
        <f t="array" ref="O162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626" spans="1:15" x14ac:dyDescent="0.3">
      <c r="A1626" t="s">
        <v>1722</v>
      </c>
      <c r="B1626" t="s">
        <v>120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86</v>
      </c>
      <c r="I1626" t="s">
        <v>32</v>
      </c>
      <c r="J1626">
        <v>3</v>
      </c>
      <c r="K1626" t="s">
        <v>16</v>
      </c>
      <c r="L1626" t="s">
        <v>56</v>
      </c>
      <c r="M1626">
        <f>orders[[#This Row],[Ship Date]]-orders[[#This Row],[Order Date]]</f>
        <v>1</v>
      </c>
      <c r="N1626">
        <f>WEEKNUM(orders[[#This Row],[Order Date]],2)</f>
        <v>9</v>
      </c>
      <c r="O1626" t="str" cm="1">
        <f t="array" ref="O1626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627" spans="1:15" x14ac:dyDescent="0.3">
      <c r="A1627" t="s">
        <v>1723</v>
      </c>
      <c r="B1627" t="s">
        <v>43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24</v>
      </c>
      <c r="I1627" t="s">
        <v>15</v>
      </c>
      <c r="J1627">
        <v>5</v>
      </c>
      <c r="K1627" t="s">
        <v>16</v>
      </c>
      <c r="L1627" t="s">
        <v>56</v>
      </c>
      <c r="M1627">
        <f>orders[[#This Row],[Ship Date]]-orders[[#This Row],[Order Date]]</f>
        <v>4</v>
      </c>
      <c r="N1627">
        <f>WEEKNUM(orders[[#This Row],[Order Date]],2)</f>
        <v>9</v>
      </c>
      <c r="O1627" t="str" cm="1">
        <f t="array" ref="O16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28" spans="1:15" x14ac:dyDescent="0.3">
      <c r="A1628" t="s">
        <v>1724</v>
      </c>
      <c r="B1628" t="s">
        <v>41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24</v>
      </c>
      <c r="I1628" t="s">
        <v>32</v>
      </c>
      <c r="J1628">
        <v>4</v>
      </c>
      <c r="K1628" t="s">
        <v>16</v>
      </c>
      <c r="L1628" t="s">
        <v>56</v>
      </c>
      <c r="M1628">
        <f>orders[[#This Row],[Ship Date]]-orders[[#This Row],[Order Date]]</f>
        <v>1</v>
      </c>
      <c r="N1628">
        <f>WEEKNUM(orders[[#This Row],[Order Date]],2)</f>
        <v>9</v>
      </c>
      <c r="O1628" t="str" cm="1">
        <f t="array" ref="O16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29" spans="1:15" x14ac:dyDescent="0.3">
      <c r="A1629" t="s">
        <v>1725</v>
      </c>
      <c r="B1629" t="s">
        <v>66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20</v>
      </c>
      <c r="I1629" t="s">
        <v>15</v>
      </c>
      <c r="J1629">
        <v>4</v>
      </c>
      <c r="K1629" t="s">
        <v>16</v>
      </c>
      <c r="L1629" t="s">
        <v>59</v>
      </c>
      <c r="M1629">
        <f>orders[[#This Row],[Ship Date]]-orders[[#This Row],[Order Date]]</f>
        <v>2</v>
      </c>
      <c r="N1629">
        <f>WEEKNUM(orders[[#This Row],[Order Date]],2)</f>
        <v>9</v>
      </c>
      <c r="O1629" t="str" cm="1">
        <f t="array" ref="O16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30" spans="1:15" x14ac:dyDescent="0.3">
      <c r="A1630" t="s">
        <v>1726</v>
      </c>
      <c r="B1630" t="s">
        <v>19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20</v>
      </c>
      <c r="I1630" t="s">
        <v>15</v>
      </c>
      <c r="J1630">
        <v>3</v>
      </c>
      <c r="K1630" t="s">
        <v>16</v>
      </c>
      <c r="L1630" t="s">
        <v>59</v>
      </c>
      <c r="M1630">
        <f>orders[[#This Row],[Ship Date]]-orders[[#This Row],[Order Date]]</f>
        <v>1</v>
      </c>
      <c r="N1630">
        <f>WEEKNUM(orders[[#This Row],[Order Date]],2)</f>
        <v>9</v>
      </c>
      <c r="O1630" t="str" cm="1">
        <f t="array" ref="O163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31" spans="1:15" x14ac:dyDescent="0.3">
      <c r="A1631" t="s">
        <v>1727</v>
      </c>
      <c r="B1631" t="s">
        <v>19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24</v>
      </c>
      <c r="I1631" t="s">
        <v>32</v>
      </c>
      <c r="J1631">
        <v>4</v>
      </c>
      <c r="K1631" t="s">
        <v>16</v>
      </c>
      <c r="L1631" t="s">
        <v>59</v>
      </c>
      <c r="M1631">
        <f>orders[[#This Row],[Ship Date]]-orders[[#This Row],[Order Date]]</f>
        <v>3</v>
      </c>
      <c r="N1631">
        <f>WEEKNUM(orders[[#This Row],[Order Date]],2)</f>
        <v>9</v>
      </c>
      <c r="O1631" t="str" cm="1">
        <f t="array" ref="O16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32" spans="1:15" x14ac:dyDescent="0.3">
      <c r="A1632" t="s">
        <v>1728</v>
      </c>
      <c r="B1632" t="s">
        <v>36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24</v>
      </c>
      <c r="I1632" t="s">
        <v>15</v>
      </c>
      <c r="J1632">
        <v>3</v>
      </c>
      <c r="K1632" t="s">
        <v>16</v>
      </c>
      <c r="L1632" t="s">
        <v>59</v>
      </c>
      <c r="M1632">
        <f>orders[[#This Row],[Ship Date]]-orders[[#This Row],[Order Date]]</f>
        <v>5</v>
      </c>
      <c r="N1632">
        <f>WEEKNUM(orders[[#This Row],[Order Date]],2)</f>
        <v>9</v>
      </c>
      <c r="O1632" t="str" cm="1">
        <f t="array" ref="O16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33" spans="1:15" x14ac:dyDescent="0.3">
      <c r="A1633" t="s">
        <v>1729</v>
      </c>
      <c r="B1633" t="s">
        <v>39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24</v>
      </c>
      <c r="I1633" t="s">
        <v>15</v>
      </c>
      <c r="J1633">
        <v>4</v>
      </c>
      <c r="K1633" t="s">
        <v>16</v>
      </c>
      <c r="L1633" t="s">
        <v>100</v>
      </c>
      <c r="M1633">
        <f>orders[[#This Row],[Ship Date]]-orders[[#This Row],[Order Date]]</f>
        <v>2</v>
      </c>
      <c r="N1633">
        <f>WEEKNUM(orders[[#This Row],[Order Date]],2)</f>
        <v>9</v>
      </c>
      <c r="O1633" t="str" cm="1">
        <f t="array" ref="O16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34" spans="1:15" x14ac:dyDescent="0.3">
      <c r="A1634" t="s">
        <v>1730</v>
      </c>
      <c r="B1634" t="s">
        <v>51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24</v>
      </c>
      <c r="I1634" t="s">
        <v>15</v>
      </c>
      <c r="J1634">
        <v>4</v>
      </c>
      <c r="K1634" t="s">
        <v>16</v>
      </c>
      <c r="L1634" t="s">
        <v>74</v>
      </c>
      <c r="M1634">
        <f>orders[[#This Row],[Ship Date]]-orders[[#This Row],[Order Date]]</f>
        <v>4</v>
      </c>
      <c r="N1634">
        <f>WEEKNUM(orders[[#This Row],[Order Date]],2)</f>
        <v>9</v>
      </c>
      <c r="O1634" t="str" cm="1">
        <f t="array" ref="O16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35" spans="1:15" x14ac:dyDescent="0.3">
      <c r="A1635" t="s">
        <v>1731</v>
      </c>
      <c r="B1635" t="s">
        <v>41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14</v>
      </c>
      <c r="I1635" t="s">
        <v>48</v>
      </c>
      <c r="J1635">
        <v>4</v>
      </c>
      <c r="K1635" t="s">
        <v>16</v>
      </c>
      <c r="L1635" t="s">
        <v>74</v>
      </c>
      <c r="M1635">
        <f>orders[[#This Row],[Ship Date]]-orders[[#This Row],[Order Date]]</f>
        <v>2</v>
      </c>
      <c r="N1635">
        <f>WEEKNUM(orders[[#This Row],[Order Date]],2)</f>
        <v>9</v>
      </c>
      <c r="O1635" t="str" cm="1">
        <f t="array" ref="O163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636" spans="1:15" x14ac:dyDescent="0.3">
      <c r="A1636" t="s">
        <v>1732</v>
      </c>
      <c r="B1636" t="s">
        <v>27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20</v>
      </c>
      <c r="I1636" t="s">
        <v>67</v>
      </c>
      <c r="J1636">
        <v>4</v>
      </c>
      <c r="K1636" t="s">
        <v>16</v>
      </c>
      <c r="L1636" t="s">
        <v>74</v>
      </c>
      <c r="M1636">
        <f>orders[[#This Row],[Ship Date]]-orders[[#This Row],[Order Date]]</f>
        <v>2</v>
      </c>
      <c r="N1636">
        <f>WEEKNUM(orders[[#This Row],[Order Date]],2)</f>
        <v>9</v>
      </c>
      <c r="O1636" t="str" cm="1">
        <f t="array" ref="O16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37" spans="1:15" x14ac:dyDescent="0.3">
      <c r="A1637" t="s">
        <v>1733</v>
      </c>
      <c r="B1637" t="s">
        <v>39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20</v>
      </c>
      <c r="I1637" t="s">
        <v>32</v>
      </c>
      <c r="J1637">
        <v>4</v>
      </c>
      <c r="K1637" t="s">
        <v>16</v>
      </c>
      <c r="L1637" t="s">
        <v>1113</v>
      </c>
      <c r="M1637">
        <f>orders[[#This Row],[Ship Date]]-orders[[#This Row],[Order Date]]</f>
        <v>14</v>
      </c>
      <c r="N1637">
        <f>WEEKNUM(orders[[#This Row],[Order Date]],2)</f>
        <v>9</v>
      </c>
      <c r="O1637" t="str" cm="1">
        <f t="array" ref="O16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38" spans="1:15" x14ac:dyDescent="0.3">
      <c r="A1638" t="s">
        <v>1734</v>
      </c>
      <c r="B1638" t="s">
        <v>41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20</v>
      </c>
      <c r="I1638" t="s">
        <v>15</v>
      </c>
      <c r="J1638">
        <v>5</v>
      </c>
      <c r="K1638" t="s">
        <v>16</v>
      </c>
      <c r="L1638" t="s">
        <v>265</v>
      </c>
      <c r="M1638">
        <f>orders[[#This Row],[Ship Date]]-orders[[#This Row],[Order Date]]</f>
        <v>3</v>
      </c>
      <c r="N1638">
        <f>WEEKNUM(orders[[#This Row],[Order Date]],2)</f>
        <v>9</v>
      </c>
      <c r="O1638" t="str" cm="1">
        <f t="array" ref="O16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39" spans="1:15" x14ac:dyDescent="0.3">
      <c r="A1639" t="s">
        <v>1735</v>
      </c>
      <c r="B1639" t="s">
        <v>29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86</v>
      </c>
      <c r="I1639" t="s">
        <v>15</v>
      </c>
      <c r="J1639">
        <v>5</v>
      </c>
      <c r="K1639" t="s">
        <v>16</v>
      </c>
      <c r="L1639" t="s">
        <v>105</v>
      </c>
      <c r="M1639">
        <f>orders[[#This Row],[Ship Date]]-orders[[#This Row],[Order Date]]</f>
        <v>2</v>
      </c>
      <c r="N1639">
        <f>WEEKNUM(orders[[#This Row],[Order Date]],2)</f>
        <v>9</v>
      </c>
      <c r="O1639" t="str" cm="1">
        <f t="array" ref="O1639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640" spans="1:15" x14ac:dyDescent="0.3">
      <c r="A1640" t="s">
        <v>1736</v>
      </c>
      <c r="B1640" t="s">
        <v>120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20</v>
      </c>
      <c r="I1640" t="s">
        <v>37</v>
      </c>
      <c r="J1640">
        <v>3</v>
      </c>
      <c r="K1640" t="s">
        <v>16</v>
      </c>
      <c r="L1640" t="s">
        <v>112</v>
      </c>
      <c r="M1640">
        <f>orders[[#This Row],[Ship Date]]-orders[[#This Row],[Order Date]]</f>
        <v>3</v>
      </c>
      <c r="N1640">
        <f>WEEKNUM(orders[[#This Row],[Order Date]],2)</f>
        <v>9</v>
      </c>
      <c r="O1640" t="str" cm="1">
        <f t="array" ref="O16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1" spans="1:15" x14ac:dyDescent="0.3">
      <c r="A1641" t="s">
        <v>1737</v>
      </c>
      <c r="B1641" t="s">
        <v>34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20</v>
      </c>
      <c r="I1641" t="s">
        <v>48</v>
      </c>
      <c r="J1641">
        <v>5</v>
      </c>
      <c r="K1641" t="s">
        <v>16</v>
      </c>
      <c r="L1641" t="s">
        <v>112</v>
      </c>
      <c r="M1641">
        <f>orders[[#This Row],[Ship Date]]-orders[[#This Row],[Order Date]]</f>
        <v>0</v>
      </c>
      <c r="N1641">
        <f>WEEKNUM(orders[[#This Row],[Order Date]],2)</f>
        <v>9</v>
      </c>
      <c r="O1641" t="str" cm="1">
        <f t="array" ref="O16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2" spans="1:15" x14ac:dyDescent="0.3">
      <c r="A1642" t="s">
        <v>1738</v>
      </c>
      <c r="B1642" t="s">
        <v>120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20</v>
      </c>
      <c r="I1642" t="s">
        <v>15</v>
      </c>
      <c r="J1642">
        <v>5</v>
      </c>
      <c r="K1642" t="s">
        <v>16</v>
      </c>
      <c r="L1642" t="s">
        <v>112</v>
      </c>
      <c r="M1642">
        <f>orders[[#This Row],[Ship Date]]-orders[[#This Row],[Order Date]]</f>
        <v>1</v>
      </c>
      <c r="N1642">
        <f>WEEKNUM(orders[[#This Row],[Order Date]],2)</f>
        <v>9</v>
      </c>
      <c r="O1642" t="str" cm="1">
        <f t="array" ref="O16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3" spans="1:15" x14ac:dyDescent="0.3">
      <c r="A1643" t="s">
        <v>1739</v>
      </c>
      <c r="B1643" t="s">
        <v>36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24</v>
      </c>
      <c r="I1643" t="s">
        <v>15</v>
      </c>
      <c r="J1643">
        <v>5</v>
      </c>
      <c r="K1643" t="s">
        <v>16</v>
      </c>
      <c r="L1643" t="s">
        <v>112</v>
      </c>
      <c r="M1643">
        <f>orders[[#This Row],[Ship Date]]-orders[[#This Row],[Order Date]]</f>
        <v>2</v>
      </c>
      <c r="N1643">
        <f>WEEKNUM(orders[[#This Row],[Order Date]],2)</f>
        <v>10</v>
      </c>
      <c r="O1643" t="str" cm="1">
        <f t="array" ref="O16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44" spans="1:15" x14ac:dyDescent="0.3">
      <c r="A1644" t="s">
        <v>1740</v>
      </c>
      <c r="B1644" t="s">
        <v>36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20</v>
      </c>
      <c r="I1644" t="s">
        <v>32</v>
      </c>
      <c r="J1644">
        <v>3</v>
      </c>
      <c r="K1644" t="s">
        <v>16</v>
      </c>
      <c r="L1644" t="s">
        <v>21</v>
      </c>
      <c r="M1644">
        <f>orders[[#This Row],[Ship Date]]-orders[[#This Row],[Order Date]]</f>
        <v>2</v>
      </c>
      <c r="N1644">
        <f>WEEKNUM(orders[[#This Row],[Order Date]],2)</f>
        <v>10</v>
      </c>
      <c r="O1644" t="str" cm="1">
        <f t="array" ref="O16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5" spans="1:15" x14ac:dyDescent="0.3">
      <c r="A1645" t="s">
        <v>1741</v>
      </c>
      <c r="B1645" t="s">
        <v>23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20</v>
      </c>
      <c r="I1645" t="s">
        <v>37</v>
      </c>
      <c r="J1645">
        <v>4</v>
      </c>
      <c r="K1645" t="s">
        <v>16</v>
      </c>
      <c r="L1645" t="s">
        <v>21</v>
      </c>
      <c r="M1645">
        <f>orders[[#This Row],[Ship Date]]-orders[[#This Row],[Order Date]]</f>
        <v>3</v>
      </c>
      <c r="N1645">
        <f>WEEKNUM(orders[[#This Row],[Order Date]],2)</f>
        <v>10</v>
      </c>
      <c r="O1645" t="str" cm="1">
        <f t="array" ref="O164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6" spans="1:15" x14ac:dyDescent="0.3">
      <c r="A1646" t="s">
        <v>1742</v>
      </c>
      <c r="B1646" t="s">
        <v>29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20</v>
      </c>
      <c r="I1646" t="s">
        <v>37</v>
      </c>
      <c r="J1646">
        <v>4</v>
      </c>
      <c r="K1646" t="s">
        <v>16</v>
      </c>
      <c r="L1646" t="s">
        <v>144</v>
      </c>
      <c r="M1646">
        <f>orders[[#This Row],[Ship Date]]-orders[[#This Row],[Order Date]]</f>
        <v>2</v>
      </c>
      <c r="N1646">
        <f>WEEKNUM(orders[[#This Row],[Order Date]],2)</f>
        <v>10</v>
      </c>
      <c r="O1646" t="str" cm="1">
        <f t="array" ref="O16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7" spans="1:15" x14ac:dyDescent="0.3">
      <c r="A1647" t="s">
        <v>1743</v>
      </c>
      <c r="B1647" t="s">
        <v>29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20</v>
      </c>
      <c r="I1647" t="s">
        <v>15</v>
      </c>
      <c r="J1647">
        <v>5</v>
      </c>
      <c r="K1647" t="s">
        <v>16</v>
      </c>
      <c r="L1647" t="s">
        <v>30</v>
      </c>
      <c r="M1647">
        <f>orders[[#This Row],[Ship Date]]-orders[[#This Row],[Order Date]]</f>
        <v>3</v>
      </c>
      <c r="N1647">
        <f>WEEKNUM(orders[[#This Row],[Order Date]],2)</f>
        <v>10</v>
      </c>
      <c r="O1647" t="str" cm="1">
        <f t="array" ref="O164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8" spans="1:15" x14ac:dyDescent="0.3">
      <c r="A1648" t="s">
        <v>1744</v>
      </c>
      <c r="B1648" t="s">
        <v>120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20</v>
      </c>
      <c r="I1648" t="s">
        <v>15</v>
      </c>
      <c r="J1648">
        <v>3</v>
      </c>
      <c r="K1648" t="s">
        <v>16</v>
      </c>
      <c r="L1648" t="s">
        <v>30</v>
      </c>
      <c r="M1648">
        <f>orders[[#This Row],[Ship Date]]-orders[[#This Row],[Order Date]]</f>
        <v>1</v>
      </c>
      <c r="N1648">
        <f>WEEKNUM(orders[[#This Row],[Order Date]],2)</f>
        <v>10</v>
      </c>
      <c r="O1648" t="str" cm="1">
        <f t="array" ref="O164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49" spans="1:15" x14ac:dyDescent="0.3">
      <c r="A1649" t="s">
        <v>1745</v>
      </c>
      <c r="B1649" t="s">
        <v>36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20</v>
      </c>
      <c r="I1649" t="s">
        <v>67</v>
      </c>
      <c r="J1649">
        <v>5</v>
      </c>
      <c r="K1649" t="s">
        <v>16</v>
      </c>
      <c r="L1649" t="s">
        <v>30</v>
      </c>
      <c r="M1649">
        <f>orders[[#This Row],[Ship Date]]-orders[[#This Row],[Order Date]]</f>
        <v>2</v>
      </c>
      <c r="N1649">
        <f>WEEKNUM(orders[[#This Row],[Order Date]],2)</f>
        <v>10</v>
      </c>
      <c r="O1649" t="str" cm="1">
        <f t="array" ref="O16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50" spans="1:15" x14ac:dyDescent="0.3">
      <c r="A1650" t="s">
        <v>1746</v>
      </c>
      <c r="B1650" t="s">
        <v>168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24</v>
      </c>
      <c r="I1650" t="s">
        <v>15</v>
      </c>
      <c r="J1650">
        <v>3</v>
      </c>
      <c r="K1650" t="s">
        <v>16</v>
      </c>
      <c r="L1650" t="s">
        <v>30</v>
      </c>
      <c r="M1650">
        <f>orders[[#This Row],[Ship Date]]-orders[[#This Row],[Order Date]]</f>
        <v>1</v>
      </c>
      <c r="N1650">
        <f>WEEKNUM(orders[[#This Row],[Order Date]],2)</f>
        <v>10</v>
      </c>
      <c r="O1650" t="str" cm="1">
        <f t="array" ref="O16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51" spans="1:15" x14ac:dyDescent="0.3">
      <c r="A1651" t="s">
        <v>1747</v>
      </c>
      <c r="B1651" t="s">
        <v>41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24</v>
      </c>
      <c r="I1651" t="s">
        <v>37</v>
      </c>
      <c r="J1651">
        <v>4</v>
      </c>
      <c r="K1651" t="s">
        <v>16</v>
      </c>
      <c r="L1651" t="s">
        <v>30</v>
      </c>
      <c r="M1651">
        <f>orders[[#This Row],[Ship Date]]-orders[[#This Row],[Order Date]]</f>
        <v>3</v>
      </c>
      <c r="N1651">
        <f>WEEKNUM(orders[[#This Row],[Order Date]],2)</f>
        <v>10</v>
      </c>
      <c r="O1651" t="str" cm="1">
        <f t="array" ref="O16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52" spans="1:15" x14ac:dyDescent="0.3">
      <c r="A1652" t="s">
        <v>1748</v>
      </c>
      <c r="B1652" t="s">
        <v>143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24</v>
      </c>
      <c r="I1652" t="s">
        <v>32</v>
      </c>
      <c r="J1652">
        <v>5</v>
      </c>
      <c r="K1652" t="s">
        <v>16</v>
      </c>
      <c r="L1652" t="s">
        <v>30</v>
      </c>
      <c r="M1652">
        <f>orders[[#This Row],[Ship Date]]-orders[[#This Row],[Order Date]]</f>
        <v>2</v>
      </c>
      <c r="N1652">
        <f>WEEKNUM(orders[[#This Row],[Order Date]],2)</f>
        <v>10</v>
      </c>
      <c r="O1652" t="str" cm="1">
        <f t="array" ref="O16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53" spans="1:15" x14ac:dyDescent="0.3">
      <c r="A1653" t="s">
        <v>1749</v>
      </c>
      <c r="B1653" t="s">
        <v>34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24</v>
      </c>
      <c r="I1653" t="s">
        <v>48</v>
      </c>
      <c r="J1653">
        <v>5</v>
      </c>
      <c r="K1653" t="s">
        <v>16</v>
      </c>
      <c r="L1653" t="s">
        <v>30</v>
      </c>
      <c r="M1653">
        <f>orders[[#This Row],[Ship Date]]-orders[[#This Row],[Order Date]]</f>
        <v>1</v>
      </c>
      <c r="N1653">
        <f>WEEKNUM(orders[[#This Row],[Order Date]],2)</f>
        <v>10</v>
      </c>
      <c r="O1653" t="str" cm="1">
        <f t="array" ref="O16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54" spans="1:15" x14ac:dyDescent="0.3">
      <c r="A1654" t="s">
        <v>1750</v>
      </c>
      <c r="B1654" t="s">
        <v>23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20</v>
      </c>
      <c r="I1654" t="s">
        <v>48</v>
      </c>
      <c r="J1654">
        <v>5</v>
      </c>
      <c r="K1654" t="s">
        <v>16</v>
      </c>
      <c r="L1654" t="s">
        <v>30</v>
      </c>
      <c r="M1654">
        <f>orders[[#This Row],[Ship Date]]-orders[[#This Row],[Order Date]]</f>
        <v>3</v>
      </c>
      <c r="N1654">
        <f>WEEKNUM(orders[[#This Row],[Order Date]],2)</f>
        <v>10</v>
      </c>
      <c r="O1654" t="str" cm="1">
        <f t="array" ref="O16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55" spans="1:15" x14ac:dyDescent="0.3">
      <c r="A1655" t="s">
        <v>1751</v>
      </c>
      <c r="B1655" t="s">
        <v>34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24</v>
      </c>
      <c r="I1655" t="s">
        <v>15</v>
      </c>
      <c r="J1655">
        <v>4</v>
      </c>
      <c r="K1655" t="s">
        <v>16</v>
      </c>
      <c r="L1655" t="s">
        <v>30</v>
      </c>
      <c r="M1655">
        <f>orders[[#This Row],[Ship Date]]-orders[[#This Row],[Order Date]]</f>
        <v>3</v>
      </c>
      <c r="N1655">
        <f>WEEKNUM(orders[[#This Row],[Order Date]],2)</f>
        <v>10</v>
      </c>
      <c r="O1655" t="str" cm="1">
        <f t="array" ref="O16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56" spans="1:15" x14ac:dyDescent="0.3">
      <c r="A1656" t="s">
        <v>1752</v>
      </c>
      <c r="B1656" t="s">
        <v>132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20</v>
      </c>
      <c r="I1656" t="s">
        <v>67</v>
      </c>
      <c r="J1656">
        <v>4</v>
      </c>
      <c r="K1656" t="s">
        <v>16</v>
      </c>
      <c r="L1656" t="s">
        <v>30</v>
      </c>
      <c r="M1656">
        <f>orders[[#This Row],[Ship Date]]-orders[[#This Row],[Order Date]]</f>
        <v>3</v>
      </c>
      <c r="N1656">
        <f>WEEKNUM(orders[[#This Row],[Order Date]],2)</f>
        <v>10</v>
      </c>
      <c r="O1656" t="str" cm="1">
        <f t="array" ref="O16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57" spans="1:15" x14ac:dyDescent="0.3">
      <c r="A1657" t="s">
        <v>1753</v>
      </c>
      <c r="B1657" t="s">
        <v>23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24</v>
      </c>
      <c r="I1657" t="s">
        <v>32</v>
      </c>
      <c r="J1657">
        <v>4</v>
      </c>
      <c r="K1657" t="s">
        <v>16</v>
      </c>
      <c r="L1657" t="s">
        <v>30</v>
      </c>
      <c r="M1657">
        <f>orders[[#This Row],[Ship Date]]-orders[[#This Row],[Order Date]]</f>
        <v>3</v>
      </c>
      <c r="N1657">
        <f>WEEKNUM(orders[[#This Row],[Order Date]],2)</f>
        <v>10</v>
      </c>
      <c r="O1657" t="str" cm="1">
        <f t="array" ref="O16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58" spans="1:15" x14ac:dyDescent="0.3">
      <c r="A1658" t="s">
        <v>1754</v>
      </c>
      <c r="B1658" t="s">
        <v>23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20</v>
      </c>
      <c r="I1658" t="s">
        <v>15</v>
      </c>
      <c r="J1658">
        <v>5</v>
      </c>
      <c r="K1658" t="s">
        <v>16</v>
      </c>
      <c r="L1658" t="s">
        <v>30</v>
      </c>
      <c r="M1658">
        <f>orders[[#This Row],[Ship Date]]-orders[[#This Row],[Order Date]]</f>
        <v>3</v>
      </c>
      <c r="N1658">
        <f>WEEKNUM(orders[[#This Row],[Order Date]],2)</f>
        <v>10</v>
      </c>
      <c r="O1658" t="str" cm="1">
        <f t="array" ref="O165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59" spans="1:15" x14ac:dyDescent="0.3">
      <c r="A1659" t="s">
        <v>1755</v>
      </c>
      <c r="B1659" t="s">
        <v>64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24</v>
      </c>
      <c r="I1659" t="s">
        <v>37</v>
      </c>
      <c r="J1659">
        <v>4</v>
      </c>
      <c r="K1659" t="s">
        <v>16</v>
      </c>
      <c r="L1659" t="s">
        <v>185</v>
      </c>
      <c r="M1659">
        <f>orders[[#This Row],[Ship Date]]-orders[[#This Row],[Order Date]]</f>
        <v>1</v>
      </c>
      <c r="N1659">
        <f>WEEKNUM(orders[[#This Row],[Order Date]],2)</f>
        <v>10</v>
      </c>
      <c r="O1659" t="str" cm="1">
        <f t="array" ref="O16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0" spans="1:15" x14ac:dyDescent="0.3">
      <c r="A1660" t="s">
        <v>1756</v>
      </c>
      <c r="B1660" t="s">
        <v>29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20</v>
      </c>
      <c r="I1660" t="s">
        <v>15</v>
      </c>
      <c r="J1660">
        <v>5</v>
      </c>
      <c r="K1660" t="s">
        <v>16</v>
      </c>
      <c r="L1660" t="s">
        <v>185</v>
      </c>
      <c r="M1660">
        <f>orders[[#This Row],[Ship Date]]-orders[[#This Row],[Order Date]]</f>
        <v>3</v>
      </c>
      <c r="N1660">
        <f>WEEKNUM(orders[[#This Row],[Order Date]],2)</f>
        <v>10</v>
      </c>
      <c r="O1660" t="str" cm="1">
        <f t="array" ref="O16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61" spans="1:15" x14ac:dyDescent="0.3">
      <c r="A1661" t="s">
        <v>1757</v>
      </c>
      <c r="B1661" t="s">
        <v>23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24</v>
      </c>
      <c r="I1661" t="s">
        <v>15</v>
      </c>
      <c r="J1661">
        <v>5</v>
      </c>
      <c r="K1661" t="s">
        <v>16</v>
      </c>
      <c r="L1661" t="s">
        <v>52</v>
      </c>
      <c r="M1661">
        <f>orders[[#This Row],[Ship Date]]-orders[[#This Row],[Order Date]]</f>
        <v>3</v>
      </c>
      <c r="N1661">
        <f>WEEKNUM(orders[[#This Row],[Order Date]],2)</f>
        <v>10</v>
      </c>
      <c r="O1661" t="str" cm="1">
        <f t="array" ref="O16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2" spans="1:15" x14ac:dyDescent="0.3">
      <c r="A1662" t="s">
        <v>1758</v>
      </c>
      <c r="B1662" t="s">
        <v>125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24</v>
      </c>
      <c r="I1662" t="s">
        <v>37</v>
      </c>
      <c r="J1662">
        <v>5</v>
      </c>
      <c r="K1662" t="s">
        <v>16</v>
      </c>
      <c r="L1662" t="s">
        <v>52</v>
      </c>
      <c r="M1662">
        <f>orders[[#This Row],[Ship Date]]-orders[[#This Row],[Order Date]]</f>
        <v>5</v>
      </c>
      <c r="N1662">
        <f>WEEKNUM(orders[[#This Row],[Order Date]],2)</f>
        <v>10</v>
      </c>
      <c r="O1662" t="str" cm="1">
        <f t="array" ref="O16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3" spans="1:15" x14ac:dyDescent="0.3">
      <c r="A1663" t="s">
        <v>1759</v>
      </c>
      <c r="B1663" t="s">
        <v>19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20</v>
      </c>
      <c r="I1663" t="s">
        <v>32</v>
      </c>
      <c r="J1663">
        <v>4</v>
      </c>
      <c r="K1663" t="s">
        <v>16</v>
      </c>
      <c r="L1663" t="s">
        <v>52</v>
      </c>
      <c r="M1663">
        <f>orders[[#This Row],[Ship Date]]-orders[[#This Row],[Order Date]]</f>
        <v>3</v>
      </c>
      <c r="N1663">
        <f>WEEKNUM(orders[[#This Row],[Order Date]],2)</f>
        <v>10</v>
      </c>
      <c r="O1663" t="str" cm="1">
        <f t="array" ref="O16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64" spans="1:15" x14ac:dyDescent="0.3">
      <c r="A1664" t="s">
        <v>1760</v>
      </c>
      <c r="B1664" t="s">
        <v>36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20</v>
      </c>
      <c r="I1664" t="s">
        <v>15</v>
      </c>
      <c r="J1664">
        <v>5</v>
      </c>
      <c r="K1664" t="s">
        <v>16</v>
      </c>
      <c r="L1664" t="s">
        <v>56</v>
      </c>
      <c r="M1664">
        <f>orders[[#This Row],[Ship Date]]-orders[[#This Row],[Order Date]]</f>
        <v>8</v>
      </c>
      <c r="N1664">
        <f>WEEKNUM(orders[[#This Row],[Order Date]],2)</f>
        <v>10</v>
      </c>
      <c r="O1664" t="str" cm="1">
        <f t="array" ref="O16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65" spans="1:15" x14ac:dyDescent="0.3">
      <c r="A1665" t="s">
        <v>1761</v>
      </c>
      <c r="B1665" t="s">
        <v>41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24</v>
      </c>
      <c r="I1665" t="s">
        <v>15</v>
      </c>
      <c r="J1665">
        <v>4</v>
      </c>
      <c r="K1665" t="s">
        <v>16</v>
      </c>
      <c r="L1665" t="s">
        <v>56</v>
      </c>
      <c r="M1665">
        <f>orders[[#This Row],[Ship Date]]-orders[[#This Row],[Order Date]]</f>
        <v>1</v>
      </c>
      <c r="N1665">
        <f>WEEKNUM(orders[[#This Row],[Order Date]],2)</f>
        <v>10</v>
      </c>
      <c r="O1665" t="str" cm="1">
        <f t="array" ref="O16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6" spans="1:15" x14ac:dyDescent="0.3">
      <c r="A1666" t="s">
        <v>1762</v>
      </c>
      <c r="B1666" t="s">
        <v>41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24</v>
      </c>
      <c r="I1666" t="s">
        <v>15</v>
      </c>
      <c r="J1666">
        <v>2</v>
      </c>
      <c r="K1666" t="s">
        <v>16</v>
      </c>
      <c r="L1666" t="s">
        <v>59</v>
      </c>
      <c r="M1666">
        <f>orders[[#This Row],[Ship Date]]-orders[[#This Row],[Order Date]]</f>
        <v>1</v>
      </c>
      <c r="N1666">
        <f>WEEKNUM(orders[[#This Row],[Order Date]],2)</f>
        <v>10</v>
      </c>
      <c r="O1666" t="str" cm="1">
        <f t="array" ref="O16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7" spans="1:15" x14ac:dyDescent="0.3">
      <c r="A1667" t="s">
        <v>1763</v>
      </c>
      <c r="B1667" t="s">
        <v>41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24</v>
      </c>
      <c r="I1667" t="s">
        <v>48</v>
      </c>
      <c r="J1667">
        <v>4</v>
      </c>
      <c r="K1667" t="s">
        <v>16</v>
      </c>
      <c r="L1667" t="s">
        <v>100</v>
      </c>
      <c r="M1667">
        <f>orders[[#This Row],[Ship Date]]-orders[[#This Row],[Order Date]]</f>
        <v>1</v>
      </c>
      <c r="N1667">
        <f>WEEKNUM(orders[[#This Row],[Order Date]],2)</f>
        <v>10</v>
      </c>
      <c r="O1667" t="str" cm="1">
        <f t="array" ref="O16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8" spans="1:15" x14ac:dyDescent="0.3">
      <c r="A1668" t="s">
        <v>1764</v>
      </c>
      <c r="B1668" t="s">
        <v>23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24</v>
      </c>
      <c r="I1668" t="s">
        <v>37</v>
      </c>
      <c r="J1668">
        <v>5</v>
      </c>
      <c r="K1668" t="s">
        <v>16</v>
      </c>
      <c r="L1668" t="s">
        <v>198</v>
      </c>
      <c r="M1668">
        <f>orders[[#This Row],[Ship Date]]-orders[[#This Row],[Order Date]]</f>
        <v>1</v>
      </c>
      <c r="N1668">
        <f>WEEKNUM(orders[[#This Row],[Order Date]],2)</f>
        <v>10</v>
      </c>
      <c r="O1668" t="str" cm="1">
        <f t="array" ref="O16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69" spans="1:15" x14ac:dyDescent="0.3">
      <c r="A1669" t="s">
        <v>1765</v>
      </c>
      <c r="B1669" t="s">
        <v>41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24</v>
      </c>
      <c r="I1669" t="s">
        <v>15</v>
      </c>
      <c r="J1669">
        <v>5</v>
      </c>
      <c r="K1669" t="s">
        <v>16</v>
      </c>
      <c r="L1669" t="s">
        <v>69</v>
      </c>
      <c r="M1669">
        <f>orders[[#This Row],[Ship Date]]-orders[[#This Row],[Order Date]]</f>
        <v>3</v>
      </c>
      <c r="N1669">
        <f>WEEKNUM(orders[[#This Row],[Order Date]],2)</f>
        <v>10</v>
      </c>
      <c r="O1669" t="str" cm="1">
        <f t="array" ref="O16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70" spans="1:15" x14ac:dyDescent="0.3">
      <c r="A1670" t="s">
        <v>1766</v>
      </c>
      <c r="B1670" t="s">
        <v>36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20</v>
      </c>
      <c r="I1670" t="s">
        <v>37</v>
      </c>
      <c r="J1670">
        <v>4</v>
      </c>
      <c r="K1670" t="s">
        <v>16</v>
      </c>
      <c r="L1670" t="s">
        <v>69</v>
      </c>
      <c r="M1670">
        <f>orders[[#This Row],[Ship Date]]-orders[[#This Row],[Order Date]]</f>
        <v>3</v>
      </c>
      <c r="N1670">
        <f>WEEKNUM(orders[[#This Row],[Order Date]],2)</f>
        <v>10</v>
      </c>
      <c r="O1670" t="str" cm="1">
        <f t="array" ref="O16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71" spans="1:15" x14ac:dyDescent="0.3">
      <c r="A1671" t="s">
        <v>1767</v>
      </c>
      <c r="B1671" t="s">
        <v>43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20</v>
      </c>
      <c r="I1671" t="s">
        <v>15</v>
      </c>
      <c r="J1671">
        <v>3</v>
      </c>
      <c r="K1671" t="s">
        <v>16</v>
      </c>
      <c r="L1671" t="s">
        <v>74</v>
      </c>
      <c r="M1671">
        <f>orders[[#This Row],[Ship Date]]-orders[[#This Row],[Order Date]]</f>
        <v>4</v>
      </c>
      <c r="N1671">
        <f>WEEKNUM(orders[[#This Row],[Order Date]],2)</f>
        <v>10</v>
      </c>
      <c r="O1671" t="str" cm="1">
        <f t="array" ref="O16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72" spans="1:15" x14ac:dyDescent="0.3">
      <c r="A1672" t="s">
        <v>1768</v>
      </c>
      <c r="B1672" t="s">
        <v>27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24</v>
      </c>
      <c r="I1672" t="s">
        <v>15</v>
      </c>
      <c r="J1672">
        <v>4</v>
      </c>
      <c r="K1672" t="s">
        <v>16</v>
      </c>
      <c r="L1672" t="s">
        <v>306</v>
      </c>
      <c r="M1672">
        <f>orders[[#This Row],[Ship Date]]-orders[[#This Row],[Order Date]]</f>
        <v>1</v>
      </c>
      <c r="N1672">
        <f>WEEKNUM(orders[[#This Row],[Order Date]],2)</f>
        <v>10</v>
      </c>
      <c r="O1672" t="str" cm="1">
        <f t="array" ref="O16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73" spans="1:15" x14ac:dyDescent="0.3">
      <c r="A1673" t="s">
        <v>1769</v>
      </c>
      <c r="B1673" t="s">
        <v>34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20</v>
      </c>
      <c r="I1673" t="s">
        <v>67</v>
      </c>
      <c r="J1673">
        <v>4</v>
      </c>
      <c r="K1673" t="s">
        <v>16</v>
      </c>
      <c r="L1673" t="s">
        <v>107</v>
      </c>
      <c r="M1673">
        <f>orders[[#This Row],[Ship Date]]-orders[[#This Row],[Order Date]]</f>
        <v>2</v>
      </c>
      <c r="N1673">
        <f>WEEKNUM(orders[[#This Row],[Order Date]],2)</f>
        <v>10</v>
      </c>
      <c r="O1673" t="str" cm="1">
        <f t="array" ref="O16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74" spans="1:15" x14ac:dyDescent="0.3">
      <c r="A1674" t="s">
        <v>1770</v>
      </c>
      <c r="B1674" t="s">
        <v>36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24</v>
      </c>
      <c r="I1674" t="s">
        <v>37</v>
      </c>
      <c r="J1674">
        <v>3</v>
      </c>
      <c r="K1674" t="s">
        <v>16</v>
      </c>
      <c r="L1674" t="s">
        <v>107</v>
      </c>
      <c r="M1674">
        <f>orders[[#This Row],[Ship Date]]-orders[[#This Row],[Order Date]]</f>
        <v>0</v>
      </c>
      <c r="N1674">
        <f>WEEKNUM(orders[[#This Row],[Order Date]],2)</f>
        <v>10</v>
      </c>
      <c r="O1674" t="str" cm="1">
        <f t="array" ref="O16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75" spans="1:15" x14ac:dyDescent="0.3">
      <c r="A1675" t="s">
        <v>1771</v>
      </c>
      <c r="B1675" t="s">
        <v>23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24</v>
      </c>
      <c r="I1675" t="s">
        <v>32</v>
      </c>
      <c r="J1675">
        <v>4</v>
      </c>
      <c r="K1675" t="s">
        <v>16</v>
      </c>
      <c r="L1675" t="s">
        <v>79</v>
      </c>
      <c r="M1675">
        <f>orders[[#This Row],[Ship Date]]-orders[[#This Row],[Order Date]]</f>
        <v>1</v>
      </c>
      <c r="N1675">
        <f>WEEKNUM(orders[[#This Row],[Order Date]],2)</f>
        <v>10</v>
      </c>
      <c r="O1675" t="str" cm="1">
        <f t="array" ref="O16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76" spans="1:15" x14ac:dyDescent="0.3">
      <c r="A1676" t="s">
        <v>1772</v>
      </c>
      <c r="B1676" t="s">
        <v>36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24</v>
      </c>
      <c r="I1676" t="s">
        <v>67</v>
      </c>
      <c r="J1676">
        <v>3</v>
      </c>
      <c r="K1676" t="s">
        <v>16</v>
      </c>
      <c r="L1676" t="s">
        <v>112</v>
      </c>
      <c r="M1676">
        <f>orders[[#This Row],[Ship Date]]-orders[[#This Row],[Order Date]]</f>
        <v>3</v>
      </c>
      <c r="N1676">
        <f>WEEKNUM(orders[[#This Row],[Order Date]],2)</f>
        <v>10</v>
      </c>
      <c r="O1676" t="str" cm="1">
        <f t="array" ref="O16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77" spans="1:15" x14ac:dyDescent="0.3">
      <c r="A1677" t="s">
        <v>1773</v>
      </c>
      <c r="B1677" t="s">
        <v>41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24</v>
      </c>
      <c r="I1677" t="s">
        <v>37</v>
      </c>
      <c r="J1677">
        <v>4</v>
      </c>
      <c r="K1677" t="s">
        <v>16</v>
      </c>
      <c r="L1677" t="s">
        <v>112</v>
      </c>
      <c r="M1677">
        <f>orders[[#This Row],[Ship Date]]-orders[[#This Row],[Order Date]]</f>
        <v>1</v>
      </c>
      <c r="N1677">
        <f>WEEKNUM(orders[[#This Row],[Order Date]],2)</f>
        <v>10</v>
      </c>
      <c r="O1677" t="str" cm="1">
        <f t="array" ref="O16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78" spans="1:15" x14ac:dyDescent="0.3">
      <c r="A1678" t="s">
        <v>1774</v>
      </c>
      <c r="B1678" t="s">
        <v>51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24</v>
      </c>
      <c r="I1678" t="s">
        <v>15</v>
      </c>
      <c r="J1678">
        <v>4</v>
      </c>
      <c r="K1678" t="s">
        <v>16</v>
      </c>
      <c r="L1678" t="s">
        <v>112</v>
      </c>
      <c r="M1678">
        <f>orders[[#This Row],[Ship Date]]-orders[[#This Row],[Order Date]]</f>
        <v>11</v>
      </c>
      <c r="N1678">
        <f>WEEKNUM(orders[[#This Row],[Order Date]],2)</f>
        <v>10</v>
      </c>
      <c r="O1678" t="str" cm="1">
        <f t="array" ref="O16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79" spans="1:15" x14ac:dyDescent="0.3">
      <c r="A1679" t="s">
        <v>1775</v>
      </c>
      <c r="B1679" t="s">
        <v>36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86</v>
      </c>
      <c r="I1679" t="s">
        <v>15</v>
      </c>
      <c r="J1679">
        <v>2</v>
      </c>
      <c r="K1679" t="s">
        <v>16</v>
      </c>
      <c r="L1679" t="s">
        <v>21</v>
      </c>
      <c r="M1679">
        <f>orders[[#This Row],[Ship Date]]-orders[[#This Row],[Order Date]]</f>
        <v>3</v>
      </c>
      <c r="N1679">
        <f>WEEKNUM(orders[[#This Row],[Order Date]],2)</f>
        <v>10</v>
      </c>
      <c r="O1679" t="str" cm="1">
        <f t="array" ref="O1679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680" spans="1:15" x14ac:dyDescent="0.3">
      <c r="A1680" t="s">
        <v>1776</v>
      </c>
      <c r="B1680" t="s">
        <v>23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24</v>
      </c>
      <c r="I1680" t="s">
        <v>15</v>
      </c>
      <c r="J1680">
        <v>3</v>
      </c>
      <c r="K1680" t="s">
        <v>16</v>
      </c>
      <c r="L1680" t="s">
        <v>21</v>
      </c>
      <c r="M1680">
        <f>orders[[#This Row],[Ship Date]]-orders[[#This Row],[Order Date]]</f>
        <v>1</v>
      </c>
      <c r="N1680">
        <f>WEEKNUM(orders[[#This Row],[Order Date]],2)</f>
        <v>10</v>
      </c>
      <c r="O1680" t="str" cm="1">
        <f t="array" ref="O16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81" spans="1:15" x14ac:dyDescent="0.3">
      <c r="A1681" t="s">
        <v>1777</v>
      </c>
      <c r="B1681" t="s">
        <v>120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24</v>
      </c>
      <c r="I1681" t="s">
        <v>37</v>
      </c>
      <c r="J1681">
        <v>4</v>
      </c>
      <c r="K1681" t="s">
        <v>16</v>
      </c>
      <c r="L1681" t="s">
        <v>584</v>
      </c>
      <c r="M1681">
        <f>orders[[#This Row],[Ship Date]]-orders[[#This Row],[Order Date]]</f>
        <v>2</v>
      </c>
      <c r="N1681">
        <f>WEEKNUM(orders[[#This Row],[Order Date]],2)</f>
        <v>10</v>
      </c>
      <c r="O1681" t="str" cm="1">
        <f t="array" ref="O16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82" spans="1:15" x14ac:dyDescent="0.3">
      <c r="A1682" t="s">
        <v>1778</v>
      </c>
      <c r="B1682" t="s">
        <v>23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20</v>
      </c>
      <c r="I1682" t="s">
        <v>37</v>
      </c>
      <c r="J1682">
        <v>2</v>
      </c>
      <c r="K1682" t="s">
        <v>16</v>
      </c>
      <c r="L1682" t="s">
        <v>144</v>
      </c>
      <c r="M1682">
        <f>orders[[#This Row],[Ship Date]]-orders[[#This Row],[Order Date]]</f>
        <v>1</v>
      </c>
      <c r="N1682">
        <f>WEEKNUM(orders[[#This Row],[Order Date]],2)</f>
        <v>10</v>
      </c>
      <c r="O1682" t="str" cm="1">
        <f t="array" ref="O16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83" spans="1:15" x14ac:dyDescent="0.3">
      <c r="A1683" t="s">
        <v>1779</v>
      </c>
      <c r="B1683" t="s">
        <v>19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24</v>
      </c>
      <c r="I1683" t="s">
        <v>15</v>
      </c>
      <c r="J1683">
        <v>3</v>
      </c>
      <c r="K1683" t="s">
        <v>16</v>
      </c>
      <c r="L1683" t="s">
        <v>144</v>
      </c>
      <c r="M1683">
        <f>orders[[#This Row],[Ship Date]]-orders[[#This Row],[Order Date]]</f>
        <v>2</v>
      </c>
      <c r="N1683">
        <f>WEEKNUM(orders[[#This Row],[Order Date]],2)</f>
        <v>10</v>
      </c>
      <c r="O1683" t="str" cm="1">
        <f t="array" ref="O16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84" spans="1:15" x14ac:dyDescent="0.3">
      <c r="A1684" t="s">
        <v>1780</v>
      </c>
      <c r="B1684" t="s">
        <v>19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20</v>
      </c>
      <c r="I1684" t="s">
        <v>37</v>
      </c>
      <c r="J1684">
        <v>3</v>
      </c>
      <c r="K1684" t="s">
        <v>16</v>
      </c>
      <c r="L1684" t="s">
        <v>30</v>
      </c>
      <c r="M1684">
        <f>orders[[#This Row],[Ship Date]]-orders[[#This Row],[Order Date]]</f>
        <v>1</v>
      </c>
      <c r="N1684">
        <f>WEEKNUM(orders[[#This Row],[Order Date]],2)</f>
        <v>10</v>
      </c>
      <c r="O1684" t="str" cm="1">
        <f t="array" ref="O16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85" spans="1:15" x14ac:dyDescent="0.3">
      <c r="A1685" t="s">
        <v>1781</v>
      </c>
      <c r="B1685" t="s">
        <v>36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24</v>
      </c>
      <c r="I1685" t="s">
        <v>15</v>
      </c>
      <c r="J1685">
        <v>3</v>
      </c>
      <c r="K1685" t="s">
        <v>16</v>
      </c>
      <c r="L1685" t="s">
        <v>30</v>
      </c>
      <c r="M1685">
        <f>orders[[#This Row],[Ship Date]]-orders[[#This Row],[Order Date]]</f>
        <v>14</v>
      </c>
      <c r="N1685">
        <f>WEEKNUM(orders[[#This Row],[Order Date]],2)</f>
        <v>10</v>
      </c>
      <c r="O1685" t="str" cm="1">
        <f t="array" ref="O16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86" spans="1:15" x14ac:dyDescent="0.3">
      <c r="A1686" t="s">
        <v>1782</v>
      </c>
      <c r="B1686" t="s">
        <v>23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24</v>
      </c>
      <c r="I1686" t="s">
        <v>15</v>
      </c>
      <c r="J1686">
        <v>4</v>
      </c>
      <c r="K1686" t="s">
        <v>16</v>
      </c>
      <c r="L1686" t="s">
        <v>30</v>
      </c>
      <c r="M1686">
        <f>orders[[#This Row],[Ship Date]]-orders[[#This Row],[Order Date]]</f>
        <v>1</v>
      </c>
      <c r="N1686">
        <f>WEEKNUM(orders[[#This Row],[Order Date]],2)</f>
        <v>10</v>
      </c>
      <c r="O1686" t="str" cm="1">
        <f t="array" ref="O16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87" spans="1:15" x14ac:dyDescent="0.3">
      <c r="A1687" t="s">
        <v>1783</v>
      </c>
      <c r="B1687" t="s">
        <v>41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14</v>
      </c>
      <c r="I1687" t="s">
        <v>32</v>
      </c>
      <c r="J1687">
        <v>4</v>
      </c>
      <c r="K1687" t="s">
        <v>16</v>
      </c>
      <c r="L1687" t="s">
        <v>30</v>
      </c>
      <c r="M1687">
        <f>orders[[#This Row],[Ship Date]]-orders[[#This Row],[Order Date]]</f>
        <v>1</v>
      </c>
      <c r="N1687">
        <f>WEEKNUM(orders[[#This Row],[Order Date]],2)</f>
        <v>10</v>
      </c>
      <c r="O1687" t="str" cm="1">
        <f t="array" ref="O168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688" spans="1:15" x14ac:dyDescent="0.3">
      <c r="A1688" t="s">
        <v>1784</v>
      </c>
      <c r="B1688" t="s">
        <v>36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24</v>
      </c>
      <c r="I1688" t="s">
        <v>32</v>
      </c>
      <c r="J1688">
        <v>3</v>
      </c>
      <c r="K1688" t="s">
        <v>16</v>
      </c>
      <c r="L1688" t="s">
        <v>30</v>
      </c>
      <c r="M1688">
        <f>orders[[#This Row],[Ship Date]]-orders[[#This Row],[Order Date]]</f>
        <v>1</v>
      </c>
      <c r="N1688">
        <f>WEEKNUM(orders[[#This Row],[Order Date]],2)</f>
        <v>10</v>
      </c>
      <c r="O1688" t="str" cm="1">
        <f t="array" ref="O16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89" spans="1:15" x14ac:dyDescent="0.3">
      <c r="A1689" t="s">
        <v>1785</v>
      </c>
      <c r="B1689" t="s">
        <v>41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24</v>
      </c>
      <c r="I1689" t="s">
        <v>15</v>
      </c>
      <c r="J1689">
        <v>3</v>
      </c>
      <c r="K1689" t="s">
        <v>16</v>
      </c>
      <c r="L1689" t="s">
        <v>30</v>
      </c>
      <c r="M1689">
        <f>orders[[#This Row],[Ship Date]]-orders[[#This Row],[Order Date]]</f>
        <v>2</v>
      </c>
      <c r="N1689">
        <f>WEEKNUM(orders[[#This Row],[Order Date]],2)</f>
        <v>10</v>
      </c>
      <c r="O1689" t="str" cm="1">
        <f t="array" ref="O16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0" spans="1:15" x14ac:dyDescent="0.3">
      <c r="A1690" t="s">
        <v>1786</v>
      </c>
      <c r="B1690" t="s">
        <v>41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24</v>
      </c>
      <c r="I1690" t="s">
        <v>37</v>
      </c>
      <c r="J1690">
        <v>4</v>
      </c>
      <c r="K1690" t="s">
        <v>16</v>
      </c>
      <c r="L1690" t="s">
        <v>30</v>
      </c>
      <c r="M1690">
        <f>orders[[#This Row],[Ship Date]]-orders[[#This Row],[Order Date]]</f>
        <v>1</v>
      </c>
      <c r="N1690">
        <f>WEEKNUM(orders[[#This Row],[Order Date]],2)</f>
        <v>10</v>
      </c>
      <c r="O1690" t="str" cm="1">
        <f t="array" ref="O16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1" spans="1:15" x14ac:dyDescent="0.3">
      <c r="A1691" t="s">
        <v>1787</v>
      </c>
      <c r="B1691" t="s">
        <v>125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24</v>
      </c>
      <c r="I1691" t="s">
        <v>32</v>
      </c>
      <c r="J1691">
        <v>5</v>
      </c>
      <c r="K1691" t="s">
        <v>16</v>
      </c>
      <c r="L1691" t="s">
        <v>30</v>
      </c>
      <c r="M1691">
        <f>orders[[#This Row],[Ship Date]]-orders[[#This Row],[Order Date]]</f>
        <v>1</v>
      </c>
      <c r="N1691">
        <f>WEEKNUM(orders[[#This Row],[Order Date]],2)</f>
        <v>10</v>
      </c>
      <c r="O1691" t="str" cm="1">
        <f t="array" ref="O16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2" spans="1:15" x14ac:dyDescent="0.3">
      <c r="A1692" t="s">
        <v>1788</v>
      </c>
      <c r="B1692" t="s">
        <v>19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24</v>
      </c>
      <c r="I1692" t="s">
        <v>15</v>
      </c>
      <c r="J1692">
        <v>2</v>
      </c>
      <c r="K1692" t="s">
        <v>16</v>
      </c>
      <c r="L1692" t="s">
        <v>413</v>
      </c>
      <c r="M1692">
        <f>orders[[#This Row],[Ship Date]]-orders[[#This Row],[Order Date]]</f>
        <v>3</v>
      </c>
      <c r="N1692">
        <f>WEEKNUM(orders[[#This Row],[Order Date]],2)</f>
        <v>10</v>
      </c>
      <c r="O1692" t="str" cm="1">
        <f t="array" ref="O16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3" spans="1:15" x14ac:dyDescent="0.3">
      <c r="A1693" t="s">
        <v>1789</v>
      </c>
      <c r="B1693" t="s">
        <v>36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24</v>
      </c>
      <c r="I1693" t="s">
        <v>32</v>
      </c>
      <c r="J1693">
        <v>4</v>
      </c>
      <c r="K1693" t="s">
        <v>16</v>
      </c>
      <c r="L1693" t="s">
        <v>56</v>
      </c>
      <c r="M1693">
        <f>orders[[#This Row],[Ship Date]]-orders[[#This Row],[Order Date]]</f>
        <v>4</v>
      </c>
      <c r="N1693">
        <f>WEEKNUM(orders[[#This Row],[Order Date]],2)</f>
        <v>10</v>
      </c>
      <c r="O1693" t="str" cm="1">
        <f t="array" ref="O16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4" spans="1:15" x14ac:dyDescent="0.3">
      <c r="A1694" t="s">
        <v>1790</v>
      </c>
      <c r="B1694" t="s">
        <v>36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20</v>
      </c>
      <c r="I1694" t="s">
        <v>32</v>
      </c>
      <c r="J1694">
        <v>4</v>
      </c>
      <c r="K1694" t="s">
        <v>16</v>
      </c>
      <c r="L1694" t="s">
        <v>56</v>
      </c>
      <c r="M1694">
        <f>orders[[#This Row],[Ship Date]]-orders[[#This Row],[Order Date]]</f>
        <v>2</v>
      </c>
      <c r="N1694">
        <f>WEEKNUM(orders[[#This Row],[Order Date]],2)</f>
        <v>10</v>
      </c>
      <c r="O1694" t="str" cm="1">
        <f t="array" ref="O16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95" spans="1:15" x14ac:dyDescent="0.3">
      <c r="A1695" t="s">
        <v>1791</v>
      </c>
      <c r="B1695" t="s">
        <v>51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24</v>
      </c>
      <c r="I1695" t="s">
        <v>15</v>
      </c>
      <c r="J1695">
        <v>4</v>
      </c>
      <c r="K1695" t="s">
        <v>16</v>
      </c>
      <c r="L1695" t="s">
        <v>56</v>
      </c>
      <c r="M1695">
        <f>orders[[#This Row],[Ship Date]]-orders[[#This Row],[Order Date]]</f>
        <v>1</v>
      </c>
      <c r="N1695">
        <f>WEEKNUM(orders[[#This Row],[Order Date]],2)</f>
        <v>10</v>
      </c>
      <c r="O1695" t="str" cm="1">
        <f t="array" ref="O16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6" spans="1:15" x14ac:dyDescent="0.3">
      <c r="A1696" t="s">
        <v>1792</v>
      </c>
      <c r="B1696" t="s">
        <v>36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24</v>
      </c>
      <c r="I1696" t="s">
        <v>32</v>
      </c>
      <c r="J1696">
        <v>4</v>
      </c>
      <c r="K1696" t="s">
        <v>16</v>
      </c>
      <c r="L1696" t="s">
        <v>59</v>
      </c>
      <c r="M1696">
        <f>orders[[#This Row],[Ship Date]]-orders[[#This Row],[Order Date]]</f>
        <v>3</v>
      </c>
      <c r="N1696">
        <f>WEEKNUM(orders[[#This Row],[Order Date]],2)</f>
        <v>10</v>
      </c>
      <c r="O1696" t="str" cm="1">
        <f t="array" ref="O16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7" spans="1:15" x14ac:dyDescent="0.3">
      <c r="A1697" t="s">
        <v>1793</v>
      </c>
      <c r="B1697" t="s">
        <v>120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20</v>
      </c>
      <c r="I1697" t="s">
        <v>67</v>
      </c>
      <c r="J1697">
        <v>4</v>
      </c>
      <c r="K1697" t="s">
        <v>16</v>
      </c>
      <c r="L1697" t="s">
        <v>59</v>
      </c>
      <c r="M1697">
        <f>orders[[#This Row],[Ship Date]]-orders[[#This Row],[Order Date]]</f>
        <v>0</v>
      </c>
      <c r="N1697">
        <f>WEEKNUM(orders[[#This Row],[Order Date]],2)</f>
        <v>10</v>
      </c>
      <c r="O1697" t="str" cm="1">
        <f t="array" ref="O16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698" spans="1:15" x14ac:dyDescent="0.3">
      <c r="A1698" t="s">
        <v>1794</v>
      </c>
      <c r="B1698" t="s">
        <v>41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24</v>
      </c>
      <c r="I1698" t="s">
        <v>37</v>
      </c>
      <c r="J1698">
        <v>4</v>
      </c>
      <c r="K1698" t="s">
        <v>16</v>
      </c>
      <c r="L1698" t="s">
        <v>59</v>
      </c>
      <c r="M1698">
        <f>orders[[#This Row],[Ship Date]]-orders[[#This Row],[Order Date]]</f>
        <v>2</v>
      </c>
      <c r="N1698">
        <f>WEEKNUM(orders[[#This Row],[Order Date]],2)</f>
        <v>10</v>
      </c>
      <c r="O1698" t="str" cm="1">
        <f t="array" ref="O16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699" spans="1:15" x14ac:dyDescent="0.3">
      <c r="A1699" t="s">
        <v>1795</v>
      </c>
      <c r="B1699" t="s">
        <v>34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20</v>
      </c>
      <c r="I1699" t="s">
        <v>32</v>
      </c>
      <c r="J1699">
        <v>5</v>
      </c>
      <c r="K1699" t="s">
        <v>16</v>
      </c>
      <c r="L1699" t="s">
        <v>59</v>
      </c>
      <c r="M1699">
        <f>orders[[#This Row],[Ship Date]]-orders[[#This Row],[Order Date]]</f>
        <v>2</v>
      </c>
      <c r="N1699">
        <f>WEEKNUM(orders[[#This Row],[Order Date]],2)</f>
        <v>10</v>
      </c>
      <c r="O1699" t="str" cm="1">
        <f t="array" ref="O16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00" spans="1:15" x14ac:dyDescent="0.3">
      <c r="A1700" t="s">
        <v>1796</v>
      </c>
      <c r="B1700" t="s">
        <v>43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24</v>
      </c>
      <c r="I1700" t="s">
        <v>48</v>
      </c>
      <c r="J1700">
        <v>4</v>
      </c>
      <c r="K1700" t="s">
        <v>16</v>
      </c>
      <c r="L1700" t="s">
        <v>59</v>
      </c>
      <c r="M1700">
        <f>orders[[#This Row],[Ship Date]]-orders[[#This Row],[Order Date]]</f>
        <v>6</v>
      </c>
      <c r="N1700">
        <f>WEEKNUM(orders[[#This Row],[Order Date]],2)</f>
        <v>10</v>
      </c>
      <c r="O1700" t="str" cm="1">
        <f t="array" ref="O17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01" spans="1:15" x14ac:dyDescent="0.3">
      <c r="A1701" t="s">
        <v>1797</v>
      </c>
      <c r="B1701" t="s">
        <v>41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24</v>
      </c>
      <c r="I1701" t="s">
        <v>37</v>
      </c>
      <c r="J1701">
        <v>5</v>
      </c>
      <c r="K1701" t="s">
        <v>16</v>
      </c>
      <c r="L1701" t="s">
        <v>59</v>
      </c>
      <c r="M1701">
        <f>orders[[#This Row],[Ship Date]]-orders[[#This Row],[Order Date]]</f>
        <v>2</v>
      </c>
      <c r="N1701">
        <f>WEEKNUM(orders[[#This Row],[Order Date]],2)</f>
        <v>10</v>
      </c>
      <c r="O1701" t="str" cm="1">
        <f t="array" ref="O17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02" spans="1:15" x14ac:dyDescent="0.3">
      <c r="A1702" t="s">
        <v>1798</v>
      </c>
      <c r="B1702" t="s">
        <v>36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24</v>
      </c>
      <c r="I1702" t="s">
        <v>32</v>
      </c>
      <c r="J1702">
        <v>5</v>
      </c>
      <c r="K1702" t="s">
        <v>16</v>
      </c>
      <c r="L1702" t="s">
        <v>100</v>
      </c>
      <c r="M1702">
        <f>orders[[#This Row],[Ship Date]]-orders[[#This Row],[Order Date]]</f>
        <v>1</v>
      </c>
      <c r="N1702">
        <f>WEEKNUM(orders[[#This Row],[Order Date]],2)</f>
        <v>10</v>
      </c>
      <c r="O1702" t="str" cm="1">
        <f t="array" ref="O17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03" spans="1:15" x14ac:dyDescent="0.3">
      <c r="A1703" t="s">
        <v>1799</v>
      </c>
      <c r="B1703" t="s">
        <v>19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20</v>
      </c>
      <c r="I1703" t="s">
        <v>32</v>
      </c>
      <c r="J1703">
        <v>4</v>
      </c>
      <c r="K1703" t="s">
        <v>16</v>
      </c>
      <c r="L1703" t="s">
        <v>74</v>
      </c>
      <c r="M1703">
        <f>orders[[#This Row],[Ship Date]]-orders[[#This Row],[Order Date]]</f>
        <v>4</v>
      </c>
      <c r="N1703">
        <f>WEEKNUM(orders[[#This Row],[Order Date]],2)</f>
        <v>10</v>
      </c>
      <c r="O1703" t="str" cm="1">
        <f t="array" ref="O17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04" spans="1:15" x14ac:dyDescent="0.3">
      <c r="A1704" t="s">
        <v>1800</v>
      </c>
      <c r="B1704" t="s">
        <v>143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20</v>
      </c>
      <c r="I1704" t="s">
        <v>37</v>
      </c>
      <c r="J1704">
        <v>4</v>
      </c>
      <c r="K1704" t="s">
        <v>16</v>
      </c>
      <c r="L1704" t="s">
        <v>240</v>
      </c>
      <c r="M1704">
        <f>orders[[#This Row],[Ship Date]]-orders[[#This Row],[Order Date]]</f>
        <v>1</v>
      </c>
      <c r="N1704">
        <f>WEEKNUM(orders[[#This Row],[Order Date]],2)</f>
        <v>10</v>
      </c>
      <c r="O1704" t="str" cm="1">
        <f t="array" ref="O17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05" spans="1:15" x14ac:dyDescent="0.3">
      <c r="A1705" t="s">
        <v>1801</v>
      </c>
      <c r="B1705" t="s">
        <v>13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24</v>
      </c>
      <c r="I1705" t="s">
        <v>67</v>
      </c>
      <c r="J1705">
        <v>4</v>
      </c>
      <c r="K1705" t="s">
        <v>16</v>
      </c>
      <c r="L1705" t="s">
        <v>112</v>
      </c>
      <c r="M1705">
        <f>orders[[#This Row],[Ship Date]]-orders[[#This Row],[Order Date]]</f>
        <v>1</v>
      </c>
      <c r="N1705">
        <f>WEEKNUM(orders[[#This Row],[Order Date]],2)</f>
        <v>10</v>
      </c>
      <c r="O1705" t="str" cm="1">
        <f t="array" ref="O17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06" spans="1:15" x14ac:dyDescent="0.3">
      <c r="A1706" t="s">
        <v>1802</v>
      </c>
      <c r="B1706" t="s">
        <v>13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24</v>
      </c>
      <c r="I1706" t="s">
        <v>32</v>
      </c>
      <c r="J1706">
        <v>4</v>
      </c>
      <c r="K1706" t="s">
        <v>16</v>
      </c>
      <c r="L1706" t="s">
        <v>21</v>
      </c>
      <c r="M1706">
        <f>orders[[#This Row],[Ship Date]]-orders[[#This Row],[Order Date]]</f>
        <v>1</v>
      </c>
      <c r="N1706">
        <f>WEEKNUM(orders[[#This Row],[Order Date]],2)</f>
        <v>10</v>
      </c>
      <c r="O1706" t="str" cm="1">
        <f t="array" ref="O17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07" spans="1:15" x14ac:dyDescent="0.3">
      <c r="A1707" t="s">
        <v>1803</v>
      </c>
      <c r="B1707" t="s">
        <v>36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24</v>
      </c>
      <c r="I1707" t="s">
        <v>37</v>
      </c>
      <c r="J1707">
        <v>4</v>
      </c>
      <c r="K1707" t="s">
        <v>16</v>
      </c>
      <c r="L1707" t="s">
        <v>25</v>
      </c>
      <c r="M1707">
        <f>orders[[#This Row],[Ship Date]]-orders[[#This Row],[Order Date]]</f>
        <v>3</v>
      </c>
      <c r="N1707">
        <f>WEEKNUM(orders[[#This Row],[Order Date]],2)</f>
        <v>10</v>
      </c>
      <c r="O1707" t="str" cm="1">
        <f t="array" ref="O17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08" spans="1:15" x14ac:dyDescent="0.3">
      <c r="A1708" t="s">
        <v>1804</v>
      </c>
      <c r="B1708" t="s">
        <v>34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20</v>
      </c>
      <c r="I1708" t="s">
        <v>15</v>
      </c>
      <c r="J1708">
        <v>5</v>
      </c>
      <c r="K1708" t="s">
        <v>16</v>
      </c>
      <c r="L1708" t="s">
        <v>946</v>
      </c>
      <c r="M1708">
        <f>orders[[#This Row],[Ship Date]]-orders[[#This Row],[Order Date]]</f>
        <v>1</v>
      </c>
      <c r="N1708">
        <f>WEEKNUM(orders[[#This Row],[Order Date]],2)</f>
        <v>10</v>
      </c>
      <c r="O1708" t="str" cm="1">
        <f t="array" ref="O17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09" spans="1:15" x14ac:dyDescent="0.3">
      <c r="A1709" t="s">
        <v>1805</v>
      </c>
      <c r="B1709" t="s">
        <v>36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24</v>
      </c>
      <c r="I1709" t="s">
        <v>37</v>
      </c>
      <c r="J1709">
        <v>3</v>
      </c>
      <c r="K1709" t="s">
        <v>16</v>
      </c>
      <c r="L1709" t="s">
        <v>30</v>
      </c>
      <c r="M1709">
        <f>orders[[#This Row],[Ship Date]]-orders[[#This Row],[Order Date]]</f>
        <v>1</v>
      </c>
      <c r="N1709">
        <f>WEEKNUM(orders[[#This Row],[Order Date]],2)</f>
        <v>10</v>
      </c>
      <c r="O1709" t="str" cm="1">
        <f t="array" ref="O17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10" spans="1:15" x14ac:dyDescent="0.3">
      <c r="A1710" t="s">
        <v>1806</v>
      </c>
      <c r="B1710" t="s">
        <v>51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24</v>
      </c>
      <c r="I1710" t="s">
        <v>15</v>
      </c>
      <c r="J1710">
        <v>4</v>
      </c>
      <c r="K1710" t="s">
        <v>16</v>
      </c>
      <c r="L1710" t="s">
        <v>30</v>
      </c>
      <c r="M1710">
        <f>orders[[#This Row],[Ship Date]]-orders[[#This Row],[Order Date]]</f>
        <v>4</v>
      </c>
      <c r="N1710">
        <f>WEEKNUM(orders[[#This Row],[Order Date]],2)</f>
        <v>10</v>
      </c>
      <c r="O1710" t="str" cm="1">
        <f t="array" ref="O17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11" spans="1:15" x14ac:dyDescent="0.3">
      <c r="A1711" t="s">
        <v>1807</v>
      </c>
      <c r="B1711" t="s">
        <v>36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24</v>
      </c>
      <c r="I1711" t="s">
        <v>48</v>
      </c>
      <c r="J1711">
        <v>4</v>
      </c>
      <c r="K1711" t="s">
        <v>16</v>
      </c>
      <c r="L1711" t="s">
        <v>30</v>
      </c>
      <c r="M1711">
        <f>orders[[#This Row],[Ship Date]]-orders[[#This Row],[Order Date]]</f>
        <v>2</v>
      </c>
      <c r="N1711">
        <f>WEEKNUM(orders[[#This Row],[Order Date]],2)</f>
        <v>10</v>
      </c>
      <c r="O1711" t="str" cm="1">
        <f t="array" ref="O17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12" spans="1:15" x14ac:dyDescent="0.3">
      <c r="A1712" t="s">
        <v>1808</v>
      </c>
      <c r="B1712" t="s">
        <v>23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20</v>
      </c>
      <c r="I1712" t="s">
        <v>15</v>
      </c>
      <c r="J1712">
        <v>3</v>
      </c>
      <c r="K1712" t="s">
        <v>16</v>
      </c>
      <c r="L1712" t="s">
        <v>30</v>
      </c>
      <c r="M1712">
        <f>orders[[#This Row],[Ship Date]]-orders[[#This Row],[Order Date]]</f>
        <v>1</v>
      </c>
      <c r="N1712">
        <f>WEEKNUM(orders[[#This Row],[Order Date]],2)</f>
        <v>10</v>
      </c>
      <c r="O1712" t="str" cm="1">
        <f t="array" ref="O17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13" spans="1:15" x14ac:dyDescent="0.3">
      <c r="A1713" t="s">
        <v>1809</v>
      </c>
      <c r="B1713" t="s">
        <v>27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20</v>
      </c>
      <c r="I1713" t="s">
        <v>15</v>
      </c>
      <c r="J1713">
        <v>4</v>
      </c>
      <c r="K1713" t="s">
        <v>16</v>
      </c>
      <c r="L1713" t="s">
        <v>30</v>
      </c>
      <c r="M1713">
        <f>orders[[#This Row],[Ship Date]]-orders[[#This Row],[Order Date]]</f>
        <v>1</v>
      </c>
      <c r="N1713">
        <f>WEEKNUM(orders[[#This Row],[Order Date]],2)</f>
        <v>10</v>
      </c>
      <c r="O1713" t="str" cm="1">
        <f t="array" ref="O171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14" spans="1:15" x14ac:dyDescent="0.3">
      <c r="A1714" t="s">
        <v>1810</v>
      </c>
      <c r="B1714" t="s">
        <v>36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24</v>
      </c>
      <c r="I1714" t="s">
        <v>37</v>
      </c>
      <c r="J1714">
        <v>5</v>
      </c>
      <c r="K1714" t="s">
        <v>16</v>
      </c>
      <c r="L1714" t="s">
        <v>30</v>
      </c>
      <c r="M1714">
        <f>orders[[#This Row],[Ship Date]]-orders[[#This Row],[Order Date]]</f>
        <v>1</v>
      </c>
      <c r="N1714">
        <f>WEEKNUM(orders[[#This Row],[Order Date]],2)</f>
        <v>10</v>
      </c>
      <c r="O1714" t="str" cm="1">
        <f t="array" ref="O17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15" spans="1:15" x14ac:dyDescent="0.3">
      <c r="A1715" t="s">
        <v>1811</v>
      </c>
      <c r="B1715" t="s">
        <v>39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20</v>
      </c>
      <c r="I1715" t="s">
        <v>67</v>
      </c>
      <c r="J1715">
        <v>4</v>
      </c>
      <c r="K1715" t="s">
        <v>16</v>
      </c>
      <c r="L1715" t="s">
        <v>30</v>
      </c>
      <c r="M1715">
        <f>orders[[#This Row],[Ship Date]]-orders[[#This Row],[Order Date]]</f>
        <v>1</v>
      </c>
      <c r="N1715">
        <f>WEEKNUM(orders[[#This Row],[Order Date]],2)</f>
        <v>10</v>
      </c>
      <c r="O1715" t="str" cm="1">
        <f t="array" ref="O171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16" spans="1:15" x14ac:dyDescent="0.3">
      <c r="A1716" t="s">
        <v>1812</v>
      </c>
      <c r="B1716" t="s">
        <v>41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24</v>
      </c>
      <c r="I1716" t="s">
        <v>32</v>
      </c>
      <c r="J1716">
        <v>5</v>
      </c>
      <c r="K1716" t="s">
        <v>16</v>
      </c>
      <c r="L1716" t="s">
        <v>255</v>
      </c>
      <c r="M1716">
        <f>orders[[#This Row],[Ship Date]]-orders[[#This Row],[Order Date]]</f>
        <v>7</v>
      </c>
      <c r="N1716">
        <f>WEEKNUM(orders[[#This Row],[Order Date]],2)</f>
        <v>10</v>
      </c>
      <c r="O1716" t="str" cm="1">
        <f t="array" ref="O17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17" spans="1:15" x14ac:dyDescent="0.3">
      <c r="A1717" t="s">
        <v>1813</v>
      </c>
      <c r="B1717" t="s">
        <v>23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20</v>
      </c>
      <c r="I1717" t="s">
        <v>32</v>
      </c>
      <c r="J1717">
        <v>5</v>
      </c>
      <c r="K1717" t="s">
        <v>16</v>
      </c>
      <c r="L1717" t="s">
        <v>95</v>
      </c>
      <c r="M1717">
        <f>orders[[#This Row],[Ship Date]]-orders[[#This Row],[Order Date]]</f>
        <v>3</v>
      </c>
      <c r="N1717">
        <f>WEEKNUM(orders[[#This Row],[Order Date]],2)</f>
        <v>10</v>
      </c>
      <c r="O1717" t="str" cm="1">
        <f t="array" ref="O171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18" spans="1:15" x14ac:dyDescent="0.3">
      <c r="A1718" t="s">
        <v>1814</v>
      </c>
      <c r="B1718" t="s">
        <v>120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24</v>
      </c>
      <c r="I1718" t="s">
        <v>48</v>
      </c>
      <c r="J1718">
        <v>4</v>
      </c>
      <c r="K1718" t="s">
        <v>16</v>
      </c>
      <c r="L1718" t="s">
        <v>185</v>
      </c>
      <c r="M1718">
        <f>orders[[#This Row],[Ship Date]]-orders[[#This Row],[Order Date]]</f>
        <v>1</v>
      </c>
      <c r="N1718">
        <f>WEEKNUM(orders[[#This Row],[Order Date]],2)</f>
        <v>10</v>
      </c>
      <c r="O1718" t="str" cm="1">
        <f t="array" ref="O17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19" spans="1:15" x14ac:dyDescent="0.3">
      <c r="A1719" t="s">
        <v>1815</v>
      </c>
      <c r="B1719" t="s">
        <v>29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24</v>
      </c>
      <c r="I1719" t="s">
        <v>15</v>
      </c>
      <c r="J1719">
        <v>3</v>
      </c>
      <c r="K1719" t="s">
        <v>16</v>
      </c>
      <c r="L1719" t="s">
        <v>52</v>
      </c>
      <c r="M1719">
        <f>orders[[#This Row],[Ship Date]]-orders[[#This Row],[Order Date]]</f>
        <v>1</v>
      </c>
      <c r="N1719">
        <f>WEEKNUM(orders[[#This Row],[Order Date]],2)</f>
        <v>10</v>
      </c>
      <c r="O1719" t="str" cm="1">
        <f t="array" ref="O17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20" spans="1:15" x14ac:dyDescent="0.3">
      <c r="A1720" t="s">
        <v>1816</v>
      </c>
      <c r="B1720" t="s">
        <v>36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24</v>
      </c>
      <c r="I1720" t="s">
        <v>48</v>
      </c>
      <c r="J1720">
        <v>5</v>
      </c>
      <c r="K1720" t="s">
        <v>16</v>
      </c>
      <c r="L1720" t="s">
        <v>52</v>
      </c>
      <c r="M1720">
        <f>orders[[#This Row],[Ship Date]]-orders[[#This Row],[Order Date]]</f>
        <v>5</v>
      </c>
      <c r="N1720">
        <f>WEEKNUM(orders[[#This Row],[Order Date]],2)</f>
        <v>10</v>
      </c>
      <c r="O1720" t="str" cm="1">
        <f t="array" ref="O17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21" spans="1:15" x14ac:dyDescent="0.3">
      <c r="A1721" t="s">
        <v>1817</v>
      </c>
      <c r="B1721" t="s">
        <v>36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24</v>
      </c>
      <c r="I1721" t="s">
        <v>15</v>
      </c>
      <c r="J1721">
        <v>4</v>
      </c>
      <c r="K1721" t="s">
        <v>16</v>
      </c>
      <c r="L1721" t="s">
        <v>52</v>
      </c>
      <c r="M1721">
        <f>orders[[#This Row],[Ship Date]]-orders[[#This Row],[Order Date]]</f>
        <v>4</v>
      </c>
      <c r="N1721">
        <f>WEEKNUM(orders[[#This Row],[Order Date]],2)</f>
        <v>10</v>
      </c>
      <c r="O1721" t="str" cm="1">
        <f t="array" ref="O17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22" spans="1:15" x14ac:dyDescent="0.3">
      <c r="A1722" t="s">
        <v>1818</v>
      </c>
      <c r="B1722" t="s">
        <v>66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24</v>
      </c>
      <c r="I1722" t="s">
        <v>67</v>
      </c>
      <c r="J1722">
        <v>4</v>
      </c>
      <c r="K1722" t="s">
        <v>16</v>
      </c>
      <c r="L1722" t="s">
        <v>52</v>
      </c>
      <c r="M1722">
        <f>orders[[#This Row],[Ship Date]]-orders[[#This Row],[Order Date]]</f>
        <v>3</v>
      </c>
      <c r="N1722">
        <f>WEEKNUM(orders[[#This Row],[Order Date]],2)</f>
        <v>10</v>
      </c>
      <c r="O1722" t="str" cm="1">
        <f t="array" ref="O17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23" spans="1:15" x14ac:dyDescent="0.3">
      <c r="A1723" t="s">
        <v>1819</v>
      </c>
      <c r="B1723" t="s">
        <v>36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20</v>
      </c>
      <c r="I1723" t="s">
        <v>48</v>
      </c>
      <c r="J1723">
        <v>4</v>
      </c>
      <c r="K1723" t="s">
        <v>16</v>
      </c>
      <c r="L1723" t="s">
        <v>59</v>
      </c>
      <c r="M1723">
        <f>orders[[#This Row],[Ship Date]]-orders[[#This Row],[Order Date]]</f>
        <v>0</v>
      </c>
      <c r="N1723">
        <f>WEEKNUM(orders[[#This Row],[Order Date]],2)</f>
        <v>10</v>
      </c>
      <c r="O1723" t="str" cm="1">
        <f t="array" ref="O17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24" spans="1:15" x14ac:dyDescent="0.3">
      <c r="A1724" t="s">
        <v>1820</v>
      </c>
      <c r="B1724" t="s">
        <v>19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24</v>
      </c>
      <c r="I1724" t="s">
        <v>32</v>
      </c>
      <c r="J1724">
        <v>5</v>
      </c>
      <c r="K1724" t="s">
        <v>16</v>
      </c>
      <c r="L1724" t="s">
        <v>59</v>
      </c>
      <c r="M1724">
        <f>orders[[#This Row],[Ship Date]]-orders[[#This Row],[Order Date]]</f>
        <v>3</v>
      </c>
      <c r="N1724">
        <f>WEEKNUM(orders[[#This Row],[Order Date]],2)</f>
        <v>10</v>
      </c>
      <c r="O1724" t="str" cm="1">
        <f t="array" ref="O17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25" spans="1:15" x14ac:dyDescent="0.3">
      <c r="A1725" t="s">
        <v>1821</v>
      </c>
      <c r="B1725" t="s">
        <v>13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20</v>
      </c>
      <c r="I1725" t="s">
        <v>15</v>
      </c>
      <c r="J1725">
        <v>4</v>
      </c>
      <c r="K1725" t="s">
        <v>16</v>
      </c>
      <c r="L1725" t="s">
        <v>59</v>
      </c>
      <c r="M1725">
        <f>orders[[#This Row],[Ship Date]]-orders[[#This Row],[Order Date]]</f>
        <v>1</v>
      </c>
      <c r="N1725">
        <f>WEEKNUM(orders[[#This Row],[Order Date]],2)</f>
        <v>10</v>
      </c>
      <c r="O1725" t="str" cm="1">
        <f t="array" ref="O17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26" spans="1:15" x14ac:dyDescent="0.3">
      <c r="A1726" t="s">
        <v>1822</v>
      </c>
      <c r="B1726" t="s">
        <v>29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24</v>
      </c>
      <c r="I1726" t="s">
        <v>32</v>
      </c>
      <c r="J1726">
        <v>5</v>
      </c>
      <c r="K1726" t="s">
        <v>16</v>
      </c>
      <c r="L1726" t="s">
        <v>69</v>
      </c>
      <c r="M1726">
        <f>orders[[#This Row],[Ship Date]]-orders[[#This Row],[Order Date]]</f>
        <v>2</v>
      </c>
      <c r="N1726">
        <f>WEEKNUM(orders[[#This Row],[Order Date]],2)</f>
        <v>10</v>
      </c>
      <c r="O1726" t="str" cm="1">
        <f t="array" ref="O17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27" spans="1:15" x14ac:dyDescent="0.3">
      <c r="A1727" t="s">
        <v>1823</v>
      </c>
      <c r="B1727" t="s">
        <v>66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86</v>
      </c>
      <c r="I1727" t="s">
        <v>15</v>
      </c>
      <c r="J1727">
        <v>5</v>
      </c>
      <c r="K1727" t="s">
        <v>16</v>
      </c>
      <c r="L1727" t="s">
        <v>71</v>
      </c>
      <c r="M1727">
        <f>orders[[#This Row],[Ship Date]]-orders[[#This Row],[Order Date]]</f>
        <v>1</v>
      </c>
      <c r="N1727">
        <f>WEEKNUM(orders[[#This Row],[Order Date]],2)</f>
        <v>10</v>
      </c>
      <c r="O1727" t="str" cm="1">
        <f t="array" ref="O172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728" spans="1:15" x14ac:dyDescent="0.3">
      <c r="A1728" t="s">
        <v>1824</v>
      </c>
      <c r="B1728" t="s">
        <v>41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20</v>
      </c>
      <c r="I1728" t="s">
        <v>15</v>
      </c>
      <c r="J1728">
        <v>5</v>
      </c>
      <c r="K1728" t="s">
        <v>16</v>
      </c>
      <c r="L1728" t="s">
        <v>71</v>
      </c>
      <c r="M1728">
        <f>orders[[#This Row],[Ship Date]]-orders[[#This Row],[Order Date]]</f>
        <v>4</v>
      </c>
      <c r="N1728">
        <f>WEEKNUM(orders[[#This Row],[Order Date]],2)</f>
        <v>10</v>
      </c>
      <c r="O1728" t="str" cm="1">
        <f t="array" ref="O17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29" spans="1:15" x14ac:dyDescent="0.3">
      <c r="A1729" t="s">
        <v>1825</v>
      </c>
      <c r="B1729" t="s">
        <v>125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24</v>
      </c>
      <c r="I1729" t="s">
        <v>15</v>
      </c>
      <c r="J1729">
        <v>4</v>
      </c>
      <c r="K1729" t="s">
        <v>16</v>
      </c>
      <c r="L1729" t="s">
        <v>74</v>
      </c>
      <c r="M1729">
        <f>orders[[#This Row],[Ship Date]]-orders[[#This Row],[Order Date]]</f>
        <v>1</v>
      </c>
      <c r="N1729">
        <f>WEEKNUM(orders[[#This Row],[Order Date]],2)</f>
        <v>10</v>
      </c>
      <c r="O1729" t="str" cm="1">
        <f t="array" ref="O17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30" spans="1:15" x14ac:dyDescent="0.3">
      <c r="A1730" t="s">
        <v>1826</v>
      </c>
      <c r="B1730" t="s">
        <v>66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14</v>
      </c>
      <c r="I1730" t="s">
        <v>15</v>
      </c>
      <c r="J1730">
        <v>4</v>
      </c>
      <c r="K1730" t="s">
        <v>16</v>
      </c>
      <c r="L1730" t="s">
        <v>74</v>
      </c>
      <c r="M1730">
        <f>orders[[#This Row],[Ship Date]]-orders[[#This Row],[Order Date]]</f>
        <v>1</v>
      </c>
      <c r="N1730">
        <f>WEEKNUM(orders[[#This Row],[Order Date]],2)</f>
        <v>10</v>
      </c>
      <c r="O1730" t="str" cm="1">
        <f t="array" ref="O173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731" spans="1:15" x14ac:dyDescent="0.3">
      <c r="A1731" t="s">
        <v>1827</v>
      </c>
      <c r="B1731" t="s">
        <v>43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20</v>
      </c>
      <c r="I1731" t="s">
        <v>37</v>
      </c>
      <c r="J1731">
        <v>3</v>
      </c>
      <c r="K1731" t="s">
        <v>16</v>
      </c>
      <c r="L1731" t="s">
        <v>107</v>
      </c>
      <c r="M1731">
        <f>orders[[#This Row],[Ship Date]]-orders[[#This Row],[Order Date]]</f>
        <v>3</v>
      </c>
      <c r="N1731">
        <f>WEEKNUM(orders[[#This Row],[Order Date]],2)</f>
        <v>10</v>
      </c>
      <c r="O1731" t="str" cm="1">
        <f t="array" ref="O17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32" spans="1:15" x14ac:dyDescent="0.3">
      <c r="A1732" t="s">
        <v>1828</v>
      </c>
      <c r="B1732" t="s">
        <v>51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24</v>
      </c>
      <c r="I1732" t="s">
        <v>15</v>
      </c>
      <c r="J1732">
        <v>4</v>
      </c>
      <c r="K1732" t="s">
        <v>16</v>
      </c>
      <c r="L1732" t="s">
        <v>79</v>
      </c>
      <c r="M1732">
        <f>orders[[#This Row],[Ship Date]]-orders[[#This Row],[Order Date]]</f>
        <v>5</v>
      </c>
      <c r="N1732">
        <f>WEEKNUM(orders[[#This Row],[Order Date]],2)</f>
        <v>10</v>
      </c>
      <c r="O1732" t="str" cm="1">
        <f t="array" ref="O17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33" spans="1:15" x14ac:dyDescent="0.3">
      <c r="A1733" t="s">
        <v>1829</v>
      </c>
      <c r="B1733" t="s">
        <v>13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24</v>
      </c>
      <c r="I1733" t="s">
        <v>48</v>
      </c>
      <c r="J1733">
        <v>2</v>
      </c>
      <c r="K1733" t="s">
        <v>16</v>
      </c>
      <c r="L1733" t="s">
        <v>112</v>
      </c>
      <c r="M1733">
        <f>orders[[#This Row],[Ship Date]]-orders[[#This Row],[Order Date]]</f>
        <v>4</v>
      </c>
      <c r="N1733">
        <f>WEEKNUM(orders[[#This Row],[Order Date]],2)</f>
        <v>10</v>
      </c>
      <c r="O1733" t="str" cm="1">
        <f t="array" ref="O17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34" spans="1:15" x14ac:dyDescent="0.3">
      <c r="A1734" t="s">
        <v>1830</v>
      </c>
      <c r="B1734" t="s">
        <v>43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24</v>
      </c>
      <c r="I1734" t="s">
        <v>15</v>
      </c>
      <c r="J1734">
        <v>3</v>
      </c>
      <c r="K1734" t="s">
        <v>16</v>
      </c>
      <c r="L1734" t="s">
        <v>112</v>
      </c>
      <c r="M1734">
        <f>orders[[#This Row],[Ship Date]]-orders[[#This Row],[Order Date]]</f>
        <v>0</v>
      </c>
      <c r="N1734">
        <f>WEEKNUM(orders[[#This Row],[Order Date]],2)</f>
        <v>10</v>
      </c>
      <c r="O1734" t="str" cm="1">
        <f t="array" ref="O17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35" spans="1:15" x14ac:dyDescent="0.3">
      <c r="A1735" t="s">
        <v>1831</v>
      </c>
      <c r="B1735" t="s">
        <v>39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20</v>
      </c>
      <c r="I1735" t="s">
        <v>32</v>
      </c>
      <c r="J1735">
        <v>4</v>
      </c>
      <c r="K1735" t="s">
        <v>16</v>
      </c>
      <c r="L1735" t="s">
        <v>112</v>
      </c>
      <c r="M1735">
        <f>orders[[#This Row],[Ship Date]]-orders[[#This Row],[Order Date]]</f>
        <v>4</v>
      </c>
      <c r="N1735">
        <f>WEEKNUM(orders[[#This Row],[Order Date]],2)</f>
        <v>10</v>
      </c>
      <c r="O1735" t="str" cm="1">
        <f t="array" ref="O17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36" spans="1:15" x14ac:dyDescent="0.3">
      <c r="A1736" t="s">
        <v>1832</v>
      </c>
      <c r="B1736" t="s">
        <v>34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20</v>
      </c>
      <c r="I1736" t="s">
        <v>32</v>
      </c>
      <c r="J1736">
        <v>5</v>
      </c>
      <c r="K1736" t="s">
        <v>16</v>
      </c>
      <c r="L1736" t="s">
        <v>112</v>
      </c>
      <c r="M1736">
        <f>orders[[#This Row],[Ship Date]]-orders[[#This Row],[Order Date]]</f>
        <v>1</v>
      </c>
      <c r="N1736">
        <f>WEEKNUM(orders[[#This Row],[Order Date]],2)</f>
        <v>10</v>
      </c>
      <c r="O1736" t="str" cm="1">
        <f t="array" ref="O17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37" spans="1:15" x14ac:dyDescent="0.3">
      <c r="A1737" t="s">
        <v>1833</v>
      </c>
      <c r="B1737" t="s">
        <v>19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20</v>
      </c>
      <c r="I1737" t="s">
        <v>37</v>
      </c>
      <c r="J1737">
        <v>5</v>
      </c>
      <c r="K1737" t="s">
        <v>16</v>
      </c>
      <c r="L1737" t="s">
        <v>21</v>
      </c>
      <c r="M1737">
        <f>orders[[#This Row],[Ship Date]]-orders[[#This Row],[Order Date]]</f>
        <v>0</v>
      </c>
      <c r="N1737">
        <f>WEEKNUM(orders[[#This Row],[Order Date]],2)</f>
        <v>10</v>
      </c>
      <c r="O1737" t="str" cm="1">
        <f t="array" ref="O17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38" spans="1:15" x14ac:dyDescent="0.3">
      <c r="A1738" t="s">
        <v>1834</v>
      </c>
      <c r="B1738" t="s">
        <v>43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24</v>
      </c>
      <c r="I1738" t="s">
        <v>37</v>
      </c>
      <c r="J1738">
        <v>4</v>
      </c>
      <c r="K1738" t="s">
        <v>16</v>
      </c>
      <c r="L1738" t="s">
        <v>25</v>
      </c>
      <c r="M1738">
        <f>orders[[#This Row],[Ship Date]]-orders[[#This Row],[Order Date]]</f>
        <v>4</v>
      </c>
      <c r="N1738">
        <f>WEEKNUM(orders[[#This Row],[Order Date]],2)</f>
        <v>10</v>
      </c>
      <c r="O1738" t="str" cm="1">
        <f t="array" ref="O17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39" spans="1:15" x14ac:dyDescent="0.3">
      <c r="A1739" t="s">
        <v>1835</v>
      </c>
      <c r="B1739" t="s">
        <v>19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24</v>
      </c>
      <c r="I1739" t="s">
        <v>37</v>
      </c>
      <c r="J1739">
        <v>4</v>
      </c>
      <c r="K1739" t="s">
        <v>16</v>
      </c>
      <c r="L1739" t="s">
        <v>144</v>
      </c>
      <c r="M1739">
        <f>orders[[#This Row],[Ship Date]]-orders[[#This Row],[Order Date]]</f>
        <v>1</v>
      </c>
      <c r="N1739">
        <f>WEEKNUM(orders[[#This Row],[Order Date]],2)</f>
        <v>10</v>
      </c>
      <c r="O1739" t="str" cm="1">
        <f t="array" ref="O17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40" spans="1:15" x14ac:dyDescent="0.3">
      <c r="A1740" t="s">
        <v>1836</v>
      </c>
      <c r="B1740" t="s">
        <v>41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86</v>
      </c>
      <c r="I1740" t="s">
        <v>15</v>
      </c>
      <c r="J1740">
        <v>4</v>
      </c>
      <c r="K1740" t="s">
        <v>16</v>
      </c>
      <c r="L1740" t="s">
        <v>946</v>
      </c>
      <c r="M1740">
        <f>orders[[#This Row],[Ship Date]]-orders[[#This Row],[Order Date]]</f>
        <v>0</v>
      </c>
      <c r="N1740">
        <f>WEEKNUM(orders[[#This Row],[Order Date]],2)</f>
        <v>10</v>
      </c>
      <c r="O1740" t="str" cm="1">
        <f t="array" ref="O174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741" spans="1:15" x14ac:dyDescent="0.3">
      <c r="A1741" t="s">
        <v>1837</v>
      </c>
      <c r="B1741" t="s">
        <v>132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24</v>
      </c>
      <c r="I1741" t="s">
        <v>37</v>
      </c>
      <c r="J1741">
        <v>3</v>
      </c>
      <c r="K1741" t="s">
        <v>16</v>
      </c>
      <c r="L1741" t="s">
        <v>30</v>
      </c>
      <c r="M1741">
        <f>orders[[#This Row],[Ship Date]]-orders[[#This Row],[Order Date]]</f>
        <v>3</v>
      </c>
      <c r="N1741">
        <f>WEEKNUM(orders[[#This Row],[Order Date]],2)</f>
        <v>10</v>
      </c>
      <c r="O1741" t="str" cm="1">
        <f t="array" ref="O17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42" spans="1:15" x14ac:dyDescent="0.3">
      <c r="A1742" t="s">
        <v>1838</v>
      </c>
      <c r="B1742" t="s">
        <v>34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20</v>
      </c>
      <c r="I1742" t="s">
        <v>48</v>
      </c>
      <c r="J1742">
        <v>5</v>
      </c>
      <c r="K1742" t="s">
        <v>16</v>
      </c>
      <c r="L1742" t="s">
        <v>30</v>
      </c>
      <c r="M1742">
        <f>orders[[#This Row],[Ship Date]]-orders[[#This Row],[Order Date]]</f>
        <v>5</v>
      </c>
      <c r="N1742">
        <f>WEEKNUM(orders[[#This Row],[Order Date]],2)</f>
        <v>10</v>
      </c>
      <c r="O1742" t="str" cm="1">
        <f t="array" ref="O17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43" spans="1:15" x14ac:dyDescent="0.3">
      <c r="A1743" t="s">
        <v>1839</v>
      </c>
      <c r="B1743" t="s">
        <v>36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24</v>
      </c>
      <c r="I1743" t="s">
        <v>37</v>
      </c>
      <c r="J1743">
        <v>5</v>
      </c>
      <c r="K1743" t="s">
        <v>16</v>
      </c>
      <c r="L1743" t="s">
        <v>30</v>
      </c>
      <c r="M1743">
        <f>orders[[#This Row],[Ship Date]]-orders[[#This Row],[Order Date]]</f>
        <v>3</v>
      </c>
      <c r="N1743">
        <f>WEEKNUM(orders[[#This Row],[Order Date]],2)</f>
        <v>10</v>
      </c>
      <c r="O1743" t="str" cm="1">
        <f t="array" ref="O17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44" spans="1:15" x14ac:dyDescent="0.3">
      <c r="A1744" t="s">
        <v>1840</v>
      </c>
      <c r="B1744" t="s">
        <v>143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20</v>
      </c>
      <c r="I1744" t="s">
        <v>15</v>
      </c>
      <c r="J1744">
        <v>5</v>
      </c>
      <c r="K1744" t="s">
        <v>16</v>
      </c>
      <c r="L1744" t="s">
        <v>30</v>
      </c>
      <c r="M1744">
        <f>orders[[#This Row],[Ship Date]]-orders[[#This Row],[Order Date]]</f>
        <v>1</v>
      </c>
      <c r="N1744">
        <f>WEEKNUM(orders[[#This Row],[Order Date]],2)</f>
        <v>10</v>
      </c>
      <c r="O1744" t="str" cm="1">
        <f t="array" ref="O17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45" spans="1:15" x14ac:dyDescent="0.3">
      <c r="A1745" t="s">
        <v>1841</v>
      </c>
      <c r="B1745" t="s">
        <v>64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86</v>
      </c>
      <c r="I1745" t="s">
        <v>15</v>
      </c>
      <c r="J1745">
        <v>2</v>
      </c>
      <c r="K1745" t="s">
        <v>16</v>
      </c>
      <c r="L1745" t="s">
        <v>30</v>
      </c>
      <c r="M1745">
        <f>orders[[#This Row],[Ship Date]]-orders[[#This Row],[Order Date]]</f>
        <v>3</v>
      </c>
      <c r="N1745">
        <f>WEEKNUM(orders[[#This Row],[Order Date]],2)</f>
        <v>10</v>
      </c>
      <c r="O1745" t="str" cm="1">
        <f t="array" ref="O174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746" spans="1:15" x14ac:dyDescent="0.3">
      <c r="A1746" t="s">
        <v>1842</v>
      </c>
      <c r="B1746" t="s">
        <v>41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20</v>
      </c>
      <c r="I1746" t="s">
        <v>15</v>
      </c>
      <c r="J1746">
        <v>4</v>
      </c>
      <c r="K1746" t="s">
        <v>16</v>
      </c>
      <c r="L1746" t="s">
        <v>30</v>
      </c>
      <c r="M1746">
        <f>orders[[#This Row],[Ship Date]]-orders[[#This Row],[Order Date]]</f>
        <v>10</v>
      </c>
      <c r="N1746">
        <f>WEEKNUM(orders[[#This Row],[Order Date]],2)</f>
        <v>10</v>
      </c>
      <c r="O1746" t="str" cm="1">
        <f t="array" ref="O17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47" spans="1:15" x14ac:dyDescent="0.3">
      <c r="A1747" t="s">
        <v>1843</v>
      </c>
      <c r="B1747" t="s">
        <v>27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24</v>
      </c>
      <c r="I1747" t="s">
        <v>15</v>
      </c>
      <c r="J1747">
        <v>5</v>
      </c>
      <c r="K1747" t="s">
        <v>16</v>
      </c>
      <c r="L1747" t="s">
        <v>30</v>
      </c>
      <c r="M1747">
        <f>orders[[#This Row],[Ship Date]]-orders[[#This Row],[Order Date]]</f>
        <v>4</v>
      </c>
      <c r="N1747">
        <f>WEEKNUM(orders[[#This Row],[Order Date]],2)</f>
        <v>10</v>
      </c>
      <c r="O1747" t="str" cm="1">
        <f t="array" ref="O17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48" spans="1:15" x14ac:dyDescent="0.3">
      <c r="A1748" t="s">
        <v>1844</v>
      </c>
      <c r="B1748" t="s">
        <v>34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24</v>
      </c>
      <c r="I1748" t="s">
        <v>32</v>
      </c>
      <c r="J1748">
        <v>4</v>
      </c>
      <c r="K1748" t="s">
        <v>16</v>
      </c>
      <c r="L1748" t="s">
        <v>30</v>
      </c>
      <c r="M1748">
        <f>orders[[#This Row],[Ship Date]]-orders[[#This Row],[Order Date]]</f>
        <v>1</v>
      </c>
      <c r="N1748">
        <f>WEEKNUM(orders[[#This Row],[Order Date]],2)</f>
        <v>10</v>
      </c>
      <c r="O1748" t="str" cm="1">
        <f t="array" ref="O17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49" spans="1:15" x14ac:dyDescent="0.3">
      <c r="A1749" t="s">
        <v>1845</v>
      </c>
      <c r="B1749" t="s">
        <v>29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24</v>
      </c>
      <c r="I1749" t="s">
        <v>67</v>
      </c>
      <c r="J1749">
        <v>4</v>
      </c>
      <c r="K1749" t="s">
        <v>16</v>
      </c>
      <c r="L1749" t="s">
        <v>30</v>
      </c>
      <c r="M1749">
        <f>orders[[#This Row],[Ship Date]]-orders[[#This Row],[Order Date]]</f>
        <v>4</v>
      </c>
      <c r="N1749">
        <f>WEEKNUM(orders[[#This Row],[Order Date]],2)</f>
        <v>10</v>
      </c>
      <c r="O1749" t="str" cm="1">
        <f t="array" ref="O17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50" spans="1:15" x14ac:dyDescent="0.3">
      <c r="A1750" t="s">
        <v>1846</v>
      </c>
      <c r="B1750" t="s">
        <v>19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20</v>
      </c>
      <c r="I1750" t="s">
        <v>15</v>
      </c>
      <c r="J1750">
        <v>4</v>
      </c>
      <c r="K1750" t="s">
        <v>16</v>
      </c>
      <c r="L1750" t="s">
        <v>52</v>
      </c>
      <c r="M1750">
        <f>orders[[#This Row],[Ship Date]]-orders[[#This Row],[Order Date]]</f>
        <v>2</v>
      </c>
      <c r="N1750">
        <f>WEEKNUM(orders[[#This Row],[Order Date]],2)</f>
        <v>10</v>
      </c>
      <c r="O1750" t="str" cm="1">
        <f t="array" ref="O17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51" spans="1:15" x14ac:dyDescent="0.3">
      <c r="A1751" t="s">
        <v>1847</v>
      </c>
      <c r="B1751" t="s">
        <v>43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20</v>
      </c>
      <c r="I1751" t="s">
        <v>15</v>
      </c>
      <c r="J1751">
        <v>4</v>
      </c>
      <c r="K1751" t="s">
        <v>16</v>
      </c>
      <c r="L1751" t="s">
        <v>56</v>
      </c>
      <c r="M1751">
        <f>orders[[#This Row],[Ship Date]]-orders[[#This Row],[Order Date]]</f>
        <v>1</v>
      </c>
      <c r="N1751">
        <f>WEEKNUM(orders[[#This Row],[Order Date]],2)</f>
        <v>10</v>
      </c>
      <c r="O1751" t="str" cm="1">
        <f t="array" ref="O17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52" spans="1:15" x14ac:dyDescent="0.3">
      <c r="A1752" t="s">
        <v>1848</v>
      </c>
      <c r="B1752" t="s">
        <v>13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20</v>
      </c>
      <c r="I1752" t="s">
        <v>37</v>
      </c>
      <c r="J1752">
        <v>3</v>
      </c>
      <c r="K1752" t="s">
        <v>16</v>
      </c>
      <c r="L1752" t="s">
        <v>59</v>
      </c>
      <c r="M1752">
        <f>orders[[#This Row],[Ship Date]]-orders[[#This Row],[Order Date]]</f>
        <v>3</v>
      </c>
      <c r="N1752">
        <f>WEEKNUM(orders[[#This Row],[Order Date]],2)</f>
        <v>10</v>
      </c>
      <c r="O1752" t="str" cm="1">
        <f t="array" ref="O17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53" spans="1:15" x14ac:dyDescent="0.3">
      <c r="A1753" t="s">
        <v>1849</v>
      </c>
      <c r="B1753" t="s">
        <v>23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24</v>
      </c>
      <c r="I1753" t="s">
        <v>15</v>
      </c>
      <c r="J1753">
        <v>5</v>
      </c>
      <c r="K1753" t="s">
        <v>16</v>
      </c>
      <c r="L1753" t="s">
        <v>59</v>
      </c>
      <c r="M1753">
        <f>orders[[#This Row],[Ship Date]]-orders[[#This Row],[Order Date]]</f>
        <v>1</v>
      </c>
      <c r="N1753">
        <f>WEEKNUM(orders[[#This Row],[Order Date]],2)</f>
        <v>10</v>
      </c>
      <c r="O1753" t="str" cm="1">
        <f t="array" ref="O17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54" spans="1:15" x14ac:dyDescent="0.3">
      <c r="A1754" t="s">
        <v>1850</v>
      </c>
      <c r="B1754" t="s">
        <v>78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20</v>
      </c>
      <c r="I1754" t="s">
        <v>15</v>
      </c>
      <c r="J1754">
        <v>4</v>
      </c>
      <c r="K1754" t="s">
        <v>16</v>
      </c>
      <c r="L1754" t="s">
        <v>59</v>
      </c>
      <c r="M1754">
        <f>orders[[#This Row],[Ship Date]]-orders[[#This Row],[Order Date]]</f>
        <v>1</v>
      </c>
      <c r="N1754">
        <f>WEEKNUM(orders[[#This Row],[Order Date]],2)</f>
        <v>10</v>
      </c>
      <c r="O1754" t="str" cm="1">
        <f t="array" ref="O17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55" spans="1:15" x14ac:dyDescent="0.3">
      <c r="A1755" t="s">
        <v>1851</v>
      </c>
      <c r="B1755" t="s">
        <v>51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24</v>
      </c>
      <c r="I1755" t="s">
        <v>32</v>
      </c>
      <c r="J1755">
        <v>5</v>
      </c>
      <c r="K1755" t="s">
        <v>16</v>
      </c>
      <c r="L1755" t="s">
        <v>59</v>
      </c>
      <c r="M1755">
        <f>orders[[#This Row],[Ship Date]]-orders[[#This Row],[Order Date]]</f>
        <v>1</v>
      </c>
      <c r="N1755">
        <f>WEEKNUM(orders[[#This Row],[Order Date]],2)</f>
        <v>10</v>
      </c>
      <c r="O1755" t="str" cm="1">
        <f t="array" ref="O17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56" spans="1:15" x14ac:dyDescent="0.3">
      <c r="A1756" t="s">
        <v>1852</v>
      </c>
      <c r="B1756" t="s">
        <v>13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20</v>
      </c>
      <c r="I1756" t="s">
        <v>15</v>
      </c>
      <c r="J1756">
        <v>4</v>
      </c>
      <c r="K1756" t="s">
        <v>16</v>
      </c>
      <c r="L1756" t="s">
        <v>59</v>
      </c>
      <c r="M1756">
        <f>orders[[#This Row],[Ship Date]]-orders[[#This Row],[Order Date]]</f>
        <v>3</v>
      </c>
      <c r="N1756">
        <f>WEEKNUM(orders[[#This Row],[Order Date]],2)</f>
        <v>10</v>
      </c>
      <c r="O1756" t="str" cm="1">
        <f t="array" ref="O17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57" spans="1:15" x14ac:dyDescent="0.3">
      <c r="A1757" t="s">
        <v>1853</v>
      </c>
      <c r="B1757" t="s">
        <v>78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24</v>
      </c>
      <c r="I1757" t="s">
        <v>67</v>
      </c>
      <c r="J1757">
        <v>4</v>
      </c>
      <c r="K1757" t="s">
        <v>16</v>
      </c>
      <c r="L1757" t="s">
        <v>100</v>
      </c>
      <c r="M1757">
        <f>orders[[#This Row],[Ship Date]]-orders[[#This Row],[Order Date]]</f>
        <v>0</v>
      </c>
      <c r="N1757">
        <f>WEEKNUM(orders[[#This Row],[Order Date]],2)</f>
        <v>10</v>
      </c>
      <c r="O1757" t="str" cm="1">
        <f t="array" ref="O17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58" spans="1:15" x14ac:dyDescent="0.3">
      <c r="A1758" t="s">
        <v>1854</v>
      </c>
      <c r="B1758" t="s">
        <v>43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86</v>
      </c>
      <c r="I1758" t="s">
        <v>37</v>
      </c>
      <c r="J1758">
        <v>5</v>
      </c>
      <c r="K1758" t="s">
        <v>16</v>
      </c>
      <c r="L1758" t="s">
        <v>100</v>
      </c>
      <c r="M1758">
        <f>orders[[#This Row],[Ship Date]]-orders[[#This Row],[Order Date]]</f>
        <v>4</v>
      </c>
      <c r="N1758">
        <f>WEEKNUM(orders[[#This Row],[Order Date]],2)</f>
        <v>10</v>
      </c>
      <c r="O1758" t="str" cm="1">
        <f t="array" ref="O1758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759" spans="1:15" x14ac:dyDescent="0.3">
      <c r="A1759" t="s">
        <v>1855</v>
      </c>
      <c r="B1759" t="s">
        <v>19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20</v>
      </c>
      <c r="I1759" t="s">
        <v>32</v>
      </c>
      <c r="J1759">
        <v>5</v>
      </c>
      <c r="K1759" t="s">
        <v>16</v>
      </c>
      <c r="L1759" t="s">
        <v>198</v>
      </c>
      <c r="M1759">
        <f>orders[[#This Row],[Ship Date]]-orders[[#This Row],[Order Date]]</f>
        <v>1</v>
      </c>
      <c r="N1759">
        <f>WEEKNUM(orders[[#This Row],[Order Date]],2)</f>
        <v>10</v>
      </c>
      <c r="O1759" t="str" cm="1">
        <f t="array" ref="O17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0" spans="1:15" x14ac:dyDescent="0.3">
      <c r="A1760" t="s">
        <v>1856</v>
      </c>
      <c r="B1760" t="s">
        <v>23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20</v>
      </c>
      <c r="I1760" t="s">
        <v>15</v>
      </c>
      <c r="J1760">
        <v>1</v>
      </c>
      <c r="K1760" t="s">
        <v>16</v>
      </c>
      <c r="L1760" t="s">
        <v>74</v>
      </c>
      <c r="M1760">
        <f>orders[[#This Row],[Ship Date]]-orders[[#This Row],[Order Date]]</f>
        <v>7</v>
      </c>
      <c r="N1760">
        <f>WEEKNUM(orders[[#This Row],[Order Date]],2)</f>
        <v>10</v>
      </c>
      <c r="O1760" t="str" cm="1">
        <f t="array" ref="O17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1" spans="1:15" x14ac:dyDescent="0.3">
      <c r="A1761" t="s">
        <v>1857</v>
      </c>
      <c r="B1761" t="s">
        <v>39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24</v>
      </c>
      <c r="I1761" t="s">
        <v>32</v>
      </c>
      <c r="J1761">
        <v>4</v>
      </c>
      <c r="K1761" t="s">
        <v>16</v>
      </c>
      <c r="L1761" t="s">
        <v>74</v>
      </c>
      <c r="M1761">
        <f>orders[[#This Row],[Ship Date]]-orders[[#This Row],[Order Date]]</f>
        <v>3</v>
      </c>
      <c r="N1761">
        <f>WEEKNUM(orders[[#This Row],[Order Date]],2)</f>
        <v>10</v>
      </c>
      <c r="O1761" t="str" cm="1">
        <f t="array" ref="O17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62" spans="1:15" x14ac:dyDescent="0.3">
      <c r="A1762" t="s">
        <v>1858</v>
      </c>
      <c r="B1762" t="s">
        <v>23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20</v>
      </c>
      <c r="I1762" t="s">
        <v>37</v>
      </c>
      <c r="J1762">
        <v>4</v>
      </c>
      <c r="K1762" t="s">
        <v>16</v>
      </c>
      <c r="L1762" t="s">
        <v>74</v>
      </c>
      <c r="M1762">
        <f>orders[[#This Row],[Ship Date]]-orders[[#This Row],[Order Date]]</f>
        <v>3</v>
      </c>
      <c r="N1762">
        <f>WEEKNUM(orders[[#This Row],[Order Date]],2)</f>
        <v>10</v>
      </c>
      <c r="O1762" t="str" cm="1">
        <f t="array" ref="O176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3" spans="1:15" x14ac:dyDescent="0.3">
      <c r="A1763" t="s">
        <v>1859</v>
      </c>
      <c r="B1763" t="s">
        <v>36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20</v>
      </c>
      <c r="I1763" t="s">
        <v>37</v>
      </c>
      <c r="J1763">
        <v>5</v>
      </c>
      <c r="K1763" t="s">
        <v>16</v>
      </c>
      <c r="L1763" t="s">
        <v>105</v>
      </c>
      <c r="M1763">
        <f>orders[[#This Row],[Ship Date]]-orders[[#This Row],[Order Date]]</f>
        <v>2</v>
      </c>
      <c r="N1763">
        <f>WEEKNUM(orders[[#This Row],[Order Date]],2)</f>
        <v>10</v>
      </c>
      <c r="O1763" t="str" cm="1">
        <f t="array" ref="O17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4" spans="1:15" x14ac:dyDescent="0.3">
      <c r="A1764" t="s">
        <v>1860</v>
      </c>
      <c r="B1764" t="s">
        <v>23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20</v>
      </c>
      <c r="I1764" t="s">
        <v>32</v>
      </c>
      <c r="J1764">
        <v>3</v>
      </c>
      <c r="K1764" t="s">
        <v>16</v>
      </c>
      <c r="L1764" t="s">
        <v>105</v>
      </c>
      <c r="M1764">
        <f>orders[[#This Row],[Ship Date]]-orders[[#This Row],[Order Date]]</f>
        <v>2</v>
      </c>
      <c r="N1764">
        <f>WEEKNUM(orders[[#This Row],[Order Date]],2)</f>
        <v>10</v>
      </c>
      <c r="O1764" t="str" cm="1">
        <f t="array" ref="O17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5" spans="1:15" x14ac:dyDescent="0.3">
      <c r="A1765" t="s">
        <v>1861</v>
      </c>
      <c r="B1765" t="s">
        <v>143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20</v>
      </c>
      <c r="I1765" t="s">
        <v>37</v>
      </c>
      <c r="J1765">
        <v>4</v>
      </c>
      <c r="K1765" t="s">
        <v>16</v>
      </c>
      <c r="L1765" t="s">
        <v>112</v>
      </c>
      <c r="M1765">
        <f>orders[[#This Row],[Ship Date]]-orders[[#This Row],[Order Date]]</f>
        <v>1</v>
      </c>
      <c r="N1765">
        <f>WEEKNUM(orders[[#This Row],[Order Date]],2)</f>
        <v>10</v>
      </c>
      <c r="O1765" t="str" cm="1">
        <f t="array" ref="O17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6" spans="1:15" x14ac:dyDescent="0.3">
      <c r="A1766" t="s">
        <v>1862</v>
      </c>
      <c r="B1766" t="s">
        <v>43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20</v>
      </c>
      <c r="I1766" t="s">
        <v>37</v>
      </c>
      <c r="J1766">
        <v>4</v>
      </c>
      <c r="K1766" t="s">
        <v>16</v>
      </c>
      <c r="L1766" t="s">
        <v>21</v>
      </c>
      <c r="M1766">
        <f>orders[[#This Row],[Ship Date]]-orders[[#This Row],[Order Date]]</f>
        <v>2</v>
      </c>
      <c r="N1766">
        <f>WEEKNUM(orders[[#This Row],[Order Date]],2)</f>
        <v>10</v>
      </c>
      <c r="O1766" t="str" cm="1">
        <f t="array" ref="O17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7" spans="1:15" x14ac:dyDescent="0.3">
      <c r="A1767" t="s">
        <v>1863</v>
      </c>
      <c r="B1767" t="s">
        <v>13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20</v>
      </c>
      <c r="I1767" t="s">
        <v>15</v>
      </c>
      <c r="J1767">
        <v>5</v>
      </c>
      <c r="K1767" t="s">
        <v>16</v>
      </c>
      <c r="L1767" t="s">
        <v>30</v>
      </c>
      <c r="M1767">
        <f>orders[[#This Row],[Ship Date]]-orders[[#This Row],[Order Date]]</f>
        <v>1</v>
      </c>
      <c r="N1767">
        <f>WEEKNUM(orders[[#This Row],[Order Date]],2)</f>
        <v>10</v>
      </c>
      <c r="O1767" t="str" cm="1">
        <f t="array" ref="O17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8" spans="1:15" x14ac:dyDescent="0.3">
      <c r="A1768" t="s">
        <v>1864</v>
      </c>
      <c r="B1768" t="s">
        <v>13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20</v>
      </c>
      <c r="I1768" t="s">
        <v>67</v>
      </c>
      <c r="J1768">
        <v>3</v>
      </c>
      <c r="K1768" t="s">
        <v>16</v>
      </c>
      <c r="L1768" t="s">
        <v>30</v>
      </c>
      <c r="M1768">
        <f>orders[[#This Row],[Ship Date]]-orders[[#This Row],[Order Date]]</f>
        <v>1</v>
      </c>
      <c r="N1768">
        <f>WEEKNUM(orders[[#This Row],[Order Date]],2)</f>
        <v>10</v>
      </c>
      <c r="O1768" t="str" cm="1">
        <f t="array" ref="O17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69" spans="1:15" x14ac:dyDescent="0.3">
      <c r="A1769" t="s">
        <v>1865</v>
      </c>
      <c r="B1769" t="s">
        <v>78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20</v>
      </c>
      <c r="I1769" t="s">
        <v>32</v>
      </c>
      <c r="J1769">
        <v>4</v>
      </c>
      <c r="K1769" t="s">
        <v>16</v>
      </c>
      <c r="L1769" t="s">
        <v>183</v>
      </c>
      <c r="M1769">
        <f>orders[[#This Row],[Ship Date]]-orders[[#This Row],[Order Date]]</f>
        <v>1</v>
      </c>
      <c r="N1769">
        <f>WEEKNUM(orders[[#This Row],[Order Date]],2)</f>
        <v>10</v>
      </c>
      <c r="O1769" t="str" cm="1">
        <f t="array" ref="O176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70" spans="1:15" x14ac:dyDescent="0.3">
      <c r="A1770" t="s">
        <v>1866</v>
      </c>
      <c r="B1770" t="s">
        <v>66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24</v>
      </c>
      <c r="I1770" t="s">
        <v>37</v>
      </c>
      <c r="J1770">
        <v>5</v>
      </c>
      <c r="K1770" t="s">
        <v>16</v>
      </c>
      <c r="L1770" t="s">
        <v>52</v>
      </c>
      <c r="M1770">
        <f>orders[[#This Row],[Ship Date]]-orders[[#This Row],[Order Date]]</f>
        <v>2</v>
      </c>
      <c r="N1770">
        <f>WEEKNUM(orders[[#This Row],[Order Date]],2)</f>
        <v>10</v>
      </c>
      <c r="O1770" t="str" cm="1">
        <f t="array" ref="O17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71" spans="1:15" x14ac:dyDescent="0.3">
      <c r="A1771" t="s">
        <v>1867</v>
      </c>
      <c r="B1771" t="s">
        <v>19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24</v>
      </c>
      <c r="I1771" t="s">
        <v>32</v>
      </c>
      <c r="J1771">
        <v>5</v>
      </c>
      <c r="K1771" t="s">
        <v>16</v>
      </c>
      <c r="L1771" t="s">
        <v>52</v>
      </c>
      <c r="M1771">
        <f>orders[[#This Row],[Ship Date]]-orders[[#This Row],[Order Date]]</f>
        <v>2</v>
      </c>
      <c r="N1771">
        <f>WEEKNUM(orders[[#This Row],[Order Date]],2)</f>
        <v>10</v>
      </c>
      <c r="O1771" t="str" cm="1">
        <f t="array" ref="O17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72" spans="1:15" x14ac:dyDescent="0.3">
      <c r="A1772" t="s">
        <v>1868</v>
      </c>
      <c r="B1772" t="s">
        <v>36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20</v>
      </c>
      <c r="I1772" t="s">
        <v>32</v>
      </c>
      <c r="J1772">
        <v>5</v>
      </c>
      <c r="K1772" t="s">
        <v>16</v>
      </c>
      <c r="L1772" t="s">
        <v>52</v>
      </c>
      <c r="M1772">
        <f>orders[[#This Row],[Ship Date]]-orders[[#This Row],[Order Date]]</f>
        <v>0</v>
      </c>
      <c r="N1772">
        <f>WEEKNUM(orders[[#This Row],[Order Date]],2)</f>
        <v>10</v>
      </c>
      <c r="O1772" t="str" cm="1">
        <f t="array" ref="O17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73" spans="1:15" x14ac:dyDescent="0.3">
      <c r="A1773" t="s">
        <v>1869</v>
      </c>
      <c r="B1773" t="s">
        <v>51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20</v>
      </c>
      <c r="I1773" t="s">
        <v>15</v>
      </c>
      <c r="J1773">
        <v>5</v>
      </c>
      <c r="K1773" t="s">
        <v>16</v>
      </c>
      <c r="L1773" t="s">
        <v>59</v>
      </c>
      <c r="M1773">
        <f>orders[[#This Row],[Ship Date]]-orders[[#This Row],[Order Date]]</f>
        <v>7</v>
      </c>
      <c r="N1773">
        <f>WEEKNUM(orders[[#This Row],[Order Date]],2)</f>
        <v>10</v>
      </c>
      <c r="O1773" t="str" cm="1">
        <f t="array" ref="O17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74" spans="1:15" x14ac:dyDescent="0.3">
      <c r="A1774" t="s">
        <v>1870</v>
      </c>
      <c r="B1774" t="s">
        <v>125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24</v>
      </c>
      <c r="I1774" t="s">
        <v>37</v>
      </c>
      <c r="J1774">
        <v>3</v>
      </c>
      <c r="K1774" t="s">
        <v>16</v>
      </c>
      <c r="L1774" t="s">
        <v>59</v>
      </c>
      <c r="M1774">
        <f>orders[[#This Row],[Ship Date]]-orders[[#This Row],[Order Date]]</f>
        <v>4</v>
      </c>
      <c r="N1774">
        <f>WEEKNUM(orders[[#This Row],[Order Date]],2)</f>
        <v>10</v>
      </c>
      <c r="O1774" t="str" cm="1">
        <f t="array" ref="O17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75" spans="1:15" x14ac:dyDescent="0.3">
      <c r="A1775" t="s">
        <v>1871</v>
      </c>
      <c r="B1775" t="s">
        <v>19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24</v>
      </c>
      <c r="I1775" t="s">
        <v>15</v>
      </c>
      <c r="J1775">
        <v>4</v>
      </c>
      <c r="K1775" t="s">
        <v>16</v>
      </c>
      <c r="L1775" t="s">
        <v>59</v>
      </c>
      <c r="M1775">
        <f>orders[[#This Row],[Ship Date]]-orders[[#This Row],[Order Date]]</f>
        <v>2</v>
      </c>
      <c r="N1775">
        <f>WEEKNUM(orders[[#This Row],[Order Date]],2)</f>
        <v>10</v>
      </c>
      <c r="O1775" t="str" cm="1">
        <f t="array" ref="O17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76" spans="1:15" x14ac:dyDescent="0.3">
      <c r="A1776" t="s">
        <v>1872</v>
      </c>
      <c r="B1776" t="s">
        <v>41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20</v>
      </c>
      <c r="I1776" t="s">
        <v>15</v>
      </c>
      <c r="J1776">
        <v>3</v>
      </c>
      <c r="K1776" t="s">
        <v>16</v>
      </c>
      <c r="L1776" t="s">
        <v>59</v>
      </c>
      <c r="M1776">
        <f>orders[[#This Row],[Ship Date]]-orders[[#This Row],[Order Date]]</f>
        <v>1</v>
      </c>
      <c r="N1776">
        <f>WEEKNUM(orders[[#This Row],[Order Date]],2)</f>
        <v>10</v>
      </c>
      <c r="O1776" t="str" cm="1">
        <f t="array" ref="O17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77" spans="1:15" x14ac:dyDescent="0.3">
      <c r="A1777" t="s">
        <v>1873</v>
      </c>
      <c r="B1777" t="s">
        <v>27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20</v>
      </c>
      <c r="I1777" t="s">
        <v>15</v>
      </c>
      <c r="J1777">
        <v>3</v>
      </c>
      <c r="K1777" t="s">
        <v>16</v>
      </c>
      <c r="L1777" t="s">
        <v>100</v>
      </c>
      <c r="M1777">
        <f>orders[[#This Row],[Ship Date]]-orders[[#This Row],[Order Date]]</f>
        <v>2</v>
      </c>
      <c r="N1777">
        <f>WEEKNUM(orders[[#This Row],[Order Date]],2)</f>
        <v>10</v>
      </c>
      <c r="O1777" t="str" cm="1">
        <f t="array" ref="O17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78" spans="1:15" x14ac:dyDescent="0.3">
      <c r="A1778" t="s">
        <v>1874</v>
      </c>
      <c r="B1778" t="s">
        <v>73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20</v>
      </c>
      <c r="I1778" t="s">
        <v>67</v>
      </c>
      <c r="J1778">
        <v>4</v>
      </c>
      <c r="K1778" t="s">
        <v>16</v>
      </c>
      <c r="L1778" t="s">
        <v>105</v>
      </c>
      <c r="M1778">
        <f>orders[[#This Row],[Ship Date]]-orders[[#This Row],[Order Date]]</f>
        <v>2</v>
      </c>
      <c r="N1778">
        <f>WEEKNUM(orders[[#This Row],[Order Date]],2)</f>
        <v>10</v>
      </c>
      <c r="O1778" t="str" cm="1">
        <f t="array" ref="O177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79" spans="1:15" x14ac:dyDescent="0.3">
      <c r="A1779" t="s">
        <v>1875</v>
      </c>
      <c r="B1779" t="s">
        <v>125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20</v>
      </c>
      <c r="I1779" t="s">
        <v>15</v>
      </c>
      <c r="J1779">
        <v>4</v>
      </c>
      <c r="K1779" t="s">
        <v>16</v>
      </c>
      <c r="L1779" t="s">
        <v>110</v>
      </c>
      <c r="M1779">
        <f>orders[[#This Row],[Ship Date]]-orders[[#This Row],[Order Date]]</f>
        <v>3</v>
      </c>
      <c r="N1779">
        <f>WEEKNUM(orders[[#This Row],[Order Date]],2)</f>
        <v>10</v>
      </c>
      <c r="O1779" t="str" cm="1">
        <f t="array" ref="O17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80" spans="1:15" x14ac:dyDescent="0.3">
      <c r="A1780" t="s">
        <v>1876</v>
      </c>
      <c r="B1780" t="s">
        <v>41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24</v>
      </c>
      <c r="I1780" t="s">
        <v>48</v>
      </c>
      <c r="J1780">
        <v>4</v>
      </c>
      <c r="K1780" t="s">
        <v>16</v>
      </c>
      <c r="L1780" t="s">
        <v>112</v>
      </c>
      <c r="M1780">
        <f>orders[[#This Row],[Ship Date]]-orders[[#This Row],[Order Date]]</f>
        <v>2</v>
      </c>
      <c r="N1780">
        <f>WEEKNUM(orders[[#This Row],[Order Date]],2)</f>
        <v>10</v>
      </c>
      <c r="O1780" t="str" cm="1">
        <f t="array" ref="O17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1" spans="1:15" x14ac:dyDescent="0.3">
      <c r="A1781" t="s">
        <v>1877</v>
      </c>
      <c r="B1781" t="s">
        <v>36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24</v>
      </c>
      <c r="I1781" t="s">
        <v>15</v>
      </c>
      <c r="J1781">
        <v>5</v>
      </c>
      <c r="K1781" t="s">
        <v>16</v>
      </c>
      <c r="L1781" t="s">
        <v>112</v>
      </c>
      <c r="M1781">
        <f>orders[[#This Row],[Ship Date]]-orders[[#This Row],[Order Date]]</f>
        <v>5</v>
      </c>
      <c r="N1781">
        <f>WEEKNUM(orders[[#This Row],[Order Date]],2)</f>
        <v>10</v>
      </c>
      <c r="O1781" t="str" cm="1">
        <f t="array" ref="O17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2" spans="1:15" x14ac:dyDescent="0.3">
      <c r="A1782" t="s">
        <v>1878</v>
      </c>
      <c r="B1782" t="s">
        <v>36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24</v>
      </c>
      <c r="I1782" t="s">
        <v>32</v>
      </c>
      <c r="J1782">
        <v>5</v>
      </c>
      <c r="K1782" t="s">
        <v>16</v>
      </c>
      <c r="L1782" t="s">
        <v>112</v>
      </c>
      <c r="M1782">
        <f>orders[[#This Row],[Ship Date]]-orders[[#This Row],[Order Date]]</f>
        <v>1</v>
      </c>
      <c r="N1782">
        <f>WEEKNUM(orders[[#This Row],[Order Date]],2)</f>
        <v>10</v>
      </c>
      <c r="O1782" t="str" cm="1">
        <f t="array" ref="O17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3" spans="1:15" x14ac:dyDescent="0.3">
      <c r="A1783" t="s">
        <v>1879</v>
      </c>
      <c r="B1783" t="s">
        <v>41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24</v>
      </c>
      <c r="I1783" t="s">
        <v>15</v>
      </c>
      <c r="J1783">
        <v>3</v>
      </c>
      <c r="K1783" t="s">
        <v>16</v>
      </c>
      <c r="L1783" t="s">
        <v>144</v>
      </c>
      <c r="M1783">
        <f>orders[[#This Row],[Ship Date]]-orders[[#This Row],[Order Date]]</f>
        <v>3</v>
      </c>
      <c r="N1783">
        <f>WEEKNUM(orders[[#This Row],[Order Date]],2)</f>
        <v>10</v>
      </c>
      <c r="O1783" t="str" cm="1">
        <f t="array" ref="O17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4" spans="1:15" x14ac:dyDescent="0.3">
      <c r="A1784" t="s">
        <v>1880</v>
      </c>
      <c r="B1784" t="s">
        <v>29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20</v>
      </c>
      <c r="I1784" t="s">
        <v>15</v>
      </c>
      <c r="J1784">
        <v>4</v>
      </c>
      <c r="K1784" t="s">
        <v>16</v>
      </c>
      <c r="L1784" t="s">
        <v>144</v>
      </c>
      <c r="M1784">
        <f>orders[[#This Row],[Ship Date]]-orders[[#This Row],[Order Date]]</f>
        <v>10</v>
      </c>
      <c r="N1784">
        <f>WEEKNUM(orders[[#This Row],[Order Date]],2)</f>
        <v>10</v>
      </c>
      <c r="O1784" t="str" cm="1">
        <f t="array" ref="O17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85" spans="1:15" x14ac:dyDescent="0.3">
      <c r="A1785" t="s">
        <v>1881</v>
      </c>
      <c r="B1785" t="s">
        <v>34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24</v>
      </c>
      <c r="I1785" t="s">
        <v>15</v>
      </c>
      <c r="J1785">
        <v>3</v>
      </c>
      <c r="K1785" t="s">
        <v>16</v>
      </c>
      <c r="L1785" t="s">
        <v>30</v>
      </c>
      <c r="M1785">
        <f>orders[[#This Row],[Ship Date]]-orders[[#This Row],[Order Date]]</f>
        <v>1</v>
      </c>
      <c r="N1785">
        <f>WEEKNUM(orders[[#This Row],[Order Date]],2)</f>
        <v>10</v>
      </c>
      <c r="O1785" t="str" cm="1">
        <f t="array" ref="O17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6" spans="1:15" x14ac:dyDescent="0.3">
      <c r="A1786" t="s">
        <v>1882</v>
      </c>
      <c r="B1786" t="s">
        <v>36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24</v>
      </c>
      <c r="I1786" t="s">
        <v>15</v>
      </c>
      <c r="J1786">
        <v>4</v>
      </c>
      <c r="K1786" t="s">
        <v>16</v>
      </c>
      <c r="L1786" t="s">
        <v>30</v>
      </c>
      <c r="M1786">
        <f>orders[[#This Row],[Ship Date]]-orders[[#This Row],[Order Date]]</f>
        <v>2</v>
      </c>
      <c r="N1786">
        <f>WEEKNUM(orders[[#This Row],[Order Date]],2)</f>
        <v>10</v>
      </c>
      <c r="O1786" t="str" cm="1">
        <f t="array" ref="O17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7" spans="1:15" x14ac:dyDescent="0.3">
      <c r="A1787" t="s">
        <v>1883</v>
      </c>
      <c r="B1787" t="s">
        <v>13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24</v>
      </c>
      <c r="I1787" t="s">
        <v>32</v>
      </c>
      <c r="J1787">
        <v>5</v>
      </c>
      <c r="K1787" t="s">
        <v>16</v>
      </c>
      <c r="L1787" t="s">
        <v>30</v>
      </c>
      <c r="M1787">
        <f>orders[[#This Row],[Ship Date]]-orders[[#This Row],[Order Date]]</f>
        <v>2</v>
      </c>
      <c r="N1787">
        <f>WEEKNUM(orders[[#This Row],[Order Date]],2)</f>
        <v>10</v>
      </c>
      <c r="O1787" t="str" cm="1">
        <f t="array" ref="O17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8" spans="1:15" x14ac:dyDescent="0.3">
      <c r="A1788" t="s">
        <v>1884</v>
      </c>
      <c r="B1788" t="s">
        <v>39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24</v>
      </c>
      <c r="I1788" t="s">
        <v>67</v>
      </c>
      <c r="J1788">
        <v>5</v>
      </c>
      <c r="K1788" t="s">
        <v>16</v>
      </c>
      <c r="L1788" t="s">
        <v>30</v>
      </c>
      <c r="M1788">
        <f>orders[[#This Row],[Ship Date]]-orders[[#This Row],[Order Date]]</f>
        <v>0</v>
      </c>
      <c r="N1788">
        <f>WEEKNUM(orders[[#This Row],[Order Date]],2)</f>
        <v>10</v>
      </c>
      <c r="O1788" t="str" cm="1">
        <f t="array" ref="O17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89" spans="1:15" x14ac:dyDescent="0.3">
      <c r="A1789" t="s">
        <v>1885</v>
      </c>
      <c r="B1789" t="s">
        <v>43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20</v>
      </c>
      <c r="I1789" t="s">
        <v>15</v>
      </c>
      <c r="J1789">
        <v>3</v>
      </c>
      <c r="K1789" t="s">
        <v>16</v>
      </c>
      <c r="L1789" t="s">
        <v>30</v>
      </c>
      <c r="M1789">
        <f>orders[[#This Row],[Ship Date]]-orders[[#This Row],[Order Date]]</f>
        <v>1</v>
      </c>
      <c r="N1789">
        <f>WEEKNUM(orders[[#This Row],[Order Date]],2)</f>
        <v>10</v>
      </c>
      <c r="O1789" t="str" cm="1">
        <f t="array" ref="O17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90" spans="1:15" x14ac:dyDescent="0.3">
      <c r="A1790" t="s">
        <v>1886</v>
      </c>
      <c r="B1790" t="s">
        <v>36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24</v>
      </c>
      <c r="I1790" t="s">
        <v>15</v>
      </c>
      <c r="J1790">
        <v>4</v>
      </c>
      <c r="K1790" t="s">
        <v>16</v>
      </c>
      <c r="L1790" t="s">
        <v>30</v>
      </c>
      <c r="M1790">
        <f>orders[[#This Row],[Ship Date]]-orders[[#This Row],[Order Date]]</f>
        <v>4</v>
      </c>
      <c r="N1790">
        <f>WEEKNUM(orders[[#This Row],[Order Date]],2)</f>
        <v>10</v>
      </c>
      <c r="O1790" t="str" cm="1">
        <f t="array" ref="O17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91" spans="1:15" x14ac:dyDescent="0.3">
      <c r="A1791" t="s">
        <v>1887</v>
      </c>
      <c r="B1791" t="s">
        <v>19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24</v>
      </c>
      <c r="I1791" t="s">
        <v>48</v>
      </c>
      <c r="J1791">
        <v>4</v>
      </c>
      <c r="K1791" t="s">
        <v>16</v>
      </c>
      <c r="L1791" t="s">
        <v>30</v>
      </c>
      <c r="M1791">
        <f>orders[[#This Row],[Ship Date]]-orders[[#This Row],[Order Date]]</f>
        <v>4</v>
      </c>
      <c r="N1791">
        <f>WEEKNUM(orders[[#This Row],[Order Date]],2)</f>
        <v>10</v>
      </c>
      <c r="O1791" t="str" cm="1">
        <f t="array" ref="O17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92" spans="1:15" x14ac:dyDescent="0.3">
      <c r="A1792" t="s">
        <v>1888</v>
      </c>
      <c r="B1792" t="s">
        <v>41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20</v>
      </c>
      <c r="I1792" t="s">
        <v>15</v>
      </c>
      <c r="J1792">
        <v>3</v>
      </c>
      <c r="K1792" t="s">
        <v>16</v>
      </c>
      <c r="L1792" t="s">
        <v>30</v>
      </c>
      <c r="M1792">
        <f>orders[[#This Row],[Ship Date]]-orders[[#This Row],[Order Date]]</f>
        <v>3</v>
      </c>
      <c r="N1792">
        <f>WEEKNUM(orders[[#This Row],[Order Date]],2)</f>
        <v>10</v>
      </c>
      <c r="O1792" t="str" cm="1">
        <f t="array" ref="O17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93" spans="1:15" x14ac:dyDescent="0.3">
      <c r="A1793" t="s">
        <v>1889</v>
      </c>
      <c r="B1793" t="s">
        <v>13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20</v>
      </c>
      <c r="I1793" t="s">
        <v>37</v>
      </c>
      <c r="J1793">
        <v>4</v>
      </c>
      <c r="K1793" t="s">
        <v>16</v>
      </c>
      <c r="L1793" t="s">
        <v>30</v>
      </c>
      <c r="M1793">
        <f>orders[[#This Row],[Ship Date]]-orders[[#This Row],[Order Date]]</f>
        <v>1</v>
      </c>
      <c r="N1793">
        <f>WEEKNUM(orders[[#This Row],[Order Date]],2)</f>
        <v>10</v>
      </c>
      <c r="O1793" t="str" cm="1">
        <f t="array" ref="O17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94" spans="1:15" x14ac:dyDescent="0.3">
      <c r="A1794" t="s">
        <v>1890</v>
      </c>
      <c r="B1794" t="s">
        <v>125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24</v>
      </c>
      <c r="I1794" t="s">
        <v>67</v>
      </c>
      <c r="J1794">
        <v>4</v>
      </c>
      <c r="K1794" t="s">
        <v>16</v>
      </c>
      <c r="L1794" t="s">
        <v>30</v>
      </c>
      <c r="M1794">
        <f>orders[[#This Row],[Ship Date]]-orders[[#This Row],[Order Date]]</f>
        <v>5</v>
      </c>
      <c r="N1794">
        <f>WEEKNUM(orders[[#This Row],[Order Date]],2)</f>
        <v>10</v>
      </c>
      <c r="O1794" t="str" cm="1">
        <f t="array" ref="O17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95" spans="1:15" x14ac:dyDescent="0.3">
      <c r="A1795" t="s">
        <v>1891</v>
      </c>
      <c r="B1795" t="s">
        <v>34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20</v>
      </c>
      <c r="I1795" t="s">
        <v>15</v>
      </c>
      <c r="J1795">
        <v>5</v>
      </c>
      <c r="K1795" t="s">
        <v>16</v>
      </c>
      <c r="L1795" t="s">
        <v>155</v>
      </c>
      <c r="M1795">
        <f>orders[[#This Row],[Ship Date]]-orders[[#This Row],[Order Date]]</f>
        <v>1</v>
      </c>
      <c r="N1795">
        <f>WEEKNUM(orders[[#This Row],[Order Date]],2)</f>
        <v>10</v>
      </c>
      <c r="O1795" t="str" cm="1">
        <f t="array" ref="O17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96" spans="1:15" x14ac:dyDescent="0.3">
      <c r="A1796" t="s">
        <v>1892</v>
      </c>
      <c r="B1796" t="s">
        <v>29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20</v>
      </c>
      <c r="I1796" t="s">
        <v>32</v>
      </c>
      <c r="J1796">
        <v>4</v>
      </c>
      <c r="K1796" t="s">
        <v>16</v>
      </c>
      <c r="L1796" t="s">
        <v>52</v>
      </c>
      <c r="M1796">
        <f>orders[[#This Row],[Ship Date]]-orders[[#This Row],[Order Date]]</f>
        <v>1</v>
      </c>
      <c r="N1796">
        <f>WEEKNUM(orders[[#This Row],[Order Date]],2)</f>
        <v>10</v>
      </c>
      <c r="O1796" t="str" cm="1">
        <f t="array" ref="O17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97" spans="1:15" x14ac:dyDescent="0.3">
      <c r="A1797" t="s">
        <v>1893</v>
      </c>
      <c r="B1797" t="s">
        <v>23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20</v>
      </c>
      <c r="I1797" t="s">
        <v>67</v>
      </c>
      <c r="J1797">
        <v>5</v>
      </c>
      <c r="K1797" t="s">
        <v>16</v>
      </c>
      <c r="L1797" t="s">
        <v>52</v>
      </c>
      <c r="M1797">
        <f>orders[[#This Row],[Ship Date]]-orders[[#This Row],[Order Date]]</f>
        <v>1</v>
      </c>
      <c r="N1797">
        <f>WEEKNUM(orders[[#This Row],[Order Date]],2)</f>
        <v>10</v>
      </c>
      <c r="O1797" t="str" cm="1">
        <f t="array" ref="O17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798" spans="1:15" x14ac:dyDescent="0.3">
      <c r="A1798" t="s">
        <v>1894</v>
      </c>
      <c r="B1798" t="s">
        <v>143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24</v>
      </c>
      <c r="I1798" t="s">
        <v>48</v>
      </c>
      <c r="J1798">
        <v>4</v>
      </c>
      <c r="K1798" t="s">
        <v>16</v>
      </c>
      <c r="L1798" t="s">
        <v>59</v>
      </c>
      <c r="M1798">
        <f>orders[[#This Row],[Ship Date]]-orders[[#This Row],[Order Date]]</f>
        <v>1</v>
      </c>
      <c r="N1798">
        <f>WEEKNUM(orders[[#This Row],[Order Date]],2)</f>
        <v>10</v>
      </c>
      <c r="O1798" t="str" cm="1">
        <f t="array" ref="O17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799" spans="1:15" x14ac:dyDescent="0.3">
      <c r="A1799" t="s">
        <v>1895</v>
      </c>
      <c r="B1799" t="s">
        <v>51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20</v>
      </c>
      <c r="I1799" t="s">
        <v>32</v>
      </c>
      <c r="J1799">
        <v>5</v>
      </c>
      <c r="K1799" t="s">
        <v>16</v>
      </c>
      <c r="L1799" t="s">
        <v>59</v>
      </c>
      <c r="M1799">
        <f>orders[[#This Row],[Ship Date]]-orders[[#This Row],[Order Date]]</f>
        <v>2</v>
      </c>
      <c r="N1799">
        <f>WEEKNUM(orders[[#This Row],[Order Date]],2)</f>
        <v>10</v>
      </c>
      <c r="O1799" t="str" cm="1">
        <f t="array" ref="O17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00" spans="1:15" x14ac:dyDescent="0.3">
      <c r="A1800" t="s">
        <v>1896</v>
      </c>
      <c r="B1800" t="s">
        <v>34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24</v>
      </c>
      <c r="I1800" t="s">
        <v>15</v>
      </c>
      <c r="J1800">
        <v>4</v>
      </c>
      <c r="K1800" t="s">
        <v>16</v>
      </c>
      <c r="L1800" t="s">
        <v>59</v>
      </c>
      <c r="M1800">
        <f>orders[[#This Row],[Ship Date]]-orders[[#This Row],[Order Date]]</f>
        <v>5</v>
      </c>
      <c r="N1800">
        <f>WEEKNUM(orders[[#This Row],[Order Date]],2)</f>
        <v>10</v>
      </c>
      <c r="O1800" t="str" cm="1">
        <f t="array" ref="O18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01" spans="1:15" x14ac:dyDescent="0.3">
      <c r="A1801" t="s">
        <v>1897</v>
      </c>
      <c r="B1801" t="s">
        <v>41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24</v>
      </c>
      <c r="I1801" t="s">
        <v>48</v>
      </c>
      <c r="J1801">
        <v>2</v>
      </c>
      <c r="K1801" t="s">
        <v>16</v>
      </c>
      <c r="L1801" t="s">
        <v>59</v>
      </c>
      <c r="M1801">
        <f>orders[[#This Row],[Ship Date]]-orders[[#This Row],[Order Date]]</f>
        <v>1</v>
      </c>
      <c r="N1801">
        <f>WEEKNUM(orders[[#This Row],[Order Date]],2)</f>
        <v>10</v>
      </c>
      <c r="O1801" t="str" cm="1">
        <f t="array" ref="O18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02" spans="1:15" x14ac:dyDescent="0.3">
      <c r="A1802" t="s">
        <v>1898</v>
      </c>
      <c r="B1802" t="s">
        <v>41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24</v>
      </c>
      <c r="I1802" t="s">
        <v>15</v>
      </c>
      <c r="J1802">
        <v>4</v>
      </c>
      <c r="K1802" t="s">
        <v>16</v>
      </c>
      <c r="L1802" t="s">
        <v>59</v>
      </c>
      <c r="M1802">
        <f>orders[[#This Row],[Ship Date]]-orders[[#This Row],[Order Date]]</f>
        <v>0</v>
      </c>
      <c r="N1802">
        <f>WEEKNUM(orders[[#This Row],[Order Date]],2)</f>
        <v>10</v>
      </c>
      <c r="O1802" t="str" cm="1">
        <f t="array" ref="O18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03" spans="1:15" x14ac:dyDescent="0.3">
      <c r="A1803" t="s">
        <v>1899</v>
      </c>
      <c r="B1803" t="s">
        <v>39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24</v>
      </c>
      <c r="I1803" t="s">
        <v>48</v>
      </c>
      <c r="J1803">
        <v>5</v>
      </c>
      <c r="K1803" t="s">
        <v>16</v>
      </c>
      <c r="L1803" t="s">
        <v>59</v>
      </c>
      <c r="M1803">
        <f>orders[[#This Row],[Ship Date]]-orders[[#This Row],[Order Date]]</f>
        <v>1</v>
      </c>
      <c r="N1803">
        <f>WEEKNUM(orders[[#This Row],[Order Date]],2)</f>
        <v>10</v>
      </c>
      <c r="O1803" t="str" cm="1">
        <f t="array" ref="O18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04" spans="1:15" x14ac:dyDescent="0.3">
      <c r="A1804" t="s">
        <v>1900</v>
      </c>
      <c r="B1804" t="s">
        <v>13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24</v>
      </c>
      <c r="I1804" t="s">
        <v>48</v>
      </c>
      <c r="J1804">
        <v>3</v>
      </c>
      <c r="K1804" t="s">
        <v>16</v>
      </c>
      <c r="L1804" t="s">
        <v>59</v>
      </c>
      <c r="M1804">
        <f>orders[[#This Row],[Ship Date]]-orders[[#This Row],[Order Date]]</f>
        <v>1</v>
      </c>
      <c r="N1804">
        <f>WEEKNUM(orders[[#This Row],[Order Date]],2)</f>
        <v>10</v>
      </c>
      <c r="O1804" t="str" cm="1">
        <f t="array" ref="O18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05" spans="1:15" x14ac:dyDescent="0.3">
      <c r="A1805" t="s">
        <v>1901</v>
      </c>
      <c r="B1805" t="s">
        <v>43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20</v>
      </c>
      <c r="I1805" t="s">
        <v>37</v>
      </c>
      <c r="J1805">
        <v>5</v>
      </c>
      <c r="K1805" t="s">
        <v>16</v>
      </c>
      <c r="L1805" t="s">
        <v>69</v>
      </c>
      <c r="M1805">
        <f>orders[[#This Row],[Ship Date]]-orders[[#This Row],[Order Date]]</f>
        <v>1</v>
      </c>
      <c r="N1805">
        <f>WEEKNUM(orders[[#This Row],[Order Date]],2)</f>
        <v>10</v>
      </c>
      <c r="O1805" t="str" cm="1">
        <f t="array" ref="O18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06" spans="1:15" x14ac:dyDescent="0.3">
      <c r="A1806" t="s">
        <v>1902</v>
      </c>
      <c r="B1806" t="s">
        <v>39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20</v>
      </c>
      <c r="I1806" t="s">
        <v>67</v>
      </c>
      <c r="J1806">
        <v>2</v>
      </c>
      <c r="K1806" t="s">
        <v>16</v>
      </c>
      <c r="L1806" t="s">
        <v>69</v>
      </c>
      <c r="M1806">
        <f>orders[[#This Row],[Ship Date]]-orders[[#This Row],[Order Date]]</f>
        <v>6</v>
      </c>
      <c r="N1806">
        <f>WEEKNUM(orders[[#This Row],[Order Date]],2)</f>
        <v>10</v>
      </c>
      <c r="O1806" t="str" cm="1">
        <f t="array" ref="O180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07" spans="1:15" x14ac:dyDescent="0.3">
      <c r="A1807" t="s">
        <v>1903</v>
      </c>
      <c r="B1807" t="s">
        <v>13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24</v>
      </c>
      <c r="I1807" t="s">
        <v>15</v>
      </c>
      <c r="J1807">
        <v>5</v>
      </c>
      <c r="K1807" t="s">
        <v>16</v>
      </c>
      <c r="L1807" t="s">
        <v>69</v>
      </c>
      <c r="M1807">
        <f>orders[[#This Row],[Ship Date]]-orders[[#This Row],[Order Date]]</f>
        <v>1</v>
      </c>
      <c r="N1807">
        <f>WEEKNUM(orders[[#This Row],[Order Date]],2)</f>
        <v>10</v>
      </c>
      <c r="O1807" t="str" cm="1">
        <f t="array" ref="O18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08" spans="1:15" x14ac:dyDescent="0.3">
      <c r="A1808" t="s">
        <v>1904</v>
      </c>
      <c r="B1808" t="s">
        <v>39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20</v>
      </c>
      <c r="I1808" t="s">
        <v>32</v>
      </c>
      <c r="J1808">
        <v>4</v>
      </c>
      <c r="K1808" t="s">
        <v>16</v>
      </c>
      <c r="L1808" t="s">
        <v>74</v>
      </c>
      <c r="M1808">
        <f>orders[[#This Row],[Ship Date]]-orders[[#This Row],[Order Date]]</f>
        <v>4</v>
      </c>
      <c r="N1808">
        <f>WEEKNUM(orders[[#This Row],[Order Date]],2)</f>
        <v>10</v>
      </c>
      <c r="O1808" t="str" cm="1">
        <f t="array" ref="O18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09" spans="1:15" x14ac:dyDescent="0.3">
      <c r="A1809" t="s">
        <v>1905</v>
      </c>
      <c r="B1809" t="s">
        <v>34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24</v>
      </c>
      <c r="I1809" t="s">
        <v>15</v>
      </c>
      <c r="J1809">
        <v>5</v>
      </c>
      <c r="K1809" t="s">
        <v>16</v>
      </c>
      <c r="L1809" t="s">
        <v>105</v>
      </c>
      <c r="M1809">
        <f>orders[[#This Row],[Ship Date]]-orders[[#This Row],[Order Date]]</f>
        <v>1</v>
      </c>
      <c r="N1809">
        <f>WEEKNUM(orders[[#This Row],[Order Date]],2)</f>
        <v>10</v>
      </c>
      <c r="O1809" t="str" cm="1">
        <f t="array" ref="O18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10" spans="1:15" x14ac:dyDescent="0.3">
      <c r="A1810" t="s">
        <v>1906</v>
      </c>
      <c r="B1810" t="s">
        <v>51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24</v>
      </c>
      <c r="I1810" t="s">
        <v>32</v>
      </c>
      <c r="J1810">
        <v>3</v>
      </c>
      <c r="K1810" t="s">
        <v>16</v>
      </c>
      <c r="L1810" t="s">
        <v>107</v>
      </c>
      <c r="M1810">
        <f>orders[[#This Row],[Ship Date]]-orders[[#This Row],[Order Date]]</f>
        <v>2</v>
      </c>
      <c r="N1810">
        <f>WEEKNUM(orders[[#This Row],[Order Date]],2)</f>
        <v>10</v>
      </c>
      <c r="O1810" t="str" cm="1">
        <f t="array" ref="O18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11" spans="1:15" x14ac:dyDescent="0.3">
      <c r="A1811" t="s">
        <v>1907</v>
      </c>
      <c r="B1811" t="s">
        <v>23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24</v>
      </c>
      <c r="I1811" t="s">
        <v>37</v>
      </c>
      <c r="J1811">
        <v>5</v>
      </c>
      <c r="K1811" t="s">
        <v>16</v>
      </c>
      <c r="L1811" t="s">
        <v>1908</v>
      </c>
      <c r="M1811">
        <f>orders[[#This Row],[Ship Date]]-orders[[#This Row],[Order Date]]</f>
        <v>4</v>
      </c>
      <c r="N1811">
        <f>WEEKNUM(orders[[#This Row],[Order Date]],2)</f>
        <v>10</v>
      </c>
      <c r="O1811" t="str" cm="1">
        <f t="array" ref="O18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12" spans="1:15" x14ac:dyDescent="0.3">
      <c r="A1812" t="s">
        <v>1909</v>
      </c>
      <c r="B1812" t="s">
        <v>23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86</v>
      </c>
      <c r="I1812" t="s">
        <v>37</v>
      </c>
      <c r="J1812">
        <v>5</v>
      </c>
      <c r="K1812" t="s">
        <v>16</v>
      </c>
      <c r="L1812" t="s">
        <v>112</v>
      </c>
      <c r="M1812">
        <f>orders[[#This Row],[Ship Date]]-orders[[#This Row],[Order Date]]</f>
        <v>4</v>
      </c>
      <c r="N1812">
        <f>WEEKNUM(orders[[#This Row],[Order Date]],2)</f>
        <v>10</v>
      </c>
      <c r="O1812" t="str" cm="1">
        <f t="array" ref="O1812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13" spans="1:15" x14ac:dyDescent="0.3">
      <c r="A1813" t="s">
        <v>1910</v>
      </c>
      <c r="B1813" t="s">
        <v>23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24</v>
      </c>
      <c r="I1813" t="s">
        <v>32</v>
      </c>
      <c r="J1813">
        <v>4</v>
      </c>
      <c r="K1813" t="s">
        <v>16</v>
      </c>
      <c r="L1813" t="s">
        <v>112</v>
      </c>
      <c r="M1813">
        <f>orders[[#This Row],[Ship Date]]-orders[[#This Row],[Order Date]]</f>
        <v>3</v>
      </c>
      <c r="N1813">
        <f>WEEKNUM(orders[[#This Row],[Order Date]],2)</f>
        <v>10</v>
      </c>
      <c r="O1813" t="str" cm="1">
        <f t="array" ref="O18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14" spans="1:15" x14ac:dyDescent="0.3">
      <c r="A1814" t="s">
        <v>1911</v>
      </c>
      <c r="B1814" t="s">
        <v>13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24</v>
      </c>
      <c r="I1814" t="s">
        <v>37</v>
      </c>
      <c r="J1814">
        <v>5</v>
      </c>
      <c r="K1814" t="s">
        <v>16</v>
      </c>
      <c r="L1814" t="s">
        <v>112</v>
      </c>
      <c r="M1814">
        <f>orders[[#This Row],[Ship Date]]-orders[[#This Row],[Order Date]]</f>
        <v>1</v>
      </c>
      <c r="N1814">
        <f>WEEKNUM(orders[[#This Row],[Order Date]],2)</f>
        <v>10</v>
      </c>
      <c r="O1814" t="str" cm="1">
        <f t="array" ref="O18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15" spans="1:15" x14ac:dyDescent="0.3">
      <c r="A1815" t="s">
        <v>1912</v>
      </c>
      <c r="B1815" t="s">
        <v>43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20</v>
      </c>
      <c r="I1815" t="s">
        <v>67</v>
      </c>
      <c r="J1815">
        <v>5</v>
      </c>
      <c r="K1815" t="s">
        <v>16</v>
      </c>
      <c r="L1815" t="s">
        <v>21</v>
      </c>
      <c r="M1815">
        <f>orders[[#This Row],[Ship Date]]-orders[[#This Row],[Order Date]]</f>
        <v>3</v>
      </c>
      <c r="N1815">
        <f>WEEKNUM(orders[[#This Row],[Order Date]],2)</f>
        <v>10</v>
      </c>
      <c r="O1815" t="str" cm="1">
        <f t="array" ref="O181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16" spans="1:15" x14ac:dyDescent="0.3">
      <c r="A1816" t="s">
        <v>1913</v>
      </c>
      <c r="B1816" t="s">
        <v>66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24</v>
      </c>
      <c r="I1816" t="s">
        <v>15</v>
      </c>
      <c r="J1816">
        <v>1</v>
      </c>
      <c r="K1816" t="s">
        <v>16</v>
      </c>
      <c r="L1816" t="s">
        <v>328</v>
      </c>
      <c r="M1816">
        <f>orders[[#This Row],[Ship Date]]-orders[[#This Row],[Order Date]]</f>
        <v>2</v>
      </c>
      <c r="N1816">
        <f>WEEKNUM(orders[[#This Row],[Order Date]],2)</f>
        <v>10</v>
      </c>
      <c r="O1816" t="str" cm="1">
        <f t="array" ref="O18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17" spans="1:15" x14ac:dyDescent="0.3">
      <c r="A1817" t="s">
        <v>1914</v>
      </c>
      <c r="B1817" t="s">
        <v>120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20</v>
      </c>
      <c r="I1817" t="s">
        <v>15</v>
      </c>
      <c r="J1817">
        <v>4</v>
      </c>
      <c r="K1817" t="s">
        <v>16</v>
      </c>
      <c r="L1817" t="s">
        <v>144</v>
      </c>
      <c r="M1817">
        <f>orders[[#This Row],[Ship Date]]-orders[[#This Row],[Order Date]]</f>
        <v>0</v>
      </c>
      <c r="N1817">
        <f>WEEKNUM(orders[[#This Row],[Order Date]],2)</f>
        <v>10</v>
      </c>
      <c r="O1817" t="str" cm="1">
        <f t="array" ref="O181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18" spans="1:15" x14ac:dyDescent="0.3">
      <c r="A1818" t="s">
        <v>1915</v>
      </c>
      <c r="B1818" t="s">
        <v>27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86</v>
      </c>
      <c r="I1818" t="s">
        <v>15</v>
      </c>
      <c r="J1818">
        <v>3</v>
      </c>
      <c r="K1818" t="s">
        <v>16</v>
      </c>
      <c r="L1818" t="s">
        <v>144</v>
      </c>
      <c r="M1818">
        <f>orders[[#This Row],[Ship Date]]-orders[[#This Row],[Order Date]]</f>
        <v>2</v>
      </c>
      <c r="N1818">
        <f>WEEKNUM(orders[[#This Row],[Order Date]],2)</f>
        <v>10</v>
      </c>
      <c r="O1818" t="str" cm="1">
        <f t="array" ref="O1818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19" spans="1:15" x14ac:dyDescent="0.3">
      <c r="A1819" t="s">
        <v>1916</v>
      </c>
      <c r="B1819" t="s">
        <v>39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24</v>
      </c>
      <c r="I1819" t="s">
        <v>32</v>
      </c>
      <c r="J1819">
        <v>4</v>
      </c>
      <c r="K1819" t="s">
        <v>16</v>
      </c>
      <c r="L1819" t="s">
        <v>30</v>
      </c>
      <c r="M1819">
        <f>orders[[#This Row],[Ship Date]]-orders[[#This Row],[Order Date]]</f>
        <v>0</v>
      </c>
      <c r="N1819">
        <f>WEEKNUM(orders[[#This Row],[Order Date]],2)</f>
        <v>10</v>
      </c>
      <c r="O1819" t="str" cm="1">
        <f t="array" ref="O18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20" spans="1:15" x14ac:dyDescent="0.3">
      <c r="A1820" t="s">
        <v>1917</v>
      </c>
      <c r="B1820" t="s">
        <v>19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14</v>
      </c>
      <c r="I1820" t="s">
        <v>37</v>
      </c>
      <c r="J1820">
        <v>4</v>
      </c>
      <c r="K1820" t="s">
        <v>16</v>
      </c>
      <c r="L1820" t="s">
        <v>30</v>
      </c>
      <c r="M1820">
        <f>orders[[#This Row],[Ship Date]]-orders[[#This Row],[Order Date]]</f>
        <v>4</v>
      </c>
      <c r="N1820">
        <f>WEEKNUM(orders[[#This Row],[Order Date]],2)</f>
        <v>10</v>
      </c>
      <c r="O1820" t="str" cm="1">
        <f t="array" ref="O182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821" spans="1:15" x14ac:dyDescent="0.3">
      <c r="A1821" t="s">
        <v>1918</v>
      </c>
      <c r="B1821" t="s">
        <v>36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24</v>
      </c>
      <c r="I1821" t="s">
        <v>32</v>
      </c>
      <c r="J1821">
        <v>4</v>
      </c>
      <c r="K1821" t="s">
        <v>16</v>
      </c>
      <c r="L1821" t="s">
        <v>30</v>
      </c>
      <c r="M1821">
        <f>orders[[#This Row],[Ship Date]]-orders[[#This Row],[Order Date]]</f>
        <v>2</v>
      </c>
      <c r="N1821">
        <f>WEEKNUM(orders[[#This Row],[Order Date]],2)</f>
        <v>10</v>
      </c>
      <c r="O1821" t="str" cm="1">
        <f t="array" ref="O182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22" spans="1:15" x14ac:dyDescent="0.3">
      <c r="A1822" t="s">
        <v>1919</v>
      </c>
      <c r="B1822" t="s">
        <v>19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24</v>
      </c>
      <c r="I1822" t="s">
        <v>32</v>
      </c>
      <c r="J1822">
        <v>4</v>
      </c>
      <c r="K1822" t="s">
        <v>16</v>
      </c>
      <c r="L1822" t="s">
        <v>30</v>
      </c>
      <c r="M1822">
        <f>orders[[#This Row],[Ship Date]]-orders[[#This Row],[Order Date]]</f>
        <v>1</v>
      </c>
      <c r="N1822">
        <f>WEEKNUM(orders[[#This Row],[Order Date]],2)</f>
        <v>10</v>
      </c>
      <c r="O1822" t="str" cm="1">
        <f t="array" ref="O18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23" spans="1:15" x14ac:dyDescent="0.3">
      <c r="A1823" t="s">
        <v>1920</v>
      </c>
      <c r="B1823" t="s">
        <v>36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14</v>
      </c>
      <c r="I1823" t="s">
        <v>48</v>
      </c>
      <c r="J1823">
        <v>4</v>
      </c>
      <c r="K1823" t="s">
        <v>16</v>
      </c>
      <c r="L1823" t="s">
        <v>30</v>
      </c>
      <c r="M1823">
        <f>orders[[#This Row],[Ship Date]]-orders[[#This Row],[Order Date]]</f>
        <v>2</v>
      </c>
      <c r="N1823">
        <f>WEEKNUM(orders[[#This Row],[Order Date]],2)</f>
        <v>10</v>
      </c>
      <c r="O1823" t="str" cm="1">
        <f t="array" ref="O182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824" spans="1:15" x14ac:dyDescent="0.3">
      <c r="A1824" t="s">
        <v>1921</v>
      </c>
      <c r="B1824" t="s">
        <v>168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20</v>
      </c>
      <c r="I1824" t="s">
        <v>37</v>
      </c>
      <c r="J1824">
        <v>4</v>
      </c>
      <c r="K1824" t="s">
        <v>16</v>
      </c>
      <c r="L1824" t="s">
        <v>30</v>
      </c>
      <c r="M1824">
        <f>orders[[#This Row],[Ship Date]]-orders[[#This Row],[Order Date]]</f>
        <v>0</v>
      </c>
      <c r="N1824">
        <f>WEEKNUM(orders[[#This Row],[Order Date]],2)</f>
        <v>10</v>
      </c>
      <c r="O1824" t="str" cm="1">
        <f t="array" ref="O182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25" spans="1:15" x14ac:dyDescent="0.3">
      <c r="A1825" t="s">
        <v>1922</v>
      </c>
      <c r="B1825" t="s">
        <v>66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86</v>
      </c>
      <c r="I1825" t="s">
        <v>67</v>
      </c>
      <c r="J1825">
        <v>4</v>
      </c>
      <c r="K1825" t="s">
        <v>16</v>
      </c>
      <c r="L1825" t="s">
        <v>30</v>
      </c>
      <c r="M1825">
        <f>orders[[#This Row],[Ship Date]]-orders[[#This Row],[Order Date]]</f>
        <v>1</v>
      </c>
      <c r="N1825">
        <f>WEEKNUM(orders[[#This Row],[Order Date]],2)</f>
        <v>10</v>
      </c>
      <c r="O1825" t="str" cm="1">
        <f t="array" ref="O182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26" spans="1:15" x14ac:dyDescent="0.3">
      <c r="A1826" t="s">
        <v>1923</v>
      </c>
      <c r="B1826" t="s">
        <v>13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20</v>
      </c>
      <c r="I1826" t="s">
        <v>15</v>
      </c>
      <c r="J1826">
        <v>4</v>
      </c>
      <c r="K1826" t="s">
        <v>16</v>
      </c>
      <c r="L1826" t="s">
        <v>30</v>
      </c>
      <c r="M1826">
        <f>orders[[#This Row],[Ship Date]]-orders[[#This Row],[Order Date]]</f>
        <v>2</v>
      </c>
      <c r="N1826">
        <f>WEEKNUM(orders[[#This Row],[Order Date]],2)</f>
        <v>10</v>
      </c>
      <c r="O1826" t="str" cm="1">
        <f t="array" ref="O18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27" spans="1:15" x14ac:dyDescent="0.3">
      <c r="A1827" t="s">
        <v>1924</v>
      </c>
      <c r="B1827" t="s">
        <v>29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24</v>
      </c>
      <c r="I1827" t="s">
        <v>37</v>
      </c>
      <c r="J1827">
        <v>5</v>
      </c>
      <c r="K1827" t="s">
        <v>16</v>
      </c>
      <c r="L1827" t="s">
        <v>30</v>
      </c>
      <c r="M1827">
        <f>orders[[#This Row],[Ship Date]]-orders[[#This Row],[Order Date]]</f>
        <v>1</v>
      </c>
      <c r="N1827">
        <f>WEEKNUM(orders[[#This Row],[Order Date]],2)</f>
        <v>10</v>
      </c>
      <c r="O1827" t="str" cm="1">
        <f t="array" ref="O18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28" spans="1:15" x14ac:dyDescent="0.3">
      <c r="A1828" t="s">
        <v>1925</v>
      </c>
      <c r="B1828" t="s">
        <v>41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14</v>
      </c>
      <c r="I1828" t="s">
        <v>15</v>
      </c>
      <c r="J1828">
        <v>3</v>
      </c>
      <c r="K1828" t="s">
        <v>16</v>
      </c>
      <c r="L1828" t="s">
        <v>30</v>
      </c>
      <c r="M1828">
        <f>orders[[#This Row],[Ship Date]]-orders[[#This Row],[Order Date]]</f>
        <v>1</v>
      </c>
      <c r="N1828">
        <f>WEEKNUM(orders[[#This Row],[Order Date]],2)</f>
        <v>10</v>
      </c>
      <c r="O1828" t="str" cm="1">
        <f t="array" ref="O182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829" spans="1:15" x14ac:dyDescent="0.3">
      <c r="A1829" t="s">
        <v>1926</v>
      </c>
      <c r="B1829" t="s">
        <v>29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20</v>
      </c>
      <c r="I1829" t="s">
        <v>37</v>
      </c>
      <c r="J1829">
        <v>3</v>
      </c>
      <c r="K1829" t="s">
        <v>16</v>
      </c>
      <c r="L1829" t="s">
        <v>30</v>
      </c>
      <c r="M1829">
        <f>orders[[#This Row],[Ship Date]]-orders[[#This Row],[Order Date]]</f>
        <v>1</v>
      </c>
      <c r="N1829">
        <f>WEEKNUM(orders[[#This Row],[Order Date]],2)</f>
        <v>10</v>
      </c>
      <c r="O1829" t="str" cm="1">
        <f t="array" ref="O18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30" spans="1:15" x14ac:dyDescent="0.3">
      <c r="A1830" t="s">
        <v>1927</v>
      </c>
      <c r="B1830" t="s">
        <v>36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24</v>
      </c>
      <c r="I1830" t="s">
        <v>15</v>
      </c>
      <c r="J1830">
        <v>4</v>
      </c>
      <c r="K1830" t="s">
        <v>16</v>
      </c>
      <c r="L1830" t="s">
        <v>361</v>
      </c>
      <c r="M1830">
        <f>orders[[#This Row],[Ship Date]]-orders[[#This Row],[Order Date]]</f>
        <v>6</v>
      </c>
      <c r="N1830">
        <f>WEEKNUM(orders[[#This Row],[Order Date]],2)</f>
        <v>10</v>
      </c>
      <c r="O1830" t="str" cm="1">
        <f t="array" ref="O18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31" spans="1:15" x14ac:dyDescent="0.3">
      <c r="A1831" t="s">
        <v>1928</v>
      </c>
      <c r="B1831" t="s">
        <v>43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20</v>
      </c>
      <c r="I1831" t="s">
        <v>37</v>
      </c>
      <c r="J1831">
        <v>5</v>
      </c>
      <c r="K1831" t="s">
        <v>16</v>
      </c>
      <c r="L1831" t="s">
        <v>185</v>
      </c>
      <c r="M1831">
        <f>orders[[#This Row],[Ship Date]]-orders[[#This Row],[Order Date]]</f>
        <v>1</v>
      </c>
      <c r="N1831">
        <f>WEEKNUM(orders[[#This Row],[Order Date]],2)</f>
        <v>10</v>
      </c>
      <c r="O1831" t="str" cm="1">
        <f t="array" ref="O18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32" spans="1:15" x14ac:dyDescent="0.3">
      <c r="A1832" t="s">
        <v>1929</v>
      </c>
      <c r="B1832" t="s">
        <v>19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24</v>
      </c>
      <c r="I1832" t="s">
        <v>37</v>
      </c>
      <c r="J1832">
        <v>5</v>
      </c>
      <c r="K1832" t="s">
        <v>16</v>
      </c>
      <c r="L1832" t="s">
        <v>155</v>
      </c>
      <c r="M1832">
        <f>orders[[#This Row],[Ship Date]]-orders[[#This Row],[Order Date]]</f>
        <v>1</v>
      </c>
      <c r="N1832">
        <f>WEEKNUM(orders[[#This Row],[Order Date]],2)</f>
        <v>10</v>
      </c>
      <c r="O1832" t="str" cm="1">
        <f t="array" ref="O18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33" spans="1:15" x14ac:dyDescent="0.3">
      <c r="A1833" t="s">
        <v>1930</v>
      </c>
      <c r="B1833" t="s">
        <v>36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14</v>
      </c>
      <c r="I1833" t="s">
        <v>67</v>
      </c>
      <c r="J1833">
        <v>4</v>
      </c>
      <c r="K1833" t="s">
        <v>16</v>
      </c>
      <c r="L1833" t="s">
        <v>56</v>
      </c>
      <c r="M1833">
        <f>orders[[#This Row],[Ship Date]]-orders[[#This Row],[Order Date]]</f>
        <v>2</v>
      </c>
      <c r="N1833">
        <f>WEEKNUM(orders[[#This Row],[Order Date]],2)</f>
        <v>10</v>
      </c>
      <c r="O1833" t="str" cm="1">
        <f t="array" ref="O183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834" spans="1:15" x14ac:dyDescent="0.3">
      <c r="A1834" t="s">
        <v>1931</v>
      </c>
      <c r="B1834" t="s">
        <v>19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24</v>
      </c>
      <c r="I1834" t="s">
        <v>15</v>
      </c>
      <c r="J1834">
        <v>5</v>
      </c>
      <c r="K1834" t="s">
        <v>16</v>
      </c>
      <c r="L1834" t="s">
        <v>59</v>
      </c>
      <c r="M1834">
        <f>orders[[#This Row],[Ship Date]]-orders[[#This Row],[Order Date]]</f>
        <v>12</v>
      </c>
      <c r="N1834">
        <f>WEEKNUM(orders[[#This Row],[Order Date]],2)</f>
        <v>10</v>
      </c>
      <c r="O1834" t="str" cm="1">
        <f t="array" ref="O18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35" spans="1:15" x14ac:dyDescent="0.3">
      <c r="A1835" t="s">
        <v>1932</v>
      </c>
      <c r="B1835" t="s">
        <v>41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20</v>
      </c>
      <c r="I1835" t="s">
        <v>48</v>
      </c>
      <c r="J1835">
        <v>4</v>
      </c>
      <c r="K1835" t="s">
        <v>16</v>
      </c>
      <c r="L1835" t="s">
        <v>59</v>
      </c>
      <c r="M1835">
        <f>orders[[#This Row],[Ship Date]]-orders[[#This Row],[Order Date]]</f>
        <v>6</v>
      </c>
      <c r="N1835">
        <f>WEEKNUM(orders[[#This Row],[Order Date]],2)</f>
        <v>10</v>
      </c>
      <c r="O1835" t="str" cm="1">
        <f t="array" ref="O18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36" spans="1:15" x14ac:dyDescent="0.3">
      <c r="A1836" t="s">
        <v>1933</v>
      </c>
      <c r="B1836" t="s">
        <v>41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20</v>
      </c>
      <c r="I1836" t="s">
        <v>48</v>
      </c>
      <c r="J1836">
        <v>3</v>
      </c>
      <c r="K1836" t="s">
        <v>16</v>
      </c>
      <c r="L1836" t="s">
        <v>59</v>
      </c>
      <c r="M1836">
        <f>orders[[#This Row],[Ship Date]]-orders[[#This Row],[Order Date]]</f>
        <v>4</v>
      </c>
      <c r="N1836">
        <f>WEEKNUM(orders[[#This Row],[Order Date]],2)</f>
        <v>10</v>
      </c>
      <c r="O1836" t="str" cm="1">
        <f t="array" ref="O18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37" spans="1:15" x14ac:dyDescent="0.3">
      <c r="A1837" t="s">
        <v>1934</v>
      </c>
      <c r="B1837" t="s">
        <v>168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24</v>
      </c>
      <c r="I1837" t="s">
        <v>37</v>
      </c>
      <c r="J1837">
        <v>5</v>
      </c>
      <c r="K1837" t="s">
        <v>16</v>
      </c>
      <c r="L1837" t="s">
        <v>59</v>
      </c>
      <c r="M1837">
        <f>orders[[#This Row],[Ship Date]]-orders[[#This Row],[Order Date]]</f>
        <v>1</v>
      </c>
      <c r="N1837">
        <f>WEEKNUM(orders[[#This Row],[Order Date]],2)</f>
        <v>10</v>
      </c>
      <c r="O1837" t="str" cm="1">
        <f t="array" ref="O183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38" spans="1:15" x14ac:dyDescent="0.3">
      <c r="A1838" t="s">
        <v>1935</v>
      </c>
      <c r="B1838" t="s">
        <v>23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24</v>
      </c>
      <c r="I1838" t="s">
        <v>15</v>
      </c>
      <c r="J1838">
        <v>3</v>
      </c>
      <c r="K1838" t="s">
        <v>16</v>
      </c>
      <c r="L1838" t="s">
        <v>59</v>
      </c>
      <c r="M1838">
        <f>orders[[#This Row],[Ship Date]]-orders[[#This Row],[Order Date]]</f>
        <v>1</v>
      </c>
      <c r="N1838">
        <f>WEEKNUM(orders[[#This Row],[Order Date]],2)</f>
        <v>10</v>
      </c>
      <c r="O1838" t="str" cm="1">
        <f t="array" ref="O18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39" spans="1:15" x14ac:dyDescent="0.3">
      <c r="A1839" t="s">
        <v>1936</v>
      </c>
      <c r="B1839" t="s">
        <v>41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24</v>
      </c>
      <c r="I1839" t="s">
        <v>32</v>
      </c>
      <c r="J1839">
        <v>3</v>
      </c>
      <c r="K1839" t="s">
        <v>16</v>
      </c>
      <c r="L1839" t="s">
        <v>59</v>
      </c>
      <c r="M1839">
        <f>orders[[#This Row],[Ship Date]]-orders[[#This Row],[Order Date]]</f>
        <v>5</v>
      </c>
      <c r="N1839">
        <f>WEEKNUM(orders[[#This Row],[Order Date]],2)</f>
        <v>10</v>
      </c>
      <c r="O1839" t="str" cm="1">
        <f t="array" ref="O18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40" spans="1:15" x14ac:dyDescent="0.3">
      <c r="A1840" t="s">
        <v>1937</v>
      </c>
      <c r="B1840" t="s">
        <v>23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20</v>
      </c>
      <c r="I1840" t="s">
        <v>48</v>
      </c>
      <c r="J1840">
        <v>3</v>
      </c>
      <c r="K1840" t="s">
        <v>16</v>
      </c>
      <c r="L1840" t="s">
        <v>59</v>
      </c>
      <c r="M1840">
        <f>orders[[#This Row],[Ship Date]]-orders[[#This Row],[Order Date]]</f>
        <v>6</v>
      </c>
      <c r="N1840">
        <f>WEEKNUM(orders[[#This Row],[Order Date]],2)</f>
        <v>10</v>
      </c>
      <c r="O1840" t="str" cm="1">
        <f t="array" ref="O18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41" spans="1:15" x14ac:dyDescent="0.3">
      <c r="A1841" t="s">
        <v>1938</v>
      </c>
      <c r="B1841" t="s">
        <v>132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24</v>
      </c>
      <c r="I1841" t="s">
        <v>15</v>
      </c>
      <c r="J1841">
        <v>2</v>
      </c>
      <c r="K1841" t="s">
        <v>16</v>
      </c>
      <c r="L1841" t="s">
        <v>59</v>
      </c>
      <c r="M1841">
        <f>orders[[#This Row],[Ship Date]]-orders[[#This Row],[Order Date]]</f>
        <v>8</v>
      </c>
      <c r="N1841">
        <f>WEEKNUM(orders[[#This Row],[Order Date]],2)</f>
        <v>10</v>
      </c>
      <c r="O1841" t="str" cm="1">
        <f t="array" ref="O18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42" spans="1:15" x14ac:dyDescent="0.3">
      <c r="A1842" t="s">
        <v>1939</v>
      </c>
      <c r="B1842" t="s">
        <v>23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20</v>
      </c>
      <c r="I1842" t="s">
        <v>15</v>
      </c>
      <c r="J1842">
        <v>5</v>
      </c>
      <c r="K1842" t="s">
        <v>16</v>
      </c>
      <c r="L1842" t="s">
        <v>100</v>
      </c>
      <c r="M1842">
        <f>orders[[#This Row],[Ship Date]]-orders[[#This Row],[Order Date]]</f>
        <v>1</v>
      </c>
      <c r="N1842">
        <f>WEEKNUM(orders[[#This Row],[Order Date]],2)</f>
        <v>10</v>
      </c>
      <c r="O1842" t="str" cm="1">
        <f t="array" ref="O18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43" spans="1:15" x14ac:dyDescent="0.3">
      <c r="A1843" t="s">
        <v>1940</v>
      </c>
      <c r="B1843" t="s">
        <v>66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24</v>
      </c>
      <c r="I1843" t="s">
        <v>67</v>
      </c>
      <c r="J1843">
        <v>2</v>
      </c>
      <c r="K1843" t="s">
        <v>16</v>
      </c>
      <c r="L1843" t="s">
        <v>198</v>
      </c>
      <c r="M1843">
        <f>orders[[#This Row],[Ship Date]]-orders[[#This Row],[Order Date]]</f>
        <v>1</v>
      </c>
      <c r="N1843">
        <f>WEEKNUM(orders[[#This Row],[Order Date]],2)</f>
        <v>10</v>
      </c>
      <c r="O1843" t="str" cm="1">
        <f t="array" ref="O18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44" spans="1:15" x14ac:dyDescent="0.3">
      <c r="A1844" t="s">
        <v>1941</v>
      </c>
      <c r="B1844" t="s">
        <v>120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14</v>
      </c>
      <c r="I1844" t="s">
        <v>37</v>
      </c>
      <c r="J1844">
        <v>5</v>
      </c>
      <c r="K1844" t="s">
        <v>16</v>
      </c>
      <c r="L1844" t="s">
        <v>74</v>
      </c>
      <c r="M1844">
        <f>orders[[#This Row],[Ship Date]]-orders[[#This Row],[Order Date]]</f>
        <v>3</v>
      </c>
      <c r="N1844">
        <f>WEEKNUM(orders[[#This Row],[Order Date]],2)</f>
        <v>10</v>
      </c>
      <c r="O1844" t="str" cm="1">
        <f t="array" ref="O184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845" spans="1:15" x14ac:dyDescent="0.3">
      <c r="A1845" t="s">
        <v>1942</v>
      </c>
      <c r="B1845" t="s">
        <v>19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24</v>
      </c>
      <c r="I1845" t="s">
        <v>15</v>
      </c>
      <c r="J1845">
        <v>4</v>
      </c>
      <c r="K1845" t="s">
        <v>16</v>
      </c>
      <c r="L1845" t="s">
        <v>74</v>
      </c>
      <c r="M1845">
        <f>orders[[#This Row],[Ship Date]]-orders[[#This Row],[Order Date]]</f>
        <v>4</v>
      </c>
      <c r="N1845">
        <f>WEEKNUM(orders[[#This Row],[Order Date]],2)</f>
        <v>10</v>
      </c>
      <c r="O1845" t="str" cm="1">
        <f t="array" ref="O18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46" spans="1:15" x14ac:dyDescent="0.3">
      <c r="A1846" t="s">
        <v>1943</v>
      </c>
      <c r="B1846" t="s">
        <v>41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20</v>
      </c>
      <c r="I1846" t="s">
        <v>32</v>
      </c>
      <c r="J1846">
        <v>3</v>
      </c>
      <c r="K1846" t="s">
        <v>16</v>
      </c>
      <c r="L1846" t="s">
        <v>74</v>
      </c>
      <c r="M1846">
        <f>orders[[#This Row],[Ship Date]]-orders[[#This Row],[Order Date]]</f>
        <v>1</v>
      </c>
      <c r="N1846">
        <f>WEEKNUM(orders[[#This Row],[Order Date]],2)</f>
        <v>10</v>
      </c>
      <c r="O1846" t="str" cm="1">
        <f t="array" ref="O18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47" spans="1:15" x14ac:dyDescent="0.3">
      <c r="A1847" t="s">
        <v>1944</v>
      </c>
      <c r="B1847" t="s">
        <v>29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86</v>
      </c>
      <c r="I1847" t="s">
        <v>37</v>
      </c>
      <c r="J1847">
        <v>4</v>
      </c>
      <c r="K1847" t="s">
        <v>16</v>
      </c>
      <c r="L1847" t="s">
        <v>74</v>
      </c>
      <c r="M1847">
        <f>orders[[#This Row],[Ship Date]]-orders[[#This Row],[Order Date]]</f>
        <v>1</v>
      </c>
      <c r="N1847">
        <f>WEEKNUM(orders[[#This Row],[Order Date]],2)</f>
        <v>10</v>
      </c>
      <c r="O1847" t="str" cm="1">
        <f t="array" ref="O184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48" spans="1:15" x14ac:dyDescent="0.3">
      <c r="A1848" t="s">
        <v>1945</v>
      </c>
      <c r="B1848" t="s">
        <v>125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24</v>
      </c>
      <c r="I1848" t="s">
        <v>67</v>
      </c>
      <c r="J1848">
        <v>4</v>
      </c>
      <c r="K1848" t="s">
        <v>16</v>
      </c>
      <c r="L1848" t="s">
        <v>105</v>
      </c>
      <c r="M1848">
        <f>orders[[#This Row],[Ship Date]]-orders[[#This Row],[Order Date]]</f>
        <v>5</v>
      </c>
      <c r="N1848">
        <f>WEEKNUM(orders[[#This Row],[Order Date]],2)</f>
        <v>10</v>
      </c>
      <c r="O1848" t="str" cm="1">
        <f t="array" ref="O18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49" spans="1:15" x14ac:dyDescent="0.3">
      <c r="A1849" t="s">
        <v>1946</v>
      </c>
      <c r="B1849" t="s">
        <v>23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24</v>
      </c>
      <c r="I1849" t="s">
        <v>37</v>
      </c>
      <c r="J1849">
        <v>4</v>
      </c>
      <c r="K1849" t="s">
        <v>16</v>
      </c>
      <c r="L1849" t="s">
        <v>107</v>
      </c>
      <c r="M1849">
        <f>orders[[#This Row],[Ship Date]]-orders[[#This Row],[Order Date]]</f>
        <v>2</v>
      </c>
      <c r="N1849">
        <f>WEEKNUM(orders[[#This Row],[Order Date]],2)</f>
        <v>10</v>
      </c>
      <c r="O1849" t="str" cm="1">
        <f t="array" ref="O18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0" spans="1:15" x14ac:dyDescent="0.3">
      <c r="A1850" t="s">
        <v>1947</v>
      </c>
      <c r="B1850" t="s">
        <v>29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24</v>
      </c>
      <c r="I1850" t="s">
        <v>32</v>
      </c>
      <c r="J1850">
        <v>1</v>
      </c>
      <c r="K1850" t="s">
        <v>16</v>
      </c>
      <c r="L1850" t="s">
        <v>110</v>
      </c>
      <c r="M1850">
        <f>orders[[#This Row],[Ship Date]]-orders[[#This Row],[Order Date]]</f>
        <v>1</v>
      </c>
      <c r="N1850">
        <f>WEEKNUM(orders[[#This Row],[Order Date]],2)</f>
        <v>10</v>
      </c>
      <c r="O1850" t="str" cm="1">
        <f t="array" ref="O18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1" spans="1:15" x14ac:dyDescent="0.3">
      <c r="A1851" t="s">
        <v>1948</v>
      </c>
      <c r="B1851" t="s">
        <v>23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20</v>
      </c>
      <c r="I1851" t="s">
        <v>32</v>
      </c>
      <c r="J1851">
        <v>5</v>
      </c>
      <c r="K1851" t="s">
        <v>16</v>
      </c>
      <c r="L1851" t="s">
        <v>110</v>
      </c>
      <c r="M1851">
        <f>orders[[#This Row],[Ship Date]]-orders[[#This Row],[Order Date]]</f>
        <v>6</v>
      </c>
      <c r="N1851">
        <f>WEEKNUM(orders[[#This Row],[Order Date]],2)</f>
        <v>10</v>
      </c>
      <c r="O1851" t="str" cm="1">
        <f t="array" ref="O18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52" spans="1:15" x14ac:dyDescent="0.3">
      <c r="A1852" t="s">
        <v>1949</v>
      </c>
      <c r="B1852" t="s">
        <v>41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24</v>
      </c>
      <c r="I1852" t="s">
        <v>67</v>
      </c>
      <c r="J1852">
        <v>4</v>
      </c>
      <c r="K1852" t="s">
        <v>16</v>
      </c>
      <c r="L1852" t="s">
        <v>79</v>
      </c>
      <c r="M1852">
        <f>orders[[#This Row],[Ship Date]]-orders[[#This Row],[Order Date]]</f>
        <v>1</v>
      </c>
      <c r="N1852">
        <f>WEEKNUM(orders[[#This Row],[Order Date]],2)</f>
        <v>10</v>
      </c>
      <c r="O1852" t="str" cm="1">
        <f t="array" ref="O18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3" spans="1:15" x14ac:dyDescent="0.3">
      <c r="A1853" t="s">
        <v>1950</v>
      </c>
      <c r="B1853" t="s">
        <v>66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24</v>
      </c>
      <c r="I1853" t="s">
        <v>15</v>
      </c>
      <c r="J1853">
        <v>5</v>
      </c>
      <c r="K1853" t="s">
        <v>16</v>
      </c>
      <c r="L1853" t="s">
        <v>112</v>
      </c>
      <c r="M1853">
        <f>orders[[#This Row],[Ship Date]]-orders[[#This Row],[Order Date]]</f>
        <v>1</v>
      </c>
      <c r="N1853">
        <f>WEEKNUM(orders[[#This Row],[Order Date]],2)</f>
        <v>10</v>
      </c>
      <c r="O1853" t="str" cm="1">
        <f t="array" ref="O18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4" spans="1:15" x14ac:dyDescent="0.3">
      <c r="A1854" t="s">
        <v>1951</v>
      </c>
      <c r="B1854" t="s">
        <v>13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24</v>
      </c>
      <c r="I1854" t="s">
        <v>32</v>
      </c>
      <c r="J1854">
        <v>5</v>
      </c>
      <c r="K1854" t="s">
        <v>16</v>
      </c>
      <c r="L1854" t="s">
        <v>112</v>
      </c>
      <c r="M1854">
        <f>orders[[#This Row],[Ship Date]]-orders[[#This Row],[Order Date]]</f>
        <v>2</v>
      </c>
      <c r="N1854">
        <f>WEEKNUM(orders[[#This Row],[Order Date]],2)</f>
        <v>10</v>
      </c>
      <c r="O1854" t="str" cm="1">
        <f t="array" ref="O18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5" spans="1:15" x14ac:dyDescent="0.3">
      <c r="A1855" t="s">
        <v>1952</v>
      </c>
      <c r="B1855" t="s">
        <v>78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20</v>
      </c>
      <c r="I1855" t="s">
        <v>37</v>
      </c>
      <c r="J1855">
        <v>4</v>
      </c>
      <c r="K1855" t="s">
        <v>16</v>
      </c>
      <c r="L1855" t="s">
        <v>21</v>
      </c>
      <c r="M1855">
        <f>orders[[#This Row],[Ship Date]]-orders[[#This Row],[Order Date]]</f>
        <v>3</v>
      </c>
      <c r="N1855">
        <f>WEEKNUM(orders[[#This Row],[Order Date]],2)</f>
        <v>10</v>
      </c>
      <c r="O1855" t="str" cm="1">
        <f t="array" ref="O18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56" spans="1:15" x14ac:dyDescent="0.3">
      <c r="A1856" t="s">
        <v>1953</v>
      </c>
      <c r="B1856" t="s">
        <v>41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24</v>
      </c>
      <c r="I1856" t="s">
        <v>15</v>
      </c>
      <c r="J1856">
        <v>4</v>
      </c>
      <c r="K1856" t="s">
        <v>16</v>
      </c>
      <c r="L1856" t="s">
        <v>21</v>
      </c>
      <c r="M1856">
        <f>orders[[#This Row],[Ship Date]]-orders[[#This Row],[Order Date]]</f>
        <v>2</v>
      </c>
      <c r="N1856">
        <f>WEEKNUM(orders[[#This Row],[Order Date]],2)</f>
        <v>11</v>
      </c>
      <c r="O1856" t="str" cm="1">
        <f t="array" ref="O18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7" spans="1:15" x14ac:dyDescent="0.3">
      <c r="A1857" t="s">
        <v>1954</v>
      </c>
      <c r="B1857" t="s">
        <v>51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20</v>
      </c>
      <c r="I1857" t="s">
        <v>32</v>
      </c>
      <c r="J1857">
        <v>3</v>
      </c>
      <c r="K1857" t="s">
        <v>16</v>
      </c>
      <c r="L1857" t="s">
        <v>205</v>
      </c>
      <c r="M1857">
        <f>orders[[#This Row],[Ship Date]]-orders[[#This Row],[Order Date]]</f>
        <v>1</v>
      </c>
      <c r="N1857">
        <f>WEEKNUM(orders[[#This Row],[Order Date]],2)</f>
        <v>11</v>
      </c>
      <c r="O1857" t="str" cm="1">
        <f t="array" ref="O18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58" spans="1:15" x14ac:dyDescent="0.3">
      <c r="A1858" t="s">
        <v>1955</v>
      </c>
      <c r="B1858" t="s">
        <v>132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24</v>
      </c>
      <c r="I1858" t="s">
        <v>37</v>
      </c>
      <c r="J1858">
        <v>4</v>
      </c>
      <c r="K1858" t="s">
        <v>16</v>
      </c>
      <c r="L1858" t="s">
        <v>584</v>
      </c>
      <c r="M1858">
        <f>orders[[#This Row],[Ship Date]]-orders[[#This Row],[Order Date]]</f>
        <v>6</v>
      </c>
      <c r="N1858">
        <f>WEEKNUM(orders[[#This Row],[Order Date]],2)</f>
        <v>11</v>
      </c>
      <c r="O1858" t="str" cm="1">
        <f t="array" ref="O18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59" spans="1:15" x14ac:dyDescent="0.3">
      <c r="A1859" t="s">
        <v>1956</v>
      </c>
      <c r="B1859" t="s">
        <v>36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24</v>
      </c>
      <c r="I1859" t="s">
        <v>32</v>
      </c>
      <c r="J1859">
        <v>5</v>
      </c>
      <c r="K1859" t="s">
        <v>16</v>
      </c>
      <c r="L1859" t="s">
        <v>946</v>
      </c>
      <c r="M1859">
        <f>orders[[#This Row],[Ship Date]]-orders[[#This Row],[Order Date]]</f>
        <v>5</v>
      </c>
      <c r="N1859">
        <f>WEEKNUM(orders[[#This Row],[Order Date]],2)</f>
        <v>11</v>
      </c>
      <c r="O1859" t="str" cm="1">
        <f t="array" ref="O18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60" spans="1:15" x14ac:dyDescent="0.3">
      <c r="A1860" t="s">
        <v>1957</v>
      </c>
      <c r="B1860" t="s">
        <v>132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24</v>
      </c>
      <c r="I1860" t="s">
        <v>37</v>
      </c>
      <c r="J1860">
        <v>4</v>
      </c>
      <c r="K1860" t="s">
        <v>16</v>
      </c>
      <c r="L1860" t="s">
        <v>30</v>
      </c>
      <c r="M1860">
        <f>orders[[#This Row],[Ship Date]]-orders[[#This Row],[Order Date]]</f>
        <v>3</v>
      </c>
      <c r="N1860">
        <f>WEEKNUM(orders[[#This Row],[Order Date]],2)</f>
        <v>11</v>
      </c>
      <c r="O1860" t="str" cm="1">
        <f t="array" ref="O18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61" spans="1:15" x14ac:dyDescent="0.3">
      <c r="A1861" t="s">
        <v>1958</v>
      </c>
      <c r="B1861" t="s">
        <v>23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20</v>
      </c>
      <c r="I1861" t="s">
        <v>37</v>
      </c>
      <c r="J1861">
        <v>5</v>
      </c>
      <c r="K1861" t="s">
        <v>16</v>
      </c>
      <c r="L1861" t="s">
        <v>30</v>
      </c>
      <c r="M1861">
        <f>orders[[#This Row],[Ship Date]]-orders[[#This Row],[Order Date]]</f>
        <v>0</v>
      </c>
      <c r="N1861">
        <f>WEEKNUM(orders[[#This Row],[Order Date]],2)</f>
        <v>11</v>
      </c>
      <c r="O1861" t="str" cm="1">
        <f t="array" ref="O18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62" spans="1:15" x14ac:dyDescent="0.3">
      <c r="A1862" t="s">
        <v>1959</v>
      </c>
      <c r="B1862" t="s">
        <v>13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20</v>
      </c>
      <c r="I1862" t="s">
        <v>32</v>
      </c>
      <c r="J1862">
        <v>5</v>
      </c>
      <c r="K1862" t="s">
        <v>16</v>
      </c>
      <c r="L1862" t="s">
        <v>30</v>
      </c>
      <c r="M1862">
        <f>orders[[#This Row],[Ship Date]]-orders[[#This Row],[Order Date]]</f>
        <v>1</v>
      </c>
      <c r="N1862">
        <f>WEEKNUM(orders[[#This Row],[Order Date]],2)</f>
        <v>11</v>
      </c>
      <c r="O1862" t="str" cm="1">
        <f t="array" ref="O186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63" spans="1:15" x14ac:dyDescent="0.3">
      <c r="A1863" t="s">
        <v>1960</v>
      </c>
      <c r="B1863" t="s">
        <v>41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86</v>
      </c>
      <c r="I1863" t="s">
        <v>15</v>
      </c>
      <c r="J1863">
        <v>5</v>
      </c>
      <c r="K1863" t="s">
        <v>16</v>
      </c>
      <c r="L1863" t="s">
        <v>30</v>
      </c>
      <c r="M1863">
        <f>orders[[#This Row],[Ship Date]]-orders[[#This Row],[Order Date]]</f>
        <v>2</v>
      </c>
      <c r="N1863">
        <f>WEEKNUM(orders[[#This Row],[Order Date]],2)</f>
        <v>11</v>
      </c>
      <c r="O1863" t="str" cm="1">
        <f t="array" ref="O186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64" spans="1:15" x14ac:dyDescent="0.3">
      <c r="A1864" t="s">
        <v>1961</v>
      </c>
      <c r="B1864" t="s">
        <v>66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20</v>
      </c>
      <c r="I1864" t="s">
        <v>32</v>
      </c>
      <c r="J1864">
        <v>5</v>
      </c>
      <c r="K1864" t="s">
        <v>16</v>
      </c>
      <c r="L1864" t="s">
        <v>30</v>
      </c>
      <c r="M1864">
        <f>orders[[#This Row],[Ship Date]]-orders[[#This Row],[Order Date]]</f>
        <v>1</v>
      </c>
      <c r="N1864">
        <f>WEEKNUM(orders[[#This Row],[Order Date]],2)</f>
        <v>11</v>
      </c>
      <c r="O1864" t="str" cm="1">
        <f t="array" ref="O18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65" spans="1:15" x14ac:dyDescent="0.3">
      <c r="A1865" t="s">
        <v>1962</v>
      </c>
      <c r="B1865" t="s">
        <v>66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24</v>
      </c>
      <c r="I1865" t="s">
        <v>37</v>
      </c>
      <c r="J1865">
        <v>2</v>
      </c>
      <c r="K1865" t="s">
        <v>16</v>
      </c>
      <c r="L1865" t="s">
        <v>30</v>
      </c>
      <c r="M1865">
        <f>orders[[#This Row],[Ship Date]]-orders[[#This Row],[Order Date]]</f>
        <v>2</v>
      </c>
      <c r="N1865">
        <f>WEEKNUM(orders[[#This Row],[Order Date]],2)</f>
        <v>11</v>
      </c>
      <c r="O1865" t="str" cm="1">
        <f t="array" ref="O18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66" spans="1:15" x14ac:dyDescent="0.3">
      <c r="A1866" t="s">
        <v>1963</v>
      </c>
      <c r="B1866" t="s">
        <v>43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24</v>
      </c>
      <c r="I1866" t="s">
        <v>15</v>
      </c>
      <c r="J1866">
        <v>4</v>
      </c>
      <c r="K1866" t="s">
        <v>16</v>
      </c>
      <c r="L1866" t="s">
        <v>30</v>
      </c>
      <c r="M1866">
        <f>orders[[#This Row],[Ship Date]]-orders[[#This Row],[Order Date]]</f>
        <v>2</v>
      </c>
      <c r="N1866">
        <f>WEEKNUM(orders[[#This Row],[Order Date]],2)</f>
        <v>11</v>
      </c>
      <c r="O1866" t="str" cm="1">
        <f t="array" ref="O18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67" spans="1:15" x14ac:dyDescent="0.3">
      <c r="A1867" t="s">
        <v>1964</v>
      </c>
      <c r="B1867" t="s">
        <v>39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20</v>
      </c>
      <c r="I1867" t="s">
        <v>15</v>
      </c>
      <c r="J1867">
        <v>5</v>
      </c>
      <c r="K1867" t="s">
        <v>16</v>
      </c>
      <c r="L1867" t="s">
        <v>30</v>
      </c>
      <c r="M1867">
        <f>orders[[#This Row],[Ship Date]]-orders[[#This Row],[Order Date]]</f>
        <v>2</v>
      </c>
      <c r="N1867">
        <f>WEEKNUM(orders[[#This Row],[Order Date]],2)</f>
        <v>11</v>
      </c>
      <c r="O1867" t="str" cm="1">
        <f t="array" ref="O18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68" spans="1:15" x14ac:dyDescent="0.3">
      <c r="A1868" t="s">
        <v>1965</v>
      </c>
      <c r="B1868" t="s">
        <v>120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86</v>
      </c>
      <c r="I1868" t="s">
        <v>32</v>
      </c>
      <c r="J1868">
        <v>5</v>
      </c>
      <c r="K1868" t="s">
        <v>16</v>
      </c>
      <c r="L1868" t="s">
        <v>30</v>
      </c>
      <c r="M1868">
        <f>orders[[#This Row],[Ship Date]]-orders[[#This Row],[Order Date]]</f>
        <v>0</v>
      </c>
      <c r="N1868">
        <f>WEEKNUM(orders[[#This Row],[Order Date]],2)</f>
        <v>11</v>
      </c>
      <c r="O1868" t="str" cm="1">
        <f t="array" ref="O1868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69" spans="1:15" x14ac:dyDescent="0.3">
      <c r="A1869" t="s">
        <v>1966</v>
      </c>
      <c r="B1869" t="s">
        <v>36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24</v>
      </c>
      <c r="I1869" t="s">
        <v>67</v>
      </c>
      <c r="J1869">
        <v>5</v>
      </c>
      <c r="K1869" t="s">
        <v>16</v>
      </c>
      <c r="L1869" t="s">
        <v>30</v>
      </c>
      <c r="M1869">
        <f>orders[[#This Row],[Ship Date]]-orders[[#This Row],[Order Date]]</f>
        <v>1</v>
      </c>
      <c r="N1869">
        <f>WEEKNUM(orders[[#This Row],[Order Date]],2)</f>
        <v>11</v>
      </c>
      <c r="O1869" t="str" cm="1">
        <f t="array" ref="O18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70" spans="1:15" x14ac:dyDescent="0.3">
      <c r="A1870" t="s">
        <v>1967</v>
      </c>
      <c r="B1870" t="s">
        <v>29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86</v>
      </c>
      <c r="I1870" t="s">
        <v>15</v>
      </c>
      <c r="J1870">
        <v>4</v>
      </c>
      <c r="K1870" t="s">
        <v>16</v>
      </c>
      <c r="L1870" t="s">
        <v>30</v>
      </c>
      <c r="M1870">
        <f>orders[[#This Row],[Ship Date]]-orders[[#This Row],[Order Date]]</f>
        <v>1</v>
      </c>
      <c r="N1870">
        <f>WEEKNUM(orders[[#This Row],[Order Date]],2)</f>
        <v>11</v>
      </c>
      <c r="O1870" t="str" cm="1">
        <f t="array" ref="O187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71" spans="1:15" x14ac:dyDescent="0.3">
      <c r="A1871" t="s">
        <v>1968</v>
      </c>
      <c r="B1871" t="s">
        <v>41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24</v>
      </c>
      <c r="I1871" t="s">
        <v>37</v>
      </c>
      <c r="J1871">
        <v>4</v>
      </c>
      <c r="K1871" t="s">
        <v>16</v>
      </c>
      <c r="L1871" t="s">
        <v>30</v>
      </c>
      <c r="M1871">
        <f>orders[[#This Row],[Ship Date]]-orders[[#This Row],[Order Date]]</f>
        <v>0</v>
      </c>
      <c r="N1871">
        <f>WEEKNUM(orders[[#This Row],[Order Date]],2)</f>
        <v>11</v>
      </c>
      <c r="O1871" t="str" cm="1">
        <f t="array" ref="O18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72" spans="1:15" x14ac:dyDescent="0.3">
      <c r="A1872" t="s">
        <v>1969</v>
      </c>
      <c r="B1872" t="s">
        <v>51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24</v>
      </c>
      <c r="I1872" t="s">
        <v>15</v>
      </c>
      <c r="J1872">
        <v>5</v>
      </c>
      <c r="K1872" t="s">
        <v>16</v>
      </c>
      <c r="L1872" t="s">
        <v>30</v>
      </c>
      <c r="M1872">
        <f>orders[[#This Row],[Ship Date]]-orders[[#This Row],[Order Date]]</f>
        <v>3</v>
      </c>
      <c r="N1872">
        <f>WEEKNUM(orders[[#This Row],[Order Date]],2)</f>
        <v>11</v>
      </c>
      <c r="O1872" t="str" cm="1">
        <f t="array" ref="O18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73" spans="1:15" x14ac:dyDescent="0.3">
      <c r="A1873" t="s">
        <v>1970</v>
      </c>
      <c r="B1873" t="s">
        <v>13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20</v>
      </c>
      <c r="I1873" t="s">
        <v>15</v>
      </c>
      <c r="J1873">
        <v>5</v>
      </c>
      <c r="K1873" t="s">
        <v>16</v>
      </c>
      <c r="L1873" t="s">
        <v>361</v>
      </c>
      <c r="M1873">
        <f>orders[[#This Row],[Ship Date]]-orders[[#This Row],[Order Date]]</f>
        <v>2</v>
      </c>
      <c r="N1873">
        <f>WEEKNUM(orders[[#This Row],[Order Date]],2)</f>
        <v>11</v>
      </c>
      <c r="O1873" t="str" cm="1">
        <f t="array" ref="O18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74" spans="1:15" x14ac:dyDescent="0.3">
      <c r="A1874" t="s">
        <v>1971</v>
      </c>
      <c r="B1874" t="s">
        <v>29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24</v>
      </c>
      <c r="I1874" t="s">
        <v>37</v>
      </c>
      <c r="J1874">
        <v>4</v>
      </c>
      <c r="K1874" t="s">
        <v>16</v>
      </c>
      <c r="L1874" t="s">
        <v>185</v>
      </c>
      <c r="M1874">
        <f>orders[[#This Row],[Ship Date]]-orders[[#This Row],[Order Date]]</f>
        <v>1</v>
      </c>
      <c r="N1874">
        <f>WEEKNUM(orders[[#This Row],[Order Date]],2)</f>
        <v>11</v>
      </c>
      <c r="O1874" t="str" cm="1">
        <f t="array" ref="O18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75" spans="1:15" x14ac:dyDescent="0.3">
      <c r="A1875" t="s">
        <v>1972</v>
      </c>
      <c r="B1875" t="s">
        <v>23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86</v>
      </c>
      <c r="I1875" t="s">
        <v>37</v>
      </c>
      <c r="J1875">
        <v>4</v>
      </c>
      <c r="K1875" t="s">
        <v>16</v>
      </c>
      <c r="L1875" t="s">
        <v>49</v>
      </c>
      <c r="M1875">
        <f>orders[[#This Row],[Ship Date]]-orders[[#This Row],[Order Date]]</f>
        <v>2</v>
      </c>
      <c r="N1875">
        <f>WEEKNUM(orders[[#This Row],[Order Date]],2)</f>
        <v>11</v>
      </c>
      <c r="O1875" t="str" cm="1">
        <f t="array" ref="O187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876" spans="1:15" x14ac:dyDescent="0.3">
      <c r="A1876" t="s">
        <v>1973</v>
      </c>
      <c r="B1876" t="s">
        <v>36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24</v>
      </c>
      <c r="I1876" t="s">
        <v>32</v>
      </c>
      <c r="J1876">
        <v>4</v>
      </c>
      <c r="K1876" t="s">
        <v>16</v>
      </c>
      <c r="L1876" t="s">
        <v>49</v>
      </c>
      <c r="M1876">
        <f>orders[[#This Row],[Ship Date]]-orders[[#This Row],[Order Date]]</f>
        <v>2</v>
      </c>
      <c r="N1876">
        <f>WEEKNUM(orders[[#This Row],[Order Date]],2)</f>
        <v>11</v>
      </c>
      <c r="O1876" t="str" cm="1">
        <f t="array" ref="O18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77" spans="1:15" x14ac:dyDescent="0.3">
      <c r="A1877" t="s">
        <v>1974</v>
      </c>
      <c r="B1877" t="s">
        <v>23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24</v>
      </c>
      <c r="I1877" t="s">
        <v>32</v>
      </c>
      <c r="J1877">
        <v>5</v>
      </c>
      <c r="K1877" t="s">
        <v>16</v>
      </c>
      <c r="L1877" t="s">
        <v>52</v>
      </c>
      <c r="M1877">
        <f>orders[[#This Row],[Ship Date]]-orders[[#This Row],[Order Date]]</f>
        <v>5</v>
      </c>
      <c r="N1877">
        <f>WEEKNUM(orders[[#This Row],[Order Date]],2)</f>
        <v>11</v>
      </c>
      <c r="O1877" t="str" cm="1">
        <f t="array" ref="O187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78" spans="1:15" x14ac:dyDescent="0.3">
      <c r="A1878" t="s">
        <v>1975</v>
      </c>
      <c r="B1878" t="s">
        <v>73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24</v>
      </c>
      <c r="I1878" t="s">
        <v>32</v>
      </c>
      <c r="J1878">
        <v>3</v>
      </c>
      <c r="K1878" t="s">
        <v>16</v>
      </c>
      <c r="L1878" t="s">
        <v>52</v>
      </c>
      <c r="M1878">
        <f>orders[[#This Row],[Ship Date]]-orders[[#This Row],[Order Date]]</f>
        <v>1</v>
      </c>
      <c r="N1878">
        <f>WEEKNUM(orders[[#This Row],[Order Date]],2)</f>
        <v>11</v>
      </c>
      <c r="O1878" t="str" cm="1">
        <f t="array" ref="O18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79" spans="1:15" x14ac:dyDescent="0.3">
      <c r="A1879" t="s">
        <v>1976</v>
      </c>
      <c r="B1879" t="s">
        <v>39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24</v>
      </c>
      <c r="I1879" t="s">
        <v>15</v>
      </c>
      <c r="J1879">
        <v>4</v>
      </c>
      <c r="K1879" t="s">
        <v>16</v>
      </c>
      <c r="L1879" t="s">
        <v>59</v>
      </c>
      <c r="M1879">
        <f>orders[[#This Row],[Ship Date]]-orders[[#This Row],[Order Date]]</f>
        <v>2</v>
      </c>
      <c r="N1879">
        <f>WEEKNUM(orders[[#This Row],[Order Date]],2)</f>
        <v>11</v>
      </c>
      <c r="O1879" t="str" cm="1">
        <f t="array" ref="O18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80" spans="1:15" x14ac:dyDescent="0.3">
      <c r="A1880" t="s">
        <v>1977</v>
      </c>
      <c r="B1880" t="s">
        <v>27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24</v>
      </c>
      <c r="I1880" t="s">
        <v>15</v>
      </c>
      <c r="J1880">
        <v>4</v>
      </c>
      <c r="K1880" t="s">
        <v>16</v>
      </c>
      <c r="L1880" t="s">
        <v>59</v>
      </c>
      <c r="M1880">
        <f>orders[[#This Row],[Ship Date]]-orders[[#This Row],[Order Date]]</f>
        <v>1</v>
      </c>
      <c r="N1880">
        <f>WEEKNUM(orders[[#This Row],[Order Date]],2)</f>
        <v>11</v>
      </c>
      <c r="O1880" t="str" cm="1">
        <f t="array" ref="O18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81" spans="1:15" x14ac:dyDescent="0.3">
      <c r="A1881" t="s">
        <v>1978</v>
      </c>
      <c r="B1881" t="s">
        <v>78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20</v>
      </c>
      <c r="I1881" t="s">
        <v>15</v>
      </c>
      <c r="J1881">
        <v>3</v>
      </c>
      <c r="K1881" t="s">
        <v>16</v>
      </c>
      <c r="L1881" t="s">
        <v>59</v>
      </c>
      <c r="M1881">
        <f>orders[[#This Row],[Ship Date]]-orders[[#This Row],[Order Date]]</f>
        <v>1</v>
      </c>
      <c r="N1881">
        <f>WEEKNUM(orders[[#This Row],[Order Date]],2)</f>
        <v>11</v>
      </c>
      <c r="O1881" t="str" cm="1">
        <f t="array" ref="O18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82" spans="1:15" x14ac:dyDescent="0.3">
      <c r="A1882" t="s">
        <v>1979</v>
      </c>
      <c r="B1882" t="s">
        <v>43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24</v>
      </c>
      <c r="I1882" t="s">
        <v>32</v>
      </c>
      <c r="J1882">
        <v>5</v>
      </c>
      <c r="K1882" t="s">
        <v>16</v>
      </c>
      <c r="L1882" t="s">
        <v>59</v>
      </c>
      <c r="M1882">
        <f>orders[[#This Row],[Ship Date]]-orders[[#This Row],[Order Date]]</f>
        <v>1</v>
      </c>
      <c r="N1882">
        <f>WEEKNUM(orders[[#This Row],[Order Date]],2)</f>
        <v>11</v>
      </c>
      <c r="O1882" t="str" cm="1">
        <f t="array" ref="O18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83" spans="1:15" x14ac:dyDescent="0.3">
      <c r="A1883" t="s">
        <v>1980</v>
      </c>
      <c r="B1883" t="s">
        <v>64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24</v>
      </c>
      <c r="I1883" t="s">
        <v>15</v>
      </c>
      <c r="J1883">
        <v>5</v>
      </c>
      <c r="K1883" t="s">
        <v>16</v>
      </c>
      <c r="L1883" t="s">
        <v>59</v>
      </c>
      <c r="M1883">
        <f>orders[[#This Row],[Ship Date]]-orders[[#This Row],[Order Date]]</f>
        <v>2</v>
      </c>
      <c r="N1883">
        <f>WEEKNUM(orders[[#This Row],[Order Date]],2)</f>
        <v>11</v>
      </c>
      <c r="O1883" t="str" cm="1">
        <f t="array" ref="O18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84" spans="1:15" x14ac:dyDescent="0.3">
      <c r="A1884" t="s">
        <v>1981</v>
      </c>
      <c r="B1884" t="s">
        <v>19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20</v>
      </c>
      <c r="I1884" t="s">
        <v>67</v>
      </c>
      <c r="J1884">
        <v>5</v>
      </c>
      <c r="K1884" t="s">
        <v>16</v>
      </c>
      <c r="L1884" t="s">
        <v>59</v>
      </c>
      <c r="M1884">
        <f>orders[[#This Row],[Ship Date]]-orders[[#This Row],[Order Date]]</f>
        <v>2</v>
      </c>
      <c r="N1884">
        <f>WEEKNUM(orders[[#This Row],[Order Date]],2)</f>
        <v>11</v>
      </c>
      <c r="O1884" t="str" cm="1">
        <f t="array" ref="O18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85" spans="1:15" x14ac:dyDescent="0.3">
      <c r="A1885" t="s">
        <v>1982</v>
      </c>
      <c r="B1885" t="s">
        <v>41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20</v>
      </c>
      <c r="I1885" t="s">
        <v>48</v>
      </c>
      <c r="J1885">
        <v>4</v>
      </c>
      <c r="K1885" t="s">
        <v>16</v>
      </c>
      <c r="L1885" t="s">
        <v>59</v>
      </c>
      <c r="M1885">
        <f>orders[[#This Row],[Ship Date]]-orders[[#This Row],[Order Date]]</f>
        <v>3</v>
      </c>
      <c r="N1885">
        <f>WEEKNUM(orders[[#This Row],[Order Date]],2)</f>
        <v>11</v>
      </c>
      <c r="O1885" t="str" cm="1">
        <f t="array" ref="O18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86" spans="1:15" x14ac:dyDescent="0.3">
      <c r="A1886" t="s">
        <v>1983</v>
      </c>
      <c r="B1886" t="s">
        <v>41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14</v>
      </c>
      <c r="I1886" t="s">
        <v>15</v>
      </c>
      <c r="J1886">
        <v>2</v>
      </c>
      <c r="K1886" t="s">
        <v>16</v>
      </c>
      <c r="L1886" t="s">
        <v>59</v>
      </c>
      <c r="M1886">
        <f>orders[[#This Row],[Ship Date]]-orders[[#This Row],[Order Date]]</f>
        <v>14</v>
      </c>
      <c r="N1886">
        <f>WEEKNUM(orders[[#This Row],[Order Date]],2)</f>
        <v>11</v>
      </c>
      <c r="O1886" t="str" cm="1">
        <f t="array" ref="O1886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887" spans="1:15" x14ac:dyDescent="0.3">
      <c r="A1887" t="s">
        <v>1984</v>
      </c>
      <c r="B1887" t="s">
        <v>19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20</v>
      </c>
      <c r="I1887" t="s">
        <v>67</v>
      </c>
      <c r="J1887">
        <v>4</v>
      </c>
      <c r="K1887" t="s">
        <v>16</v>
      </c>
      <c r="L1887" t="s">
        <v>59</v>
      </c>
      <c r="M1887">
        <f>orders[[#This Row],[Ship Date]]-orders[[#This Row],[Order Date]]</f>
        <v>1</v>
      </c>
      <c r="N1887">
        <f>WEEKNUM(orders[[#This Row],[Order Date]],2)</f>
        <v>11</v>
      </c>
      <c r="O1887" t="str" cm="1">
        <f t="array" ref="O18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88" spans="1:15" x14ac:dyDescent="0.3">
      <c r="A1888" t="s">
        <v>1985</v>
      </c>
      <c r="B1888" t="s">
        <v>51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24</v>
      </c>
      <c r="I1888" t="s">
        <v>15</v>
      </c>
      <c r="J1888">
        <v>5</v>
      </c>
      <c r="K1888" t="s">
        <v>16</v>
      </c>
      <c r="L1888" t="s">
        <v>59</v>
      </c>
      <c r="M1888">
        <f>orders[[#This Row],[Ship Date]]-orders[[#This Row],[Order Date]]</f>
        <v>3</v>
      </c>
      <c r="N1888">
        <f>WEEKNUM(orders[[#This Row],[Order Date]],2)</f>
        <v>11</v>
      </c>
      <c r="O1888" t="str" cm="1">
        <f t="array" ref="O18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89" spans="1:15" x14ac:dyDescent="0.3">
      <c r="A1889" t="s">
        <v>1986</v>
      </c>
      <c r="B1889" t="s">
        <v>34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24</v>
      </c>
      <c r="I1889" t="s">
        <v>15</v>
      </c>
      <c r="J1889">
        <v>3</v>
      </c>
      <c r="K1889" t="s">
        <v>16</v>
      </c>
      <c r="L1889" t="s">
        <v>69</v>
      </c>
      <c r="M1889">
        <f>orders[[#This Row],[Ship Date]]-orders[[#This Row],[Order Date]]</f>
        <v>2</v>
      </c>
      <c r="N1889">
        <f>WEEKNUM(orders[[#This Row],[Order Date]],2)</f>
        <v>11</v>
      </c>
      <c r="O1889" t="str" cm="1">
        <f t="array" ref="O18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90" spans="1:15" x14ac:dyDescent="0.3">
      <c r="A1890" t="s">
        <v>1987</v>
      </c>
      <c r="B1890" t="s">
        <v>125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24</v>
      </c>
      <c r="I1890" t="s">
        <v>67</v>
      </c>
      <c r="J1890">
        <v>3</v>
      </c>
      <c r="K1890" t="s">
        <v>16</v>
      </c>
      <c r="L1890" t="s">
        <v>69</v>
      </c>
      <c r="M1890">
        <f>orders[[#This Row],[Ship Date]]-orders[[#This Row],[Order Date]]</f>
        <v>3</v>
      </c>
      <c r="N1890">
        <f>WEEKNUM(orders[[#This Row],[Order Date]],2)</f>
        <v>11</v>
      </c>
      <c r="O1890" t="str" cm="1">
        <f t="array" ref="O18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91" spans="1:15" x14ac:dyDescent="0.3">
      <c r="A1891" t="s">
        <v>1988</v>
      </c>
      <c r="B1891" t="s">
        <v>120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20</v>
      </c>
      <c r="I1891" t="s">
        <v>37</v>
      </c>
      <c r="J1891">
        <v>4</v>
      </c>
      <c r="K1891" t="s">
        <v>16</v>
      </c>
      <c r="L1891" t="s">
        <v>69</v>
      </c>
      <c r="M1891">
        <f>orders[[#This Row],[Ship Date]]-orders[[#This Row],[Order Date]]</f>
        <v>1</v>
      </c>
      <c r="N1891">
        <f>WEEKNUM(orders[[#This Row],[Order Date]],2)</f>
        <v>11</v>
      </c>
      <c r="O1891" t="str" cm="1">
        <f t="array" ref="O18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92" spans="1:15" x14ac:dyDescent="0.3">
      <c r="A1892" t="s">
        <v>1989</v>
      </c>
      <c r="B1892" t="s">
        <v>19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24</v>
      </c>
      <c r="I1892" t="s">
        <v>32</v>
      </c>
      <c r="J1892">
        <v>5</v>
      </c>
      <c r="K1892" t="s">
        <v>16</v>
      </c>
      <c r="L1892" t="s">
        <v>74</v>
      </c>
      <c r="M1892">
        <f>orders[[#This Row],[Ship Date]]-orders[[#This Row],[Order Date]]</f>
        <v>2</v>
      </c>
      <c r="N1892">
        <f>WEEKNUM(orders[[#This Row],[Order Date]],2)</f>
        <v>11</v>
      </c>
      <c r="O1892" t="str" cm="1">
        <f t="array" ref="O18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93" spans="1:15" x14ac:dyDescent="0.3">
      <c r="A1893" t="s">
        <v>1990</v>
      </c>
      <c r="B1893" t="s">
        <v>51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20</v>
      </c>
      <c r="I1893" t="s">
        <v>15</v>
      </c>
      <c r="J1893">
        <v>4</v>
      </c>
      <c r="K1893" t="s">
        <v>16</v>
      </c>
      <c r="L1893" t="s">
        <v>74</v>
      </c>
      <c r="M1893">
        <f>orders[[#This Row],[Ship Date]]-orders[[#This Row],[Order Date]]</f>
        <v>6</v>
      </c>
      <c r="N1893">
        <f>WEEKNUM(orders[[#This Row],[Order Date]],2)</f>
        <v>11</v>
      </c>
      <c r="O1893" t="str" cm="1">
        <f t="array" ref="O18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94" spans="1:15" x14ac:dyDescent="0.3">
      <c r="A1894" t="s">
        <v>1991</v>
      </c>
      <c r="B1894" t="s">
        <v>34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20</v>
      </c>
      <c r="I1894" t="s">
        <v>37</v>
      </c>
      <c r="J1894">
        <v>4</v>
      </c>
      <c r="K1894" t="s">
        <v>16</v>
      </c>
      <c r="L1894" t="s">
        <v>289</v>
      </c>
      <c r="M1894">
        <f>orders[[#This Row],[Ship Date]]-orders[[#This Row],[Order Date]]</f>
        <v>1</v>
      </c>
      <c r="N1894">
        <f>WEEKNUM(orders[[#This Row],[Order Date]],2)</f>
        <v>11</v>
      </c>
      <c r="O1894" t="str" cm="1">
        <f t="array" ref="O18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95" spans="1:15" x14ac:dyDescent="0.3">
      <c r="A1895" t="s">
        <v>1992</v>
      </c>
      <c r="B1895" t="s">
        <v>43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20</v>
      </c>
      <c r="I1895" t="s">
        <v>37</v>
      </c>
      <c r="J1895">
        <v>3</v>
      </c>
      <c r="K1895" t="s">
        <v>16</v>
      </c>
      <c r="L1895" t="s">
        <v>110</v>
      </c>
      <c r="M1895">
        <f>orders[[#This Row],[Ship Date]]-orders[[#This Row],[Order Date]]</f>
        <v>2</v>
      </c>
      <c r="N1895">
        <f>WEEKNUM(orders[[#This Row],[Order Date]],2)</f>
        <v>11</v>
      </c>
      <c r="O1895" t="str" cm="1">
        <f t="array" ref="O18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96" spans="1:15" x14ac:dyDescent="0.3">
      <c r="A1896" t="s">
        <v>1993</v>
      </c>
      <c r="B1896" t="s">
        <v>36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24</v>
      </c>
      <c r="I1896" t="s">
        <v>15</v>
      </c>
      <c r="J1896">
        <v>2</v>
      </c>
      <c r="K1896" t="s">
        <v>16</v>
      </c>
      <c r="L1896" t="s">
        <v>110</v>
      </c>
      <c r="M1896">
        <f>orders[[#This Row],[Ship Date]]-orders[[#This Row],[Order Date]]</f>
        <v>2</v>
      </c>
      <c r="N1896">
        <f>WEEKNUM(orders[[#This Row],[Order Date]],2)</f>
        <v>11</v>
      </c>
      <c r="O1896" t="str" cm="1">
        <f t="array" ref="O18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897" spans="1:15" x14ac:dyDescent="0.3">
      <c r="A1897" t="s">
        <v>1994</v>
      </c>
      <c r="B1897" t="s">
        <v>34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20</v>
      </c>
      <c r="I1897" t="s">
        <v>37</v>
      </c>
      <c r="J1897">
        <v>3</v>
      </c>
      <c r="K1897" t="s">
        <v>16</v>
      </c>
      <c r="L1897" t="s">
        <v>994</v>
      </c>
      <c r="M1897">
        <f>orders[[#This Row],[Ship Date]]-orders[[#This Row],[Order Date]]</f>
        <v>1</v>
      </c>
      <c r="N1897">
        <f>WEEKNUM(orders[[#This Row],[Order Date]],2)</f>
        <v>11</v>
      </c>
      <c r="O1897" t="str" cm="1">
        <f t="array" ref="O18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98" spans="1:15" x14ac:dyDescent="0.3">
      <c r="A1898" t="s">
        <v>1995</v>
      </c>
      <c r="B1898" t="s">
        <v>36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20</v>
      </c>
      <c r="I1898" t="s">
        <v>15</v>
      </c>
      <c r="J1898">
        <v>4</v>
      </c>
      <c r="K1898" t="s">
        <v>16</v>
      </c>
      <c r="L1898" t="s">
        <v>79</v>
      </c>
      <c r="M1898">
        <f>orders[[#This Row],[Ship Date]]-orders[[#This Row],[Order Date]]</f>
        <v>3</v>
      </c>
      <c r="N1898">
        <f>WEEKNUM(orders[[#This Row],[Order Date]],2)</f>
        <v>11</v>
      </c>
      <c r="O1898" t="str" cm="1">
        <f t="array" ref="O18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899" spans="1:15" x14ac:dyDescent="0.3">
      <c r="A1899" t="s">
        <v>1996</v>
      </c>
      <c r="B1899" t="s">
        <v>143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20</v>
      </c>
      <c r="I1899" t="s">
        <v>67</v>
      </c>
      <c r="J1899">
        <v>4</v>
      </c>
      <c r="K1899" t="s">
        <v>16</v>
      </c>
      <c r="L1899" t="s">
        <v>112</v>
      </c>
      <c r="M1899">
        <f>orders[[#This Row],[Ship Date]]-orders[[#This Row],[Order Date]]</f>
        <v>3</v>
      </c>
      <c r="N1899">
        <f>WEEKNUM(orders[[#This Row],[Order Date]],2)</f>
        <v>11</v>
      </c>
      <c r="O1899" t="str" cm="1">
        <f t="array" ref="O18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00" spans="1:15" x14ac:dyDescent="0.3">
      <c r="A1900" t="s">
        <v>1997</v>
      </c>
      <c r="B1900" t="s">
        <v>36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24</v>
      </c>
      <c r="I1900" t="s">
        <v>37</v>
      </c>
      <c r="J1900">
        <v>4</v>
      </c>
      <c r="K1900" t="s">
        <v>16</v>
      </c>
      <c r="L1900" t="s">
        <v>21</v>
      </c>
      <c r="M1900">
        <f>orders[[#This Row],[Ship Date]]-orders[[#This Row],[Order Date]]</f>
        <v>13</v>
      </c>
      <c r="N1900">
        <f>WEEKNUM(orders[[#This Row],[Order Date]],2)</f>
        <v>11</v>
      </c>
      <c r="O1900" t="str" cm="1">
        <f t="array" ref="O19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01" spans="1:15" x14ac:dyDescent="0.3">
      <c r="A1901" t="s">
        <v>1998</v>
      </c>
      <c r="B1901" t="s">
        <v>51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24</v>
      </c>
      <c r="I1901" t="s">
        <v>37</v>
      </c>
      <c r="J1901">
        <v>4</v>
      </c>
      <c r="K1901" t="s">
        <v>16</v>
      </c>
      <c r="L1901" t="s">
        <v>21</v>
      </c>
      <c r="M1901">
        <f>orders[[#This Row],[Ship Date]]-orders[[#This Row],[Order Date]]</f>
        <v>1</v>
      </c>
      <c r="N1901">
        <f>WEEKNUM(orders[[#This Row],[Order Date]],2)</f>
        <v>11</v>
      </c>
      <c r="O1901" t="str" cm="1">
        <f t="array" ref="O19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02" spans="1:15" x14ac:dyDescent="0.3">
      <c r="A1902" t="s">
        <v>1999</v>
      </c>
      <c r="B1902" t="s">
        <v>132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24</v>
      </c>
      <c r="I1902" t="s">
        <v>32</v>
      </c>
      <c r="J1902">
        <v>5</v>
      </c>
      <c r="K1902" t="s">
        <v>16</v>
      </c>
      <c r="L1902" t="s">
        <v>30</v>
      </c>
      <c r="M1902">
        <f>orders[[#This Row],[Ship Date]]-orders[[#This Row],[Order Date]]</f>
        <v>0</v>
      </c>
      <c r="N1902">
        <f>WEEKNUM(orders[[#This Row],[Order Date]],2)</f>
        <v>11</v>
      </c>
      <c r="O1902" t="str" cm="1">
        <f t="array" ref="O19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03" spans="1:15" x14ac:dyDescent="0.3">
      <c r="A1903" t="s">
        <v>2000</v>
      </c>
      <c r="B1903" t="s">
        <v>23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24</v>
      </c>
      <c r="I1903" t="s">
        <v>32</v>
      </c>
      <c r="J1903">
        <v>3</v>
      </c>
      <c r="K1903" t="s">
        <v>16</v>
      </c>
      <c r="L1903" t="s">
        <v>30</v>
      </c>
      <c r="M1903">
        <f>orders[[#This Row],[Ship Date]]-orders[[#This Row],[Order Date]]</f>
        <v>1</v>
      </c>
      <c r="N1903">
        <f>WEEKNUM(orders[[#This Row],[Order Date]],2)</f>
        <v>11</v>
      </c>
      <c r="O1903" t="str" cm="1">
        <f t="array" ref="O190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04" spans="1:15" x14ac:dyDescent="0.3">
      <c r="A1904" t="s">
        <v>2001</v>
      </c>
      <c r="B1904" t="s">
        <v>23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20</v>
      </c>
      <c r="I1904" t="s">
        <v>37</v>
      </c>
      <c r="J1904">
        <v>2</v>
      </c>
      <c r="K1904" t="s">
        <v>16</v>
      </c>
      <c r="L1904" t="s">
        <v>30</v>
      </c>
      <c r="M1904">
        <f>orders[[#This Row],[Ship Date]]-orders[[#This Row],[Order Date]]</f>
        <v>1</v>
      </c>
      <c r="N1904">
        <f>WEEKNUM(orders[[#This Row],[Order Date]],2)</f>
        <v>11</v>
      </c>
      <c r="O1904" t="str" cm="1">
        <f t="array" ref="O19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05" spans="1:15" x14ac:dyDescent="0.3">
      <c r="A1905" t="s">
        <v>2002</v>
      </c>
      <c r="B1905" t="s">
        <v>19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24</v>
      </c>
      <c r="I1905" t="s">
        <v>15</v>
      </c>
      <c r="J1905">
        <v>4</v>
      </c>
      <c r="K1905" t="s">
        <v>16</v>
      </c>
      <c r="L1905" t="s">
        <v>30</v>
      </c>
      <c r="M1905">
        <f>orders[[#This Row],[Ship Date]]-orders[[#This Row],[Order Date]]</f>
        <v>1</v>
      </c>
      <c r="N1905">
        <f>WEEKNUM(orders[[#This Row],[Order Date]],2)</f>
        <v>11</v>
      </c>
      <c r="O1905" t="str" cm="1">
        <f t="array" ref="O19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06" spans="1:15" x14ac:dyDescent="0.3">
      <c r="A1906" t="s">
        <v>2003</v>
      </c>
      <c r="B1906" t="s">
        <v>66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24</v>
      </c>
      <c r="I1906" t="s">
        <v>15</v>
      </c>
      <c r="J1906">
        <v>4</v>
      </c>
      <c r="K1906" t="s">
        <v>16</v>
      </c>
      <c r="L1906" t="s">
        <v>30</v>
      </c>
      <c r="M1906">
        <f>orders[[#This Row],[Ship Date]]-orders[[#This Row],[Order Date]]</f>
        <v>1</v>
      </c>
      <c r="N1906">
        <f>WEEKNUM(orders[[#This Row],[Order Date]],2)</f>
        <v>11</v>
      </c>
      <c r="O1906" t="str" cm="1">
        <f t="array" ref="O19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07" spans="1:15" x14ac:dyDescent="0.3">
      <c r="A1907" t="s">
        <v>2004</v>
      </c>
      <c r="B1907" t="s">
        <v>43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20</v>
      </c>
      <c r="I1907" t="s">
        <v>32</v>
      </c>
      <c r="J1907">
        <v>5</v>
      </c>
      <c r="K1907" t="s">
        <v>16</v>
      </c>
      <c r="L1907" t="s">
        <v>30</v>
      </c>
      <c r="M1907">
        <f>orders[[#This Row],[Ship Date]]-orders[[#This Row],[Order Date]]</f>
        <v>3</v>
      </c>
      <c r="N1907">
        <f>WEEKNUM(orders[[#This Row],[Order Date]],2)</f>
        <v>11</v>
      </c>
      <c r="O1907" t="str" cm="1">
        <f t="array" ref="O190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08" spans="1:15" x14ac:dyDescent="0.3">
      <c r="A1908" t="s">
        <v>2005</v>
      </c>
      <c r="B1908" t="s">
        <v>51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20</v>
      </c>
      <c r="I1908" t="s">
        <v>32</v>
      </c>
      <c r="J1908">
        <v>4</v>
      </c>
      <c r="K1908" t="s">
        <v>16</v>
      </c>
      <c r="L1908" t="s">
        <v>30</v>
      </c>
      <c r="M1908">
        <f>orders[[#This Row],[Ship Date]]-orders[[#This Row],[Order Date]]</f>
        <v>2</v>
      </c>
      <c r="N1908">
        <f>WEEKNUM(orders[[#This Row],[Order Date]],2)</f>
        <v>11</v>
      </c>
      <c r="O1908" t="str" cm="1">
        <f t="array" ref="O19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09" spans="1:15" x14ac:dyDescent="0.3">
      <c r="A1909" t="s">
        <v>2006</v>
      </c>
      <c r="B1909" t="s">
        <v>23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24</v>
      </c>
      <c r="I1909" t="s">
        <v>15</v>
      </c>
      <c r="J1909">
        <v>5</v>
      </c>
      <c r="K1909" t="s">
        <v>16</v>
      </c>
      <c r="L1909" t="s">
        <v>30</v>
      </c>
      <c r="M1909">
        <f>orders[[#This Row],[Ship Date]]-orders[[#This Row],[Order Date]]</f>
        <v>1</v>
      </c>
      <c r="N1909">
        <f>WEEKNUM(orders[[#This Row],[Order Date]],2)</f>
        <v>11</v>
      </c>
      <c r="O1909" t="str" cm="1">
        <f t="array" ref="O19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10" spans="1:15" x14ac:dyDescent="0.3">
      <c r="A1910" t="s">
        <v>2007</v>
      </c>
      <c r="B1910" t="s">
        <v>143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14</v>
      </c>
      <c r="I1910" t="s">
        <v>32</v>
      </c>
      <c r="J1910">
        <v>4</v>
      </c>
      <c r="K1910" t="s">
        <v>16</v>
      </c>
      <c r="L1910" t="s">
        <v>30</v>
      </c>
      <c r="M1910">
        <f>orders[[#This Row],[Ship Date]]-orders[[#This Row],[Order Date]]</f>
        <v>3</v>
      </c>
      <c r="N1910">
        <f>WEEKNUM(orders[[#This Row],[Order Date]],2)</f>
        <v>11</v>
      </c>
      <c r="O1910" t="str" cm="1">
        <f t="array" ref="O191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11" spans="1:15" x14ac:dyDescent="0.3">
      <c r="A1911" t="s">
        <v>2008</v>
      </c>
      <c r="B1911" t="s">
        <v>36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24</v>
      </c>
      <c r="I1911" t="s">
        <v>67</v>
      </c>
      <c r="J1911">
        <v>4</v>
      </c>
      <c r="K1911" t="s">
        <v>16</v>
      </c>
      <c r="L1911" t="s">
        <v>30</v>
      </c>
      <c r="M1911">
        <f>orders[[#This Row],[Ship Date]]-orders[[#This Row],[Order Date]]</f>
        <v>1</v>
      </c>
      <c r="N1911">
        <f>WEEKNUM(orders[[#This Row],[Order Date]],2)</f>
        <v>11</v>
      </c>
      <c r="O1911" t="str" cm="1">
        <f t="array" ref="O19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12" spans="1:15" x14ac:dyDescent="0.3">
      <c r="A1912" t="s">
        <v>2009</v>
      </c>
      <c r="B1912" t="s">
        <v>41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24</v>
      </c>
      <c r="I1912" t="s">
        <v>67</v>
      </c>
      <c r="J1912">
        <v>2</v>
      </c>
      <c r="K1912" t="s">
        <v>16</v>
      </c>
      <c r="L1912" t="s">
        <v>30</v>
      </c>
      <c r="M1912">
        <f>orders[[#This Row],[Ship Date]]-orders[[#This Row],[Order Date]]</f>
        <v>1</v>
      </c>
      <c r="N1912">
        <f>WEEKNUM(orders[[#This Row],[Order Date]],2)</f>
        <v>11</v>
      </c>
      <c r="O1912" t="str" cm="1">
        <f t="array" ref="O19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13" spans="1:15" x14ac:dyDescent="0.3">
      <c r="A1913" t="s">
        <v>2010</v>
      </c>
      <c r="B1913" t="s">
        <v>19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86</v>
      </c>
      <c r="I1913" t="s">
        <v>32</v>
      </c>
      <c r="J1913">
        <v>4</v>
      </c>
      <c r="K1913" t="s">
        <v>16</v>
      </c>
      <c r="L1913" t="s">
        <v>30</v>
      </c>
      <c r="M1913">
        <f>orders[[#This Row],[Ship Date]]-orders[[#This Row],[Order Date]]</f>
        <v>1</v>
      </c>
      <c r="N1913">
        <f>WEEKNUM(orders[[#This Row],[Order Date]],2)</f>
        <v>11</v>
      </c>
      <c r="O1913" t="str" cm="1">
        <f t="array" ref="O191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914" spans="1:15" x14ac:dyDescent="0.3">
      <c r="A1914" t="s">
        <v>2011</v>
      </c>
      <c r="B1914" t="s">
        <v>36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20</v>
      </c>
      <c r="I1914" t="s">
        <v>15</v>
      </c>
      <c r="J1914">
        <v>5</v>
      </c>
      <c r="K1914" t="s">
        <v>16</v>
      </c>
      <c r="L1914" t="s">
        <v>52</v>
      </c>
      <c r="M1914">
        <f>orders[[#This Row],[Ship Date]]-orders[[#This Row],[Order Date]]</f>
        <v>5</v>
      </c>
      <c r="N1914">
        <f>WEEKNUM(orders[[#This Row],[Order Date]],2)</f>
        <v>11</v>
      </c>
      <c r="O1914" t="str" cm="1">
        <f t="array" ref="O19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15" spans="1:15" x14ac:dyDescent="0.3">
      <c r="A1915" t="s">
        <v>2012</v>
      </c>
      <c r="B1915" t="s">
        <v>41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24</v>
      </c>
      <c r="I1915" t="s">
        <v>67</v>
      </c>
      <c r="J1915">
        <v>4</v>
      </c>
      <c r="K1915" t="s">
        <v>16</v>
      </c>
      <c r="L1915" t="s">
        <v>56</v>
      </c>
      <c r="M1915">
        <f>orders[[#This Row],[Ship Date]]-orders[[#This Row],[Order Date]]</f>
        <v>5</v>
      </c>
      <c r="N1915">
        <f>WEEKNUM(orders[[#This Row],[Order Date]],2)</f>
        <v>11</v>
      </c>
      <c r="O1915" t="str" cm="1">
        <f t="array" ref="O19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16" spans="1:15" x14ac:dyDescent="0.3">
      <c r="A1916" t="s">
        <v>2013</v>
      </c>
      <c r="B1916" t="s">
        <v>23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24</v>
      </c>
      <c r="I1916" t="s">
        <v>15</v>
      </c>
      <c r="J1916">
        <v>3</v>
      </c>
      <c r="K1916" t="s">
        <v>16</v>
      </c>
      <c r="L1916" t="s">
        <v>56</v>
      </c>
      <c r="M1916">
        <f>orders[[#This Row],[Ship Date]]-orders[[#This Row],[Order Date]]</f>
        <v>2</v>
      </c>
      <c r="N1916">
        <f>WEEKNUM(orders[[#This Row],[Order Date]],2)</f>
        <v>11</v>
      </c>
      <c r="O1916" t="str" cm="1">
        <f t="array" ref="O19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17" spans="1:15" x14ac:dyDescent="0.3">
      <c r="A1917" t="s">
        <v>2014</v>
      </c>
      <c r="B1917" t="s">
        <v>19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24</v>
      </c>
      <c r="I1917" t="s">
        <v>32</v>
      </c>
      <c r="J1917">
        <v>4</v>
      </c>
      <c r="K1917" t="s">
        <v>16</v>
      </c>
      <c r="L1917" t="s">
        <v>59</v>
      </c>
      <c r="M1917">
        <f>orders[[#This Row],[Ship Date]]-orders[[#This Row],[Order Date]]</f>
        <v>0</v>
      </c>
      <c r="N1917">
        <f>WEEKNUM(orders[[#This Row],[Order Date]],2)</f>
        <v>11</v>
      </c>
      <c r="O1917" t="str" cm="1">
        <f t="array" ref="O19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18" spans="1:15" x14ac:dyDescent="0.3">
      <c r="A1918" t="s">
        <v>2015</v>
      </c>
      <c r="B1918" t="s">
        <v>36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86</v>
      </c>
      <c r="I1918" t="s">
        <v>32</v>
      </c>
      <c r="J1918">
        <v>4</v>
      </c>
      <c r="K1918" t="s">
        <v>16</v>
      </c>
      <c r="L1918" t="s">
        <v>59</v>
      </c>
      <c r="M1918">
        <f>orders[[#This Row],[Ship Date]]-orders[[#This Row],[Order Date]]</f>
        <v>2</v>
      </c>
      <c r="N1918">
        <f>WEEKNUM(orders[[#This Row],[Order Date]],2)</f>
        <v>11</v>
      </c>
      <c r="O1918" t="str" cm="1">
        <f t="array" ref="O1918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919" spans="1:15" x14ac:dyDescent="0.3">
      <c r="A1919" t="s">
        <v>2016</v>
      </c>
      <c r="B1919" t="s">
        <v>43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24</v>
      </c>
      <c r="I1919" t="s">
        <v>67</v>
      </c>
      <c r="J1919">
        <v>5</v>
      </c>
      <c r="K1919" t="s">
        <v>16</v>
      </c>
      <c r="L1919" t="s">
        <v>59</v>
      </c>
      <c r="M1919">
        <f>orders[[#This Row],[Ship Date]]-orders[[#This Row],[Order Date]]</f>
        <v>2</v>
      </c>
      <c r="N1919">
        <f>WEEKNUM(orders[[#This Row],[Order Date]],2)</f>
        <v>11</v>
      </c>
      <c r="O1919" t="str" cm="1">
        <f t="array" ref="O191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20" spans="1:15" x14ac:dyDescent="0.3">
      <c r="A1920" t="s">
        <v>2017</v>
      </c>
      <c r="B1920" t="s">
        <v>13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24</v>
      </c>
      <c r="I1920" t="s">
        <v>15</v>
      </c>
      <c r="J1920">
        <v>3</v>
      </c>
      <c r="K1920" t="s">
        <v>16</v>
      </c>
      <c r="L1920" t="s">
        <v>59</v>
      </c>
      <c r="M1920">
        <f>orders[[#This Row],[Ship Date]]-orders[[#This Row],[Order Date]]</f>
        <v>3</v>
      </c>
      <c r="N1920">
        <f>WEEKNUM(orders[[#This Row],[Order Date]],2)</f>
        <v>11</v>
      </c>
      <c r="O1920" t="str" cm="1">
        <f t="array" ref="O19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21" spans="1:15" x14ac:dyDescent="0.3">
      <c r="A1921" t="s">
        <v>2018</v>
      </c>
      <c r="B1921" t="s">
        <v>29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20</v>
      </c>
      <c r="I1921" t="s">
        <v>37</v>
      </c>
      <c r="J1921">
        <v>3</v>
      </c>
      <c r="K1921" t="s">
        <v>16</v>
      </c>
      <c r="L1921" t="s">
        <v>100</v>
      </c>
      <c r="M1921">
        <f>orders[[#This Row],[Ship Date]]-orders[[#This Row],[Order Date]]</f>
        <v>1</v>
      </c>
      <c r="N1921">
        <f>WEEKNUM(orders[[#This Row],[Order Date]],2)</f>
        <v>11</v>
      </c>
      <c r="O1921" t="str" cm="1">
        <f t="array" ref="O19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22" spans="1:15" x14ac:dyDescent="0.3">
      <c r="A1922" t="s">
        <v>2019</v>
      </c>
      <c r="B1922" t="s">
        <v>34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20</v>
      </c>
      <c r="I1922" t="s">
        <v>15</v>
      </c>
      <c r="J1922">
        <v>3</v>
      </c>
      <c r="K1922" t="s">
        <v>16</v>
      </c>
      <c r="L1922" t="s">
        <v>198</v>
      </c>
      <c r="M1922">
        <f>orders[[#This Row],[Ship Date]]-orders[[#This Row],[Order Date]]</f>
        <v>1</v>
      </c>
      <c r="N1922">
        <f>WEEKNUM(orders[[#This Row],[Order Date]],2)</f>
        <v>11</v>
      </c>
      <c r="O1922" t="str" cm="1">
        <f t="array" ref="O19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23" spans="1:15" x14ac:dyDescent="0.3">
      <c r="A1923" t="s">
        <v>2020</v>
      </c>
      <c r="B1923" t="s">
        <v>39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20</v>
      </c>
      <c r="I1923" t="s">
        <v>67</v>
      </c>
      <c r="J1923">
        <v>3</v>
      </c>
      <c r="K1923" t="s">
        <v>16</v>
      </c>
      <c r="L1923" t="s">
        <v>69</v>
      </c>
      <c r="M1923">
        <f>orders[[#This Row],[Ship Date]]-orders[[#This Row],[Order Date]]</f>
        <v>2</v>
      </c>
      <c r="N1923">
        <f>WEEKNUM(orders[[#This Row],[Order Date]],2)</f>
        <v>11</v>
      </c>
      <c r="O1923" t="str" cm="1">
        <f t="array" ref="O19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24" spans="1:15" x14ac:dyDescent="0.3">
      <c r="A1924" t="s">
        <v>2021</v>
      </c>
      <c r="B1924" t="s">
        <v>23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20</v>
      </c>
      <c r="I1924" t="s">
        <v>48</v>
      </c>
      <c r="J1924">
        <v>5</v>
      </c>
      <c r="K1924" t="s">
        <v>16</v>
      </c>
      <c r="L1924" t="s">
        <v>69</v>
      </c>
      <c r="M1924">
        <f>orders[[#This Row],[Ship Date]]-orders[[#This Row],[Order Date]]</f>
        <v>1</v>
      </c>
      <c r="N1924">
        <f>WEEKNUM(orders[[#This Row],[Order Date]],2)</f>
        <v>11</v>
      </c>
      <c r="O1924" t="str" cm="1">
        <f t="array" ref="O192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25" spans="1:15" x14ac:dyDescent="0.3">
      <c r="A1925" t="s">
        <v>2022</v>
      </c>
      <c r="B1925" t="s">
        <v>23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24</v>
      </c>
      <c r="I1925" t="s">
        <v>32</v>
      </c>
      <c r="J1925">
        <v>4</v>
      </c>
      <c r="K1925" t="s">
        <v>16</v>
      </c>
      <c r="L1925" t="s">
        <v>74</v>
      </c>
      <c r="M1925">
        <f>orders[[#This Row],[Ship Date]]-orders[[#This Row],[Order Date]]</f>
        <v>2</v>
      </c>
      <c r="N1925">
        <f>WEEKNUM(orders[[#This Row],[Order Date]],2)</f>
        <v>11</v>
      </c>
      <c r="O1925" t="str" cm="1">
        <f t="array" ref="O19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26" spans="1:15" x14ac:dyDescent="0.3">
      <c r="A1926" t="s">
        <v>2023</v>
      </c>
      <c r="B1926" t="s">
        <v>143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24</v>
      </c>
      <c r="I1926" t="s">
        <v>67</v>
      </c>
      <c r="J1926">
        <v>4</v>
      </c>
      <c r="K1926" t="s">
        <v>16</v>
      </c>
      <c r="L1926" t="s">
        <v>74</v>
      </c>
      <c r="M1926">
        <f>orders[[#This Row],[Ship Date]]-orders[[#This Row],[Order Date]]</f>
        <v>3</v>
      </c>
      <c r="N1926">
        <f>WEEKNUM(orders[[#This Row],[Order Date]],2)</f>
        <v>11</v>
      </c>
      <c r="O1926" t="str" cm="1">
        <f t="array" ref="O19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27" spans="1:15" x14ac:dyDescent="0.3">
      <c r="A1927" t="s">
        <v>2024</v>
      </c>
      <c r="B1927" t="s">
        <v>34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24</v>
      </c>
      <c r="I1927" t="s">
        <v>37</v>
      </c>
      <c r="J1927">
        <v>5</v>
      </c>
      <c r="K1927" t="s">
        <v>16</v>
      </c>
      <c r="L1927" t="s">
        <v>105</v>
      </c>
      <c r="M1927">
        <f>orders[[#This Row],[Ship Date]]-orders[[#This Row],[Order Date]]</f>
        <v>0</v>
      </c>
      <c r="N1927">
        <f>WEEKNUM(orders[[#This Row],[Order Date]],2)</f>
        <v>11</v>
      </c>
      <c r="O1927" t="str" cm="1">
        <f t="array" ref="O19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28" spans="1:15" x14ac:dyDescent="0.3">
      <c r="A1928" t="s">
        <v>2025</v>
      </c>
      <c r="B1928" t="s">
        <v>51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14</v>
      </c>
      <c r="I1928" t="s">
        <v>37</v>
      </c>
      <c r="J1928">
        <v>5</v>
      </c>
      <c r="K1928" t="s">
        <v>16</v>
      </c>
      <c r="L1928" t="s">
        <v>107</v>
      </c>
      <c r="M1928">
        <f>orders[[#This Row],[Ship Date]]-orders[[#This Row],[Order Date]]</f>
        <v>0</v>
      </c>
      <c r="N1928">
        <f>WEEKNUM(orders[[#This Row],[Order Date]],2)</f>
        <v>11</v>
      </c>
      <c r="O1928" t="str" cm="1">
        <f t="array" ref="O192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29" spans="1:15" x14ac:dyDescent="0.3">
      <c r="A1929" t="s">
        <v>2026</v>
      </c>
      <c r="B1929" t="s">
        <v>41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86</v>
      </c>
      <c r="I1929" t="s">
        <v>37</v>
      </c>
      <c r="J1929">
        <v>4</v>
      </c>
      <c r="K1929" t="s">
        <v>16</v>
      </c>
      <c r="L1929" t="s">
        <v>110</v>
      </c>
      <c r="M1929">
        <f>orders[[#This Row],[Ship Date]]-orders[[#This Row],[Order Date]]</f>
        <v>2</v>
      </c>
      <c r="N1929">
        <f>WEEKNUM(orders[[#This Row],[Order Date]],2)</f>
        <v>11</v>
      </c>
      <c r="O1929" t="str" cm="1">
        <f t="array" ref="O1929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930" spans="1:15" x14ac:dyDescent="0.3">
      <c r="A1930" t="s">
        <v>2027</v>
      </c>
      <c r="B1930" t="s">
        <v>66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24</v>
      </c>
      <c r="I1930" t="s">
        <v>15</v>
      </c>
      <c r="J1930">
        <v>4</v>
      </c>
      <c r="K1930" t="s">
        <v>16</v>
      </c>
      <c r="L1930" t="s">
        <v>112</v>
      </c>
      <c r="M1930">
        <f>orders[[#This Row],[Ship Date]]-orders[[#This Row],[Order Date]]</f>
        <v>8</v>
      </c>
      <c r="N1930">
        <f>WEEKNUM(orders[[#This Row],[Order Date]],2)</f>
        <v>11</v>
      </c>
      <c r="O1930" t="str" cm="1">
        <f t="array" ref="O19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31" spans="1:15" x14ac:dyDescent="0.3">
      <c r="A1931" t="s">
        <v>2028</v>
      </c>
      <c r="B1931" t="s">
        <v>51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20</v>
      </c>
      <c r="I1931" t="s">
        <v>37</v>
      </c>
      <c r="J1931">
        <v>2</v>
      </c>
      <c r="K1931" t="s">
        <v>16</v>
      </c>
      <c r="L1931" t="s">
        <v>112</v>
      </c>
      <c r="M1931">
        <f>orders[[#This Row],[Ship Date]]-orders[[#This Row],[Order Date]]</f>
        <v>3</v>
      </c>
      <c r="N1931">
        <f>WEEKNUM(orders[[#This Row],[Order Date]],2)</f>
        <v>11</v>
      </c>
      <c r="O1931" t="str" cm="1">
        <f t="array" ref="O19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32" spans="1:15" x14ac:dyDescent="0.3">
      <c r="A1932" t="s">
        <v>2029</v>
      </c>
      <c r="B1932" t="s">
        <v>27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20</v>
      </c>
      <c r="I1932" t="s">
        <v>48</v>
      </c>
      <c r="J1932">
        <v>4</v>
      </c>
      <c r="K1932" t="s">
        <v>16</v>
      </c>
      <c r="L1932" t="s">
        <v>112</v>
      </c>
      <c r="M1932">
        <f>orders[[#This Row],[Ship Date]]-orders[[#This Row],[Order Date]]</f>
        <v>4</v>
      </c>
      <c r="N1932">
        <f>WEEKNUM(orders[[#This Row],[Order Date]],2)</f>
        <v>11</v>
      </c>
      <c r="O1932" t="str" cm="1">
        <f t="array" ref="O193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33" spans="1:15" x14ac:dyDescent="0.3">
      <c r="A1933" t="s">
        <v>2030</v>
      </c>
      <c r="B1933" t="s">
        <v>43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24</v>
      </c>
      <c r="I1933" t="s">
        <v>15</v>
      </c>
      <c r="J1933">
        <v>4</v>
      </c>
      <c r="K1933" t="s">
        <v>16</v>
      </c>
      <c r="L1933" t="s">
        <v>21</v>
      </c>
      <c r="M1933">
        <f>orders[[#This Row],[Ship Date]]-orders[[#This Row],[Order Date]]</f>
        <v>2</v>
      </c>
      <c r="N1933">
        <f>WEEKNUM(orders[[#This Row],[Order Date]],2)</f>
        <v>11</v>
      </c>
      <c r="O1933" t="str" cm="1">
        <f t="array" ref="O19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34" spans="1:15" x14ac:dyDescent="0.3">
      <c r="A1934" t="s">
        <v>2031</v>
      </c>
      <c r="B1934" t="s">
        <v>43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24</v>
      </c>
      <c r="I1934" t="s">
        <v>15</v>
      </c>
      <c r="J1934">
        <v>5</v>
      </c>
      <c r="K1934" t="s">
        <v>16</v>
      </c>
      <c r="L1934" t="s">
        <v>331</v>
      </c>
      <c r="M1934">
        <f>orders[[#This Row],[Ship Date]]-orders[[#This Row],[Order Date]]</f>
        <v>1</v>
      </c>
      <c r="N1934">
        <f>WEEKNUM(orders[[#This Row],[Order Date]],2)</f>
        <v>11</v>
      </c>
      <c r="O1934" t="str" cm="1">
        <f t="array" ref="O19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35" spans="1:15" x14ac:dyDescent="0.3">
      <c r="A1935" t="s">
        <v>2032</v>
      </c>
      <c r="B1935" t="s">
        <v>78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20</v>
      </c>
      <c r="I1935" t="s">
        <v>15</v>
      </c>
      <c r="J1935">
        <v>4</v>
      </c>
      <c r="K1935" t="s">
        <v>16</v>
      </c>
      <c r="L1935" t="s">
        <v>30</v>
      </c>
      <c r="M1935">
        <f>orders[[#This Row],[Ship Date]]-orders[[#This Row],[Order Date]]</f>
        <v>1</v>
      </c>
      <c r="N1935">
        <f>WEEKNUM(orders[[#This Row],[Order Date]],2)</f>
        <v>11</v>
      </c>
      <c r="O1935" t="str" cm="1">
        <f t="array" ref="O19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36" spans="1:15" x14ac:dyDescent="0.3">
      <c r="A1936" t="s">
        <v>2033</v>
      </c>
      <c r="B1936" t="s">
        <v>132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24</v>
      </c>
      <c r="I1936" t="s">
        <v>48</v>
      </c>
      <c r="J1936">
        <v>3</v>
      </c>
      <c r="K1936" t="s">
        <v>16</v>
      </c>
      <c r="L1936" t="s">
        <v>30</v>
      </c>
      <c r="M1936">
        <f>orders[[#This Row],[Ship Date]]-orders[[#This Row],[Order Date]]</f>
        <v>3</v>
      </c>
      <c r="N1936">
        <f>WEEKNUM(orders[[#This Row],[Order Date]],2)</f>
        <v>11</v>
      </c>
      <c r="O1936" t="str" cm="1">
        <f t="array" ref="O19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37" spans="1:15" x14ac:dyDescent="0.3">
      <c r="A1937" t="s">
        <v>2034</v>
      </c>
      <c r="B1937" t="s">
        <v>41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20</v>
      </c>
      <c r="I1937" t="s">
        <v>48</v>
      </c>
      <c r="J1937">
        <v>4</v>
      </c>
      <c r="K1937" t="s">
        <v>16</v>
      </c>
      <c r="L1937" t="s">
        <v>30</v>
      </c>
      <c r="M1937">
        <f>orders[[#This Row],[Ship Date]]-orders[[#This Row],[Order Date]]</f>
        <v>1</v>
      </c>
      <c r="N1937">
        <f>WEEKNUM(orders[[#This Row],[Order Date]],2)</f>
        <v>11</v>
      </c>
      <c r="O1937" t="str" cm="1">
        <f t="array" ref="O19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38" spans="1:15" x14ac:dyDescent="0.3">
      <c r="A1938" t="s">
        <v>2035</v>
      </c>
      <c r="B1938" t="s">
        <v>19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24</v>
      </c>
      <c r="I1938" t="s">
        <v>37</v>
      </c>
      <c r="J1938">
        <v>3</v>
      </c>
      <c r="K1938" t="s">
        <v>16</v>
      </c>
      <c r="L1938" t="s">
        <v>30</v>
      </c>
      <c r="M1938">
        <f>orders[[#This Row],[Ship Date]]-orders[[#This Row],[Order Date]]</f>
        <v>5</v>
      </c>
      <c r="N1938">
        <f>WEEKNUM(orders[[#This Row],[Order Date]],2)</f>
        <v>11</v>
      </c>
      <c r="O1938" t="str" cm="1">
        <f t="array" ref="O19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39" spans="1:15" x14ac:dyDescent="0.3">
      <c r="A1939" t="s">
        <v>2036</v>
      </c>
      <c r="B1939" t="s">
        <v>19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24</v>
      </c>
      <c r="I1939" t="s">
        <v>15</v>
      </c>
      <c r="J1939">
        <v>3</v>
      </c>
      <c r="K1939" t="s">
        <v>16</v>
      </c>
      <c r="L1939" t="s">
        <v>30</v>
      </c>
      <c r="M1939">
        <f>orders[[#This Row],[Ship Date]]-orders[[#This Row],[Order Date]]</f>
        <v>0</v>
      </c>
      <c r="N1939">
        <f>WEEKNUM(orders[[#This Row],[Order Date]],2)</f>
        <v>11</v>
      </c>
      <c r="O1939" t="str" cm="1">
        <f t="array" ref="O19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40" spans="1:15" x14ac:dyDescent="0.3">
      <c r="A1940" t="s">
        <v>2037</v>
      </c>
      <c r="B1940" t="s">
        <v>13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20</v>
      </c>
      <c r="I1940" t="s">
        <v>15</v>
      </c>
      <c r="J1940">
        <v>3</v>
      </c>
      <c r="K1940" t="s">
        <v>16</v>
      </c>
      <c r="L1940" t="s">
        <v>30</v>
      </c>
      <c r="M1940">
        <f>orders[[#This Row],[Ship Date]]-orders[[#This Row],[Order Date]]</f>
        <v>1</v>
      </c>
      <c r="N1940">
        <f>WEEKNUM(orders[[#This Row],[Order Date]],2)</f>
        <v>11</v>
      </c>
      <c r="O1940" t="str" cm="1">
        <f t="array" ref="O19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41" spans="1:15" x14ac:dyDescent="0.3">
      <c r="A1941" t="s">
        <v>2038</v>
      </c>
      <c r="B1941" t="s">
        <v>64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20</v>
      </c>
      <c r="I1941" t="s">
        <v>15</v>
      </c>
      <c r="J1941">
        <v>4</v>
      </c>
      <c r="K1941" t="s">
        <v>16</v>
      </c>
      <c r="L1941" t="s">
        <v>30</v>
      </c>
      <c r="M1941">
        <f>orders[[#This Row],[Ship Date]]-orders[[#This Row],[Order Date]]</f>
        <v>1</v>
      </c>
      <c r="N1941">
        <f>WEEKNUM(orders[[#This Row],[Order Date]],2)</f>
        <v>11</v>
      </c>
      <c r="O1941" t="str" cm="1">
        <f t="array" ref="O19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42" spans="1:15" x14ac:dyDescent="0.3">
      <c r="A1942" t="s">
        <v>2039</v>
      </c>
      <c r="B1942" t="s">
        <v>120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20</v>
      </c>
      <c r="I1942" t="s">
        <v>32</v>
      </c>
      <c r="J1942">
        <v>4</v>
      </c>
      <c r="K1942" t="s">
        <v>16</v>
      </c>
      <c r="L1942" t="s">
        <v>30</v>
      </c>
      <c r="M1942">
        <f>orders[[#This Row],[Ship Date]]-orders[[#This Row],[Order Date]]</f>
        <v>1</v>
      </c>
      <c r="N1942">
        <f>WEEKNUM(orders[[#This Row],[Order Date]],2)</f>
        <v>11</v>
      </c>
      <c r="O1942" t="str" cm="1">
        <f t="array" ref="O19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43" spans="1:15" x14ac:dyDescent="0.3">
      <c r="A1943" t="s">
        <v>2040</v>
      </c>
      <c r="B1943" t="s">
        <v>23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24</v>
      </c>
      <c r="I1943" t="s">
        <v>37</v>
      </c>
      <c r="J1943">
        <v>3</v>
      </c>
      <c r="K1943" t="s">
        <v>16</v>
      </c>
      <c r="L1943" t="s">
        <v>30</v>
      </c>
      <c r="M1943">
        <f>orders[[#This Row],[Ship Date]]-orders[[#This Row],[Order Date]]</f>
        <v>1</v>
      </c>
      <c r="N1943">
        <f>WEEKNUM(orders[[#This Row],[Order Date]],2)</f>
        <v>11</v>
      </c>
      <c r="O1943" t="str" cm="1">
        <f t="array" ref="O19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44" spans="1:15" x14ac:dyDescent="0.3">
      <c r="A1944" t="s">
        <v>2041</v>
      </c>
      <c r="B1944" t="s">
        <v>23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20</v>
      </c>
      <c r="I1944" t="s">
        <v>32</v>
      </c>
      <c r="J1944">
        <v>2</v>
      </c>
      <c r="K1944" t="s">
        <v>16</v>
      </c>
      <c r="L1944" t="s">
        <v>185</v>
      </c>
      <c r="M1944">
        <f>orders[[#This Row],[Ship Date]]-orders[[#This Row],[Order Date]]</f>
        <v>6</v>
      </c>
      <c r="N1944">
        <f>WEEKNUM(orders[[#This Row],[Order Date]],2)</f>
        <v>11</v>
      </c>
      <c r="O1944" t="str" cm="1">
        <f t="array" ref="O19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45" spans="1:15" x14ac:dyDescent="0.3">
      <c r="A1945" t="s">
        <v>2042</v>
      </c>
      <c r="B1945" t="s">
        <v>23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20</v>
      </c>
      <c r="I1945" t="s">
        <v>32</v>
      </c>
      <c r="J1945">
        <v>4</v>
      </c>
      <c r="K1945" t="s">
        <v>16</v>
      </c>
      <c r="L1945" t="s">
        <v>56</v>
      </c>
      <c r="M1945">
        <f>orders[[#This Row],[Ship Date]]-orders[[#This Row],[Order Date]]</f>
        <v>3</v>
      </c>
      <c r="N1945">
        <f>WEEKNUM(orders[[#This Row],[Order Date]],2)</f>
        <v>11</v>
      </c>
      <c r="O1945" t="str" cm="1">
        <f t="array" ref="O194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46" spans="1:15" x14ac:dyDescent="0.3">
      <c r="A1946" t="s">
        <v>2043</v>
      </c>
      <c r="B1946" t="s">
        <v>23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20</v>
      </c>
      <c r="I1946" t="s">
        <v>32</v>
      </c>
      <c r="J1946">
        <v>4</v>
      </c>
      <c r="K1946" t="s">
        <v>16</v>
      </c>
      <c r="L1946" t="s">
        <v>59</v>
      </c>
      <c r="M1946">
        <f>orders[[#This Row],[Ship Date]]-orders[[#This Row],[Order Date]]</f>
        <v>3</v>
      </c>
      <c r="N1946">
        <f>WEEKNUM(orders[[#This Row],[Order Date]],2)</f>
        <v>11</v>
      </c>
      <c r="O1946" t="str" cm="1">
        <f t="array" ref="O19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47" spans="1:15" x14ac:dyDescent="0.3">
      <c r="A1947" t="s">
        <v>2044</v>
      </c>
      <c r="B1947" t="s">
        <v>66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20</v>
      </c>
      <c r="I1947" t="s">
        <v>15</v>
      </c>
      <c r="J1947">
        <v>4</v>
      </c>
      <c r="K1947" t="s">
        <v>16</v>
      </c>
      <c r="L1947" t="s">
        <v>59</v>
      </c>
      <c r="M1947">
        <f>orders[[#This Row],[Ship Date]]-orders[[#This Row],[Order Date]]</f>
        <v>11</v>
      </c>
      <c r="N1947">
        <f>WEEKNUM(orders[[#This Row],[Order Date]],2)</f>
        <v>11</v>
      </c>
      <c r="O1947" t="str" cm="1">
        <f t="array" ref="O194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48" spans="1:15" x14ac:dyDescent="0.3">
      <c r="A1948" t="s">
        <v>2045</v>
      </c>
      <c r="B1948" t="s">
        <v>29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14</v>
      </c>
      <c r="I1948" t="s">
        <v>15</v>
      </c>
      <c r="J1948">
        <v>3</v>
      </c>
      <c r="K1948" t="s">
        <v>16</v>
      </c>
      <c r="L1948" t="s">
        <v>59</v>
      </c>
      <c r="M1948">
        <f>orders[[#This Row],[Ship Date]]-orders[[#This Row],[Order Date]]</f>
        <v>1</v>
      </c>
      <c r="N1948">
        <f>WEEKNUM(orders[[#This Row],[Order Date]],2)</f>
        <v>11</v>
      </c>
      <c r="O1948" t="str" cm="1">
        <f t="array" ref="O194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49" spans="1:15" x14ac:dyDescent="0.3">
      <c r="A1949" t="s">
        <v>2046</v>
      </c>
      <c r="B1949" t="s">
        <v>36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20</v>
      </c>
      <c r="I1949" t="s">
        <v>15</v>
      </c>
      <c r="J1949">
        <v>3</v>
      </c>
      <c r="K1949" t="s">
        <v>16</v>
      </c>
      <c r="L1949" t="s">
        <v>59</v>
      </c>
      <c r="M1949">
        <f>orders[[#This Row],[Ship Date]]-orders[[#This Row],[Order Date]]</f>
        <v>2</v>
      </c>
      <c r="N1949">
        <f>WEEKNUM(orders[[#This Row],[Order Date]],2)</f>
        <v>11</v>
      </c>
      <c r="O1949" t="str" cm="1">
        <f t="array" ref="O19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50" spans="1:15" x14ac:dyDescent="0.3">
      <c r="A1950" t="s">
        <v>2047</v>
      </c>
      <c r="B1950" t="s">
        <v>27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24</v>
      </c>
      <c r="I1950" t="s">
        <v>15</v>
      </c>
      <c r="J1950">
        <v>4</v>
      </c>
      <c r="K1950" t="s">
        <v>16</v>
      </c>
      <c r="L1950" t="s">
        <v>59</v>
      </c>
      <c r="M1950">
        <f>orders[[#This Row],[Ship Date]]-orders[[#This Row],[Order Date]]</f>
        <v>2</v>
      </c>
      <c r="N1950">
        <f>WEEKNUM(orders[[#This Row],[Order Date]],2)</f>
        <v>11</v>
      </c>
      <c r="O1950" t="str" cm="1">
        <f t="array" ref="O19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51" spans="1:15" x14ac:dyDescent="0.3">
      <c r="A1951" t="s">
        <v>2048</v>
      </c>
      <c r="B1951" t="s">
        <v>73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24</v>
      </c>
      <c r="I1951" t="s">
        <v>67</v>
      </c>
      <c r="J1951">
        <v>4</v>
      </c>
      <c r="K1951" t="s">
        <v>16</v>
      </c>
      <c r="L1951" t="s">
        <v>74</v>
      </c>
      <c r="M1951">
        <f>orders[[#This Row],[Ship Date]]-orders[[#This Row],[Order Date]]</f>
        <v>2</v>
      </c>
      <c r="N1951">
        <f>WEEKNUM(orders[[#This Row],[Order Date]],2)</f>
        <v>11</v>
      </c>
      <c r="O1951" t="str" cm="1">
        <f t="array" ref="O19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52" spans="1:15" x14ac:dyDescent="0.3">
      <c r="A1952" t="s">
        <v>2049</v>
      </c>
      <c r="B1952" t="s">
        <v>51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20</v>
      </c>
      <c r="I1952" t="s">
        <v>15</v>
      </c>
      <c r="J1952">
        <v>5</v>
      </c>
      <c r="K1952" t="s">
        <v>16</v>
      </c>
      <c r="L1952" t="s">
        <v>74</v>
      </c>
      <c r="M1952">
        <f>orders[[#This Row],[Ship Date]]-orders[[#This Row],[Order Date]]</f>
        <v>1</v>
      </c>
      <c r="N1952">
        <f>WEEKNUM(orders[[#This Row],[Order Date]],2)</f>
        <v>11</v>
      </c>
      <c r="O1952" t="str" cm="1">
        <f t="array" ref="O195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53" spans="1:15" x14ac:dyDescent="0.3">
      <c r="A1953" t="s">
        <v>2050</v>
      </c>
      <c r="B1953" t="s">
        <v>13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24</v>
      </c>
      <c r="I1953" t="s">
        <v>32</v>
      </c>
      <c r="J1953">
        <v>4</v>
      </c>
      <c r="K1953" t="s">
        <v>16</v>
      </c>
      <c r="L1953" t="s">
        <v>110</v>
      </c>
      <c r="M1953">
        <f>orders[[#This Row],[Ship Date]]-orders[[#This Row],[Order Date]]</f>
        <v>2</v>
      </c>
      <c r="N1953">
        <f>WEEKNUM(orders[[#This Row],[Order Date]],2)</f>
        <v>11</v>
      </c>
      <c r="O1953" t="str" cm="1">
        <f t="array" ref="O19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54" spans="1:15" x14ac:dyDescent="0.3">
      <c r="A1954" t="s">
        <v>2051</v>
      </c>
      <c r="B1954" t="s">
        <v>27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20</v>
      </c>
      <c r="I1954" t="s">
        <v>15</v>
      </c>
      <c r="J1954">
        <v>4</v>
      </c>
      <c r="K1954" t="s">
        <v>16</v>
      </c>
      <c r="L1954" t="s">
        <v>112</v>
      </c>
      <c r="M1954">
        <f>orders[[#This Row],[Ship Date]]-orders[[#This Row],[Order Date]]</f>
        <v>1</v>
      </c>
      <c r="N1954">
        <f>WEEKNUM(orders[[#This Row],[Order Date]],2)</f>
        <v>11</v>
      </c>
      <c r="O1954" t="str" cm="1">
        <f t="array" ref="O19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55" spans="1:15" x14ac:dyDescent="0.3">
      <c r="A1955" t="s">
        <v>2052</v>
      </c>
      <c r="B1955" t="s">
        <v>13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20</v>
      </c>
      <c r="I1955" t="s">
        <v>15</v>
      </c>
      <c r="J1955">
        <v>3</v>
      </c>
      <c r="K1955" t="s">
        <v>16</v>
      </c>
      <c r="L1955" t="s">
        <v>144</v>
      </c>
      <c r="M1955">
        <f>orders[[#This Row],[Ship Date]]-orders[[#This Row],[Order Date]]</f>
        <v>3</v>
      </c>
      <c r="N1955">
        <f>WEEKNUM(orders[[#This Row],[Order Date]],2)</f>
        <v>11</v>
      </c>
      <c r="O1955" t="str" cm="1">
        <f t="array" ref="O19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56" spans="1:15" x14ac:dyDescent="0.3">
      <c r="A1956" t="s">
        <v>2053</v>
      </c>
      <c r="B1956" t="s">
        <v>125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24</v>
      </c>
      <c r="I1956" t="s">
        <v>67</v>
      </c>
      <c r="J1956">
        <v>5</v>
      </c>
      <c r="K1956" t="s">
        <v>16</v>
      </c>
      <c r="L1956" t="s">
        <v>30</v>
      </c>
      <c r="M1956">
        <f>orders[[#This Row],[Ship Date]]-orders[[#This Row],[Order Date]]</f>
        <v>2</v>
      </c>
      <c r="N1956">
        <f>WEEKNUM(orders[[#This Row],[Order Date]],2)</f>
        <v>11</v>
      </c>
      <c r="O1956" t="str" cm="1">
        <f t="array" ref="O19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57" spans="1:15" x14ac:dyDescent="0.3">
      <c r="A1957" t="s">
        <v>2054</v>
      </c>
      <c r="B1957" t="s">
        <v>23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24</v>
      </c>
      <c r="I1957" t="s">
        <v>15</v>
      </c>
      <c r="J1957">
        <v>3</v>
      </c>
      <c r="K1957" t="s">
        <v>16</v>
      </c>
      <c r="L1957" t="s">
        <v>30</v>
      </c>
      <c r="M1957">
        <f>orders[[#This Row],[Ship Date]]-orders[[#This Row],[Order Date]]</f>
        <v>4</v>
      </c>
      <c r="N1957">
        <f>WEEKNUM(orders[[#This Row],[Order Date]],2)</f>
        <v>11</v>
      </c>
      <c r="O1957" t="str" cm="1">
        <f t="array" ref="O19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58" spans="1:15" x14ac:dyDescent="0.3">
      <c r="A1958" t="s">
        <v>2055</v>
      </c>
      <c r="B1958" t="s">
        <v>19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24</v>
      </c>
      <c r="I1958" t="s">
        <v>32</v>
      </c>
      <c r="J1958">
        <v>5</v>
      </c>
      <c r="K1958" t="s">
        <v>16</v>
      </c>
      <c r="L1958" t="s">
        <v>30</v>
      </c>
      <c r="M1958">
        <f>orders[[#This Row],[Ship Date]]-orders[[#This Row],[Order Date]]</f>
        <v>2</v>
      </c>
      <c r="N1958">
        <f>WEEKNUM(orders[[#This Row],[Order Date]],2)</f>
        <v>11</v>
      </c>
      <c r="O1958" t="str" cm="1">
        <f t="array" ref="O19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59" spans="1:15" x14ac:dyDescent="0.3">
      <c r="A1959" t="s">
        <v>2056</v>
      </c>
      <c r="B1959" t="s">
        <v>23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20</v>
      </c>
      <c r="I1959" t="s">
        <v>32</v>
      </c>
      <c r="J1959">
        <v>3</v>
      </c>
      <c r="K1959" t="s">
        <v>16</v>
      </c>
      <c r="L1959" t="s">
        <v>30</v>
      </c>
      <c r="M1959">
        <f>orders[[#This Row],[Ship Date]]-orders[[#This Row],[Order Date]]</f>
        <v>3</v>
      </c>
      <c r="N1959">
        <f>WEEKNUM(orders[[#This Row],[Order Date]],2)</f>
        <v>11</v>
      </c>
      <c r="O1959" t="str" cm="1">
        <f t="array" ref="O19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60" spans="1:15" x14ac:dyDescent="0.3">
      <c r="A1960" t="s">
        <v>2057</v>
      </c>
      <c r="B1960" t="s">
        <v>51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24</v>
      </c>
      <c r="I1960" t="s">
        <v>32</v>
      </c>
      <c r="J1960">
        <v>5</v>
      </c>
      <c r="K1960" t="s">
        <v>16</v>
      </c>
      <c r="L1960" t="s">
        <v>30</v>
      </c>
      <c r="M1960">
        <f>orders[[#This Row],[Ship Date]]-orders[[#This Row],[Order Date]]</f>
        <v>2</v>
      </c>
      <c r="N1960">
        <f>WEEKNUM(orders[[#This Row],[Order Date]],2)</f>
        <v>11</v>
      </c>
      <c r="O1960" t="str" cm="1">
        <f t="array" ref="O19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61" spans="1:15" x14ac:dyDescent="0.3">
      <c r="A1961" t="s">
        <v>2058</v>
      </c>
      <c r="B1961" t="s">
        <v>39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20</v>
      </c>
      <c r="I1961" t="s">
        <v>15</v>
      </c>
      <c r="J1961">
        <v>4</v>
      </c>
      <c r="K1961" t="s">
        <v>16</v>
      </c>
      <c r="L1961" t="s">
        <v>185</v>
      </c>
      <c r="M1961">
        <f>orders[[#This Row],[Ship Date]]-orders[[#This Row],[Order Date]]</f>
        <v>0</v>
      </c>
      <c r="N1961">
        <f>WEEKNUM(orders[[#This Row],[Order Date]],2)</f>
        <v>11</v>
      </c>
      <c r="O1961" t="str" cm="1">
        <f t="array" ref="O19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62" spans="1:15" x14ac:dyDescent="0.3">
      <c r="A1962" t="s">
        <v>2059</v>
      </c>
      <c r="B1962" t="s">
        <v>36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20</v>
      </c>
      <c r="I1962" t="s">
        <v>67</v>
      </c>
      <c r="J1962">
        <v>3</v>
      </c>
      <c r="K1962" t="s">
        <v>16</v>
      </c>
      <c r="L1962" t="s">
        <v>185</v>
      </c>
      <c r="M1962">
        <f>orders[[#This Row],[Ship Date]]-orders[[#This Row],[Order Date]]</f>
        <v>1</v>
      </c>
      <c r="N1962">
        <f>WEEKNUM(orders[[#This Row],[Order Date]],2)</f>
        <v>11</v>
      </c>
      <c r="O1962" t="str" cm="1">
        <f t="array" ref="O196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63" spans="1:15" x14ac:dyDescent="0.3">
      <c r="A1963" t="s">
        <v>2060</v>
      </c>
      <c r="B1963" t="s">
        <v>36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20</v>
      </c>
      <c r="I1963" t="s">
        <v>15</v>
      </c>
      <c r="J1963">
        <v>3</v>
      </c>
      <c r="K1963" t="s">
        <v>16</v>
      </c>
      <c r="L1963" t="s">
        <v>52</v>
      </c>
      <c r="M1963">
        <f>orders[[#This Row],[Ship Date]]-orders[[#This Row],[Order Date]]</f>
        <v>1</v>
      </c>
      <c r="N1963">
        <f>WEEKNUM(orders[[#This Row],[Order Date]],2)</f>
        <v>11</v>
      </c>
      <c r="O1963" t="str" cm="1">
        <f t="array" ref="O19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64" spans="1:15" x14ac:dyDescent="0.3">
      <c r="A1964" t="s">
        <v>2061</v>
      </c>
      <c r="B1964" t="s">
        <v>19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24</v>
      </c>
      <c r="I1964" t="s">
        <v>37</v>
      </c>
      <c r="J1964">
        <v>4</v>
      </c>
      <c r="K1964" t="s">
        <v>16</v>
      </c>
      <c r="L1964" t="s">
        <v>59</v>
      </c>
      <c r="M1964">
        <f>orders[[#This Row],[Ship Date]]-orders[[#This Row],[Order Date]]</f>
        <v>1</v>
      </c>
      <c r="N1964">
        <f>WEEKNUM(orders[[#This Row],[Order Date]],2)</f>
        <v>11</v>
      </c>
      <c r="O1964" t="str" cm="1">
        <f t="array" ref="O19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65" spans="1:15" x14ac:dyDescent="0.3">
      <c r="A1965" t="s">
        <v>2062</v>
      </c>
      <c r="B1965" t="s">
        <v>23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20</v>
      </c>
      <c r="I1965" t="s">
        <v>37</v>
      </c>
      <c r="J1965">
        <v>5</v>
      </c>
      <c r="K1965" t="s">
        <v>16</v>
      </c>
      <c r="L1965" t="s">
        <v>59</v>
      </c>
      <c r="M1965">
        <f>orders[[#This Row],[Ship Date]]-orders[[#This Row],[Order Date]]</f>
        <v>1</v>
      </c>
      <c r="N1965">
        <f>WEEKNUM(orders[[#This Row],[Order Date]],2)</f>
        <v>11</v>
      </c>
      <c r="O1965" t="str" cm="1">
        <f t="array" ref="O19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66" spans="1:15" x14ac:dyDescent="0.3">
      <c r="A1966" t="s">
        <v>2063</v>
      </c>
      <c r="B1966" t="s">
        <v>43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24</v>
      </c>
      <c r="I1966" t="s">
        <v>37</v>
      </c>
      <c r="J1966">
        <v>2</v>
      </c>
      <c r="K1966" t="s">
        <v>16</v>
      </c>
      <c r="L1966" t="s">
        <v>69</v>
      </c>
      <c r="M1966">
        <f>orders[[#This Row],[Ship Date]]-orders[[#This Row],[Order Date]]</f>
        <v>1</v>
      </c>
      <c r="N1966">
        <f>WEEKNUM(orders[[#This Row],[Order Date]],2)</f>
        <v>11</v>
      </c>
      <c r="O1966" t="str" cm="1">
        <f t="array" ref="O196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67" spans="1:15" x14ac:dyDescent="0.3">
      <c r="A1967" t="s">
        <v>2064</v>
      </c>
      <c r="B1967" t="s">
        <v>23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20</v>
      </c>
      <c r="I1967" t="s">
        <v>32</v>
      </c>
      <c r="J1967">
        <v>4</v>
      </c>
      <c r="K1967" t="s">
        <v>16</v>
      </c>
      <c r="L1967" t="s">
        <v>74</v>
      </c>
      <c r="M1967">
        <f>orders[[#This Row],[Ship Date]]-orders[[#This Row],[Order Date]]</f>
        <v>1</v>
      </c>
      <c r="N1967">
        <f>WEEKNUM(orders[[#This Row],[Order Date]],2)</f>
        <v>11</v>
      </c>
      <c r="O1967" t="str" cm="1">
        <f t="array" ref="O19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68" spans="1:15" x14ac:dyDescent="0.3">
      <c r="A1968" t="s">
        <v>2065</v>
      </c>
      <c r="B1968" t="s">
        <v>132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20</v>
      </c>
      <c r="I1968" t="s">
        <v>32</v>
      </c>
      <c r="J1968">
        <v>3</v>
      </c>
      <c r="K1968" t="s">
        <v>16</v>
      </c>
      <c r="L1968" t="s">
        <v>306</v>
      </c>
      <c r="M1968">
        <f>orders[[#This Row],[Ship Date]]-orders[[#This Row],[Order Date]]</f>
        <v>1</v>
      </c>
      <c r="N1968">
        <f>WEEKNUM(orders[[#This Row],[Order Date]],2)</f>
        <v>11</v>
      </c>
      <c r="O1968" t="str" cm="1">
        <f t="array" ref="O19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69" spans="1:15" x14ac:dyDescent="0.3">
      <c r="A1969" t="s">
        <v>2066</v>
      </c>
      <c r="B1969" t="s">
        <v>27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24</v>
      </c>
      <c r="I1969" t="s">
        <v>48</v>
      </c>
      <c r="J1969">
        <v>4</v>
      </c>
      <c r="K1969" t="s">
        <v>16</v>
      </c>
      <c r="L1969" t="s">
        <v>105</v>
      </c>
      <c r="M1969">
        <f>orders[[#This Row],[Ship Date]]-orders[[#This Row],[Order Date]]</f>
        <v>2</v>
      </c>
      <c r="N1969">
        <f>WEEKNUM(orders[[#This Row],[Order Date]],2)</f>
        <v>11</v>
      </c>
      <c r="O1969" t="str" cm="1">
        <f t="array" ref="O19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70" spans="1:15" x14ac:dyDescent="0.3">
      <c r="A1970" t="s">
        <v>2067</v>
      </c>
      <c r="B1970" t="s">
        <v>39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86</v>
      </c>
      <c r="I1970" t="s">
        <v>32</v>
      </c>
      <c r="J1970">
        <v>3</v>
      </c>
      <c r="K1970" t="s">
        <v>16</v>
      </c>
      <c r="L1970" t="s">
        <v>107</v>
      </c>
      <c r="M1970">
        <f>orders[[#This Row],[Ship Date]]-orders[[#This Row],[Order Date]]</f>
        <v>8</v>
      </c>
      <c r="N1970">
        <f>WEEKNUM(orders[[#This Row],[Order Date]],2)</f>
        <v>11</v>
      </c>
      <c r="O1970" t="str" cm="1">
        <f t="array" ref="O197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971" spans="1:15" x14ac:dyDescent="0.3">
      <c r="A1971" t="s">
        <v>2068</v>
      </c>
      <c r="B1971" t="s">
        <v>23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14</v>
      </c>
      <c r="I1971" t="s">
        <v>37</v>
      </c>
      <c r="J1971">
        <v>4</v>
      </c>
      <c r="K1971" t="s">
        <v>16</v>
      </c>
      <c r="L1971" t="s">
        <v>112</v>
      </c>
      <c r="M1971">
        <f>orders[[#This Row],[Ship Date]]-orders[[#This Row],[Order Date]]</f>
        <v>2</v>
      </c>
      <c r="N1971">
        <f>WEEKNUM(orders[[#This Row],[Order Date]],2)</f>
        <v>11</v>
      </c>
      <c r="O1971" t="str" cm="1">
        <f t="array" ref="O197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72" spans="1:15" x14ac:dyDescent="0.3">
      <c r="A1972" t="s">
        <v>2069</v>
      </c>
      <c r="B1972" t="s">
        <v>41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24</v>
      </c>
      <c r="I1972" t="s">
        <v>37</v>
      </c>
      <c r="J1972">
        <v>2</v>
      </c>
      <c r="K1972" t="s">
        <v>16</v>
      </c>
      <c r="L1972" t="s">
        <v>964</v>
      </c>
      <c r="M1972">
        <f>orders[[#This Row],[Ship Date]]-orders[[#This Row],[Order Date]]</f>
        <v>2</v>
      </c>
      <c r="N1972">
        <f>WEEKNUM(orders[[#This Row],[Order Date]],2)</f>
        <v>11</v>
      </c>
      <c r="O1972" t="str" cm="1">
        <f t="array" ref="O19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73" spans="1:15" x14ac:dyDescent="0.3">
      <c r="A1973" t="s">
        <v>2070</v>
      </c>
      <c r="B1973" t="s">
        <v>64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20</v>
      </c>
      <c r="I1973" t="s">
        <v>15</v>
      </c>
      <c r="J1973">
        <v>4</v>
      </c>
      <c r="K1973" t="s">
        <v>16</v>
      </c>
      <c r="L1973" t="s">
        <v>21</v>
      </c>
      <c r="M1973">
        <f>orders[[#This Row],[Ship Date]]-orders[[#This Row],[Order Date]]</f>
        <v>1</v>
      </c>
      <c r="N1973">
        <f>WEEKNUM(orders[[#This Row],[Order Date]],2)</f>
        <v>11</v>
      </c>
      <c r="O1973" t="str" cm="1">
        <f t="array" ref="O19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74" spans="1:15" x14ac:dyDescent="0.3">
      <c r="A1974" t="s">
        <v>2071</v>
      </c>
      <c r="B1974" t="s">
        <v>36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20</v>
      </c>
      <c r="I1974" t="s">
        <v>67</v>
      </c>
      <c r="J1974">
        <v>5</v>
      </c>
      <c r="K1974" t="s">
        <v>16</v>
      </c>
      <c r="L1974" t="s">
        <v>21</v>
      </c>
      <c r="M1974">
        <f>orders[[#This Row],[Ship Date]]-orders[[#This Row],[Order Date]]</f>
        <v>1</v>
      </c>
      <c r="N1974">
        <f>WEEKNUM(orders[[#This Row],[Order Date]],2)</f>
        <v>11</v>
      </c>
      <c r="O1974" t="str" cm="1">
        <f t="array" ref="O19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75" spans="1:15" x14ac:dyDescent="0.3">
      <c r="A1975" t="s">
        <v>2072</v>
      </c>
      <c r="B1975" t="s">
        <v>13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24</v>
      </c>
      <c r="I1975" t="s">
        <v>67</v>
      </c>
      <c r="J1975">
        <v>4</v>
      </c>
      <c r="K1975" t="s">
        <v>16</v>
      </c>
      <c r="L1975" t="s">
        <v>21</v>
      </c>
      <c r="M1975">
        <f>orders[[#This Row],[Ship Date]]-orders[[#This Row],[Order Date]]</f>
        <v>4</v>
      </c>
      <c r="N1975">
        <f>WEEKNUM(orders[[#This Row],[Order Date]],2)</f>
        <v>11</v>
      </c>
      <c r="O1975" t="str" cm="1">
        <f t="array" ref="O19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76" spans="1:15" x14ac:dyDescent="0.3">
      <c r="A1976" t="s">
        <v>2073</v>
      </c>
      <c r="B1976" t="s">
        <v>143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24</v>
      </c>
      <c r="I1976" t="s">
        <v>67</v>
      </c>
      <c r="J1976">
        <v>4</v>
      </c>
      <c r="K1976" t="s">
        <v>16</v>
      </c>
      <c r="L1976" t="s">
        <v>21</v>
      </c>
      <c r="M1976">
        <f>orders[[#This Row],[Ship Date]]-orders[[#This Row],[Order Date]]</f>
        <v>1</v>
      </c>
      <c r="N1976">
        <f>WEEKNUM(orders[[#This Row],[Order Date]],2)</f>
        <v>11</v>
      </c>
      <c r="O1976" t="str" cm="1">
        <f t="array" ref="O19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77" spans="1:15" x14ac:dyDescent="0.3">
      <c r="A1977" t="s">
        <v>2074</v>
      </c>
      <c r="B1977" t="s">
        <v>43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20</v>
      </c>
      <c r="I1977" t="s">
        <v>32</v>
      </c>
      <c r="J1977">
        <v>5</v>
      </c>
      <c r="K1977" t="s">
        <v>16</v>
      </c>
      <c r="L1977" t="s">
        <v>21</v>
      </c>
      <c r="M1977">
        <f>orders[[#This Row],[Ship Date]]-orders[[#This Row],[Order Date]]</f>
        <v>2</v>
      </c>
      <c r="N1977">
        <f>WEEKNUM(orders[[#This Row],[Order Date]],2)</f>
        <v>11</v>
      </c>
      <c r="O1977" t="str" cm="1">
        <f t="array" ref="O19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78" spans="1:15" x14ac:dyDescent="0.3">
      <c r="A1978" t="s">
        <v>2075</v>
      </c>
      <c r="B1978" t="s">
        <v>73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20</v>
      </c>
      <c r="I1978" t="s">
        <v>37</v>
      </c>
      <c r="J1978">
        <v>5</v>
      </c>
      <c r="K1978" t="s">
        <v>16</v>
      </c>
      <c r="L1978" t="s">
        <v>328</v>
      </c>
      <c r="M1978">
        <f>orders[[#This Row],[Ship Date]]-orders[[#This Row],[Order Date]]</f>
        <v>1</v>
      </c>
      <c r="N1978">
        <f>WEEKNUM(orders[[#This Row],[Order Date]],2)</f>
        <v>11</v>
      </c>
      <c r="O1978" t="str" cm="1">
        <f t="array" ref="O197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79" spans="1:15" x14ac:dyDescent="0.3">
      <c r="A1979" t="s">
        <v>2076</v>
      </c>
      <c r="B1979" t="s">
        <v>41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86</v>
      </c>
      <c r="I1979" t="s">
        <v>37</v>
      </c>
      <c r="J1979">
        <v>3</v>
      </c>
      <c r="K1979" t="s">
        <v>16</v>
      </c>
      <c r="L1979" t="s">
        <v>328</v>
      </c>
      <c r="M1979">
        <f>orders[[#This Row],[Ship Date]]-orders[[#This Row],[Order Date]]</f>
        <v>8</v>
      </c>
      <c r="N1979">
        <f>WEEKNUM(orders[[#This Row],[Order Date]],2)</f>
        <v>11</v>
      </c>
      <c r="O1979" t="str" cm="1">
        <f t="array" ref="O1979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1980" spans="1:15" x14ac:dyDescent="0.3">
      <c r="A1980" t="s">
        <v>2077</v>
      </c>
      <c r="B1980" t="s">
        <v>41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20</v>
      </c>
      <c r="I1980" t="s">
        <v>15</v>
      </c>
      <c r="J1980">
        <v>5</v>
      </c>
      <c r="K1980" t="s">
        <v>16</v>
      </c>
      <c r="L1980" t="s">
        <v>144</v>
      </c>
      <c r="M1980">
        <f>orders[[#This Row],[Ship Date]]-orders[[#This Row],[Order Date]]</f>
        <v>12</v>
      </c>
      <c r="N1980">
        <f>WEEKNUM(orders[[#This Row],[Order Date]],2)</f>
        <v>11</v>
      </c>
      <c r="O1980" t="str" cm="1">
        <f t="array" ref="O198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81" spans="1:15" x14ac:dyDescent="0.3">
      <c r="A1981" t="s">
        <v>2078</v>
      </c>
      <c r="B1981" t="s">
        <v>29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20</v>
      </c>
      <c r="I1981" t="s">
        <v>48</v>
      </c>
      <c r="J1981">
        <v>5</v>
      </c>
      <c r="K1981" t="s">
        <v>16</v>
      </c>
      <c r="L1981" t="s">
        <v>30</v>
      </c>
      <c r="M1981">
        <f>orders[[#This Row],[Ship Date]]-orders[[#This Row],[Order Date]]</f>
        <v>0</v>
      </c>
      <c r="N1981">
        <f>WEEKNUM(orders[[#This Row],[Order Date]],2)</f>
        <v>11</v>
      </c>
      <c r="O1981" t="str" cm="1">
        <f t="array" ref="O19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82" spans="1:15" x14ac:dyDescent="0.3">
      <c r="A1982" t="s">
        <v>2079</v>
      </c>
      <c r="B1982" t="s">
        <v>125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24</v>
      </c>
      <c r="I1982" t="s">
        <v>15</v>
      </c>
      <c r="J1982">
        <v>5</v>
      </c>
      <c r="K1982" t="s">
        <v>16</v>
      </c>
      <c r="L1982" t="s">
        <v>30</v>
      </c>
      <c r="M1982">
        <f>orders[[#This Row],[Ship Date]]-orders[[#This Row],[Order Date]]</f>
        <v>4</v>
      </c>
      <c r="N1982">
        <f>WEEKNUM(orders[[#This Row],[Order Date]],2)</f>
        <v>11</v>
      </c>
      <c r="O1982" t="str" cm="1">
        <f t="array" ref="O19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83" spans="1:15" x14ac:dyDescent="0.3">
      <c r="A1983" t="s">
        <v>2080</v>
      </c>
      <c r="B1983" t="s">
        <v>19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24</v>
      </c>
      <c r="I1983" t="s">
        <v>37</v>
      </c>
      <c r="J1983">
        <v>5</v>
      </c>
      <c r="K1983" t="s">
        <v>16</v>
      </c>
      <c r="L1983" t="s">
        <v>30</v>
      </c>
      <c r="M1983">
        <f>orders[[#This Row],[Ship Date]]-orders[[#This Row],[Order Date]]</f>
        <v>1</v>
      </c>
      <c r="N1983">
        <f>WEEKNUM(orders[[#This Row],[Order Date]],2)</f>
        <v>11</v>
      </c>
      <c r="O1983" t="str" cm="1">
        <f t="array" ref="O19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84" spans="1:15" x14ac:dyDescent="0.3">
      <c r="A1984" t="s">
        <v>2081</v>
      </c>
      <c r="B1984" t="s">
        <v>51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20</v>
      </c>
      <c r="I1984" t="s">
        <v>15</v>
      </c>
      <c r="J1984">
        <v>5</v>
      </c>
      <c r="K1984" t="s">
        <v>16</v>
      </c>
      <c r="L1984" t="s">
        <v>30</v>
      </c>
      <c r="M1984">
        <f>orders[[#This Row],[Ship Date]]-orders[[#This Row],[Order Date]]</f>
        <v>4</v>
      </c>
      <c r="N1984">
        <f>WEEKNUM(orders[[#This Row],[Order Date]],2)</f>
        <v>11</v>
      </c>
      <c r="O1984" t="str" cm="1">
        <f t="array" ref="O198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85" spans="1:15" x14ac:dyDescent="0.3">
      <c r="A1985" t="s">
        <v>2082</v>
      </c>
      <c r="B1985" t="s">
        <v>27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24</v>
      </c>
      <c r="I1985" t="s">
        <v>67</v>
      </c>
      <c r="J1985">
        <v>4</v>
      </c>
      <c r="K1985" t="s">
        <v>16</v>
      </c>
      <c r="L1985" t="s">
        <v>30</v>
      </c>
      <c r="M1985">
        <f>orders[[#This Row],[Ship Date]]-orders[[#This Row],[Order Date]]</f>
        <v>1</v>
      </c>
      <c r="N1985">
        <f>WEEKNUM(orders[[#This Row],[Order Date]],2)</f>
        <v>11</v>
      </c>
      <c r="O1985" t="str" cm="1">
        <f t="array" ref="O19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86" spans="1:15" x14ac:dyDescent="0.3">
      <c r="A1986" t="s">
        <v>2083</v>
      </c>
      <c r="B1986" t="s">
        <v>19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24</v>
      </c>
      <c r="I1986" t="s">
        <v>15</v>
      </c>
      <c r="J1986">
        <v>5</v>
      </c>
      <c r="K1986" t="s">
        <v>16</v>
      </c>
      <c r="L1986" t="s">
        <v>30</v>
      </c>
      <c r="M1986">
        <f>orders[[#This Row],[Ship Date]]-orders[[#This Row],[Order Date]]</f>
        <v>2</v>
      </c>
      <c r="N1986">
        <f>WEEKNUM(orders[[#This Row],[Order Date]],2)</f>
        <v>11</v>
      </c>
      <c r="O1986" t="str" cm="1">
        <f t="array" ref="O19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87" spans="1:15" x14ac:dyDescent="0.3">
      <c r="A1987" t="s">
        <v>2084</v>
      </c>
      <c r="B1987" t="s">
        <v>51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24</v>
      </c>
      <c r="I1987" t="s">
        <v>15</v>
      </c>
      <c r="J1987">
        <v>2</v>
      </c>
      <c r="K1987" t="s">
        <v>16</v>
      </c>
      <c r="L1987" t="s">
        <v>30</v>
      </c>
      <c r="M1987">
        <f>orders[[#This Row],[Ship Date]]-orders[[#This Row],[Order Date]]</f>
        <v>2</v>
      </c>
      <c r="N1987">
        <f>WEEKNUM(orders[[#This Row],[Order Date]],2)</f>
        <v>11</v>
      </c>
      <c r="O1987" t="str" cm="1">
        <f t="array" ref="O19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88" spans="1:15" x14ac:dyDescent="0.3">
      <c r="A1988" t="s">
        <v>2085</v>
      </c>
      <c r="B1988" t="s">
        <v>66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20</v>
      </c>
      <c r="I1988" t="s">
        <v>15</v>
      </c>
      <c r="J1988">
        <v>5</v>
      </c>
      <c r="K1988" t="s">
        <v>16</v>
      </c>
      <c r="L1988" t="s">
        <v>185</v>
      </c>
      <c r="M1988">
        <f>orders[[#This Row],[Ship Date]]-orders[[#This Row],[Order Date]]</f>
        <v>4</v>
      </c>
      <c r="N1988">
        <f>WEEKNUM(orders[[#This Row],[Order Date]],2)</f>
        <v>11</v>
      </c>
      <c r="O1988" t="str" cm="1">
        <f t="array" ref="O198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89" spans="1:15" x14ac:dyDescent="0.3">
      <c r="A1989" t="s">
        <v>2086</v>
      </c>
      <c r="B1989" t="s">
        <v>23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14</v>
      </c>
      <c r="I1989" t="s">
        <v>15</v>
      </c>
      <c r="J1989">
        <v>4</v>
      </c>
      <c r="K1989" t="s">
        <v>16</v>
      </c>
      <c r="L1989" t="s">
        <v>52</v>
      </c>
      <c r="M1989">
        <f>orders[[#This Row],[Ship Date]]-orders[[#This Row],[Order Date]]</f>
        <v>2</v>
      </c>
      <c r="N1989">
        <f>WEEKNUM(orders[[#This Row],[Order Date]],2)</f>
        <v>11</v>
      </c>
      <c r="O1989" t="str" cm="1">
        <f t="array" ref="O198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90" spans="1:15" x14ac:dyDescent="0.3">
      <c r="A1990" t="s">
        <v>2087</v>
      </c>
      <c r="B1990" t="s">
        <v>19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24</v>
      </c>
      <c r="I1990" t="s">
        <v>15</v>
      </c>
      <c r="J1990">
        <v>3</v>
      </c>
      <c r="K1990" t="s">
        <v>16</v>
      </c>
      <c r="L1990" t="s">
        <v>52</v>
      </c>
      <c r="M1990">
        <f>orders[[#This Row],[Ship Date]]-orders[[#This Row],[Order Date]]</f>
        <v>3</v>
      </c>
      <c r="N1990">
        <f>WEEKNUM(orders[[#This Row],[Order Date]],2)</f>
        <v>11</v>
      </c>
      <c r="O1990" t="str" cm="1">
        <f t="array" ref="O199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91" spans="1:15" x14ac:dyDescent="0.3">
      <c r="A1991" t="s">
        <v>2088</v>
      </c>
      <c r="B1991" t="s">
        <v>36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14</v>
      </c>
      <c r="I1991" t="s">
        <v>15</v>
      </c>
      <c r="J1991">
        <v>3</v>
      </c>
      <c r="K1991" t="s">
        <v>16</v>
      </c>
      <c r="L1991" t="s">
        <v>52</v>
      </c>
      <c r="M1991">
        <f>orders[[#This Row],[Ship Date]]-orders[[#This Row],[Order Date]]</f>
        <v>1</v>
      </c>
      <c r="N1991">
        <f>WEEKNUM(orders[[#This Row],[Order Date]],2)</f>
        <v>11</v>
      </c>
      <c r="O1991" t="str" cm="1">
        <f t="array" ref="O199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92" spans="1:15" x14ac:dyDescent="0.3">
      <c r="A1992" t="s">
        <v>2089</v>
      </c>
      <c r="B1992" t="s">
        <v>19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14</v>
      </c>
      <c r="I1992" t="s">
        <v>15</v>
      </c>
      <c r="J1992">
        <v>3</v>
      </c>
      <c r="K1992" t="s">
        <v>16</v>
      </c>
      <c r="L1992" t="s">
        <v>59</v>
      </c>
      <c r="M1992">
        <f>orders[[#This Row],[Ship Date]]-orders[[#This Row],[Order Date]]</f>
        <v>2</v>
      </c>
      <c r="N1992">
        <f>WEEKNUM(orders[[#This Row],[Order Date]],2)</f>
        <v>11</v>
      </c>
      <c r="O1992" t="str" cm="1">
        <f t="array" ref="O199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1993" spans="1:15" x14ac:dyDescent="0.3">
      <c r="A1993" t="s">
        <v>2090</v>
      </c>
      <c r="B1993" t="s">
        <v>36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24</v>
      </c>
      <c r="I1993" t="s">
        <v>32</v>
      </c>
      <c r="J1993">
        <v>4</v>
      </c>
      <c r="K1993" t="s">
        <v>16</v>
      </c>
      <c r="L1993" t="s">
        <v>59</v>
      </c>
      <c r="M1993">
        <f>orders[[#This Row],[Ship Date]]-orders[[#This Row],[Order Date]]</f>
        <v>1</v>
      </c>
      <c r="N1993">
        <f>WEEKNUM(orders[[#This Row],[Order Date]],2)</f>
        <v>11</v>
      </c>
      <c r="O1993" t="str" cm="1">
        <f t="array" ref="O19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94" spans="1:15" x14ac:dyDescent="0.3">
      <c r="A1994" t="s">
        <v>2091</v>
      </c>
      <c r="B1994" t="s">
        <v>43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24</v>
      </c>
      <c r="I1994" t="s">
        <v>15</v>
      </c>
      <c r="J1994">
        <v>5</v>
      </c>
      <c r="K1994" t="s">
        <v>16</v>
      </c>
      <c r="L1994" t="s">
        <v>59</v>
      </c>
      <c r="M1994">
        <f>orders[[#This Row],[Ship Date]]-orders[[#This Row],[Order Date]]</f>
        <v>7</v>
      </c>
      <c r="N1994">
        <f>WEEKNUM(orders[[#This Row],[Order Date]],2)</f>
        <v>11</v>
      </c>
      <c r="O1994" t="str" cm="1">
        <f t="array" ref="O199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95" spans="1:15" x14ac:dyDescent="0.3">
      <c r="A1995" t="s">
        <v>2092</v>
      </c>
      <c r="B1995" t="s">
        <v>34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20</v>
      </c>
      <c r="I1995" t="s">
        <v>48</v>
      </c>
      <c r="J1995">
        <v>4</v>
      </c>
      <c r="K1995" t="s">
        <v>16</v>
      </c>
      <c r="L1995" t="s">
        <v>59</v>
      </c>
      <c r="M1995">
        <f>orders[[#This Row],[Ship Date]]-orders[[#This Row],[Order Date]]</f>
        <v>1</v>
      </c>
      <c r="N1995">
        <f>WEEKNUM(orders[[#This Row],[Order Date]],2)</f>
        <v>11</v>
      </c>
      <c r="O1995" t="str" cm="1">
        <f t="array" ref="O19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96" spans="1:15" x14ac:dyDescent="0.3">
      <c r="A1996" t="s">
        <v>2093</v>
      </c>
      <c r="B1996" t="s">
        <v>66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20</v>
      </c>
      <c r="I1996" t="s">
        <v>67</v>
      </c>
      <c r="J1996">
        <v>3</v>
      </c>
      <c r="K1996" t="s">
        <v>16</v>
      </c>
      <c r="L1996" t="s">
        <v>59</v>
      </c>
      <c r="M1996">
        <f>orders[[#This Row],[Ship Date]]-orders[[#This Row],[Order Date]]</f>
        <v>3</v>
      </c>
      <c r="N1996">
        <f>WEEKNUM(orders[[#This Row],[Order Date]],2)</f>
        <v>11</v>
      </c>
      <c r="O1996" t="str" cm="1">
        <f t="array" ref="O19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1997" spans="1:15" x14ac:dyDescent="0.3">
      <c r="A1997" t="s">
        <v>2094</v>
      </c>
      <c r="B1997" t="s">
        <v>36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24</v>
      </c>
      <c r="I1997" t="s">
        <v>32</v>
      </c>
      <c r="J1997">
        <v>5</v>
      </c>
      <c r="K1997" t="s">
        <v>16</v>
      </c>
      <c r="L1997" t="s">
        <v>59</v>
      </c>
      <c r="M1997">
        <f>orders[[#This Row],[Ship Date]]-orders[[#This Row],[Order Date]]</f>
        <v>1</v>
      </c>
      <c r="N1997">
        <f>WEEKNUM(orders[[#This Row],[Order Date]],2)</f>
        <v>11</v>
      </c>
      <c r="O1997" t="str" cm="1">
        <f t="array" ref="O19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98" spans="1:15" x14ac:dyDescent="0.3">
      <c r="A1998" t="s">
        <v>2095</v>
      </c>
      <c r="B1998" t="s">
        <v>29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24</v>
      </c>
      <c r="I1998" t="s">
        <v>32</v>
      </c>
      <c r="J1998">
        <v>4</v>
      </c>
      <c r="K1998" t="s">
        <v>16</v>
      </c>
      <c r="L1998" t="s">
        <v>198</v>
      </c>
      <c r="M1998">
        <f>orders[[#This Row],[Ship Date]]-orders[[#This Row],[Order Date]]</f>
        <v>1</v>
      </c>
      <c r="N1998">
        <f>WEEKNUM(orders[[#This Row],[Order Date]],2)</f>
        <v>11</v>
      </c>
      <c r="O1998" t="str" cm="1">
        <f t="array" ref="O19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1999" spans="1:15" x14ac:dyDescent="0.3">
      <c r="A1999" t="s">
        <v>2096</v>
      </c>
      <c r="B1999" t="s">
        <v>78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20</v>
      </c>
      <c r="I1999" t="s">
        <v>37</v>
      </c>
      <c r="J1999">
        <v>4</v>
      </c>
      <c r="K1999" t="s">
        <v>16</v>
      </c>
      <c r="L1999" t="s">
        <v>69</v>
      </c>
      <c r="M1999">
        <f>orders[[#This Row],[Ship Date]]-orders[[#This Row],[Order Date]]</f>
        <v>1</v>
      </c>
      <c r="N1999">
        <f>WEEKNUM(orders[[#This Row],[Order Date]],2)</f>
        <v>11</v>
      </c>
      <c r="O1999" t="str" cm="1">
        <f t="array" ref="O19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00" spans="1:15" x14ac:dyDescent="0.3">
      <c r="A2000" t="s">
        <v>2097</v>
      </c>
      <c r="B2000" t="s">
        <v>29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20</v>
      </c>
      <c r="I2000" t="s">
        <v>32</v>
      </c>
      <c r="J2000">
        <v>5</v>
      </c>
      <c r="K2000" t="s">
        <v>16</v>
      </c>
      <c r="L2000" t="s">
        <v>74</v>
      </c>
      <c r="M2000">
        <f>orders[[#This Row],[Ship Date]]-orders[[#This Row],[Order Date]]</f>
        <v>2</v>
      </c>
      <c r="N2000">
        <f>WEEKNUM(orders[[#This Row],[Order Date]],2)</f>
        <v>11</v>
      </c>
      <c r="O2000" t="str" cm="1">
        <f t="array" ref="O20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01" spans="1:15" x14ac:dyDescent="0.3">
      <c r="A2001" t="s">
        <v>2098</v>
      </c>
      <c r="B2001" t="s">
        <v>41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20</v>
      </c>
      <c r="I2001" t="s">
        <v>32</v>
      </c>
      <c r="J2001">
        <v>4</v>
      </c>
      <c r="K2001" t="s">
        <v>16</v>
      </c>
      <c r="L2001" t="s">
        <v>105</v>
      </c>
      <c r="M2001">
        <f>orders[[#This Row],[Ship Date]]-orders[[#This Row],[Order Date]]</f>
        <v>10</v>
      </c>
      <c r="N2001">
        <f>WEEKNUM(orders[[#This Row],[Order Date]],2)</f>
        <v>11</v>
      </c>
      <c r="O2001" t="str" cm="1">
        <f t="array" ref="O20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02" spans="1:15" x14ac:dyDescent="0.3">
      <c r="A2002" t="s">
        <v>2099</v>
      </c>
      <c r="B2002" t="s">
        <v>125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24</v>
      </c>
      <c r="I2002" t="s">
        <v>32</v>
      </c>
      <c r="J2002">
        <v>4</v>
      </c>
      <c r="K2002" t="s">
        <v>16</v>
      </c>
      <c r="L2002" t="s">
        <v>107</v>
      </c>
      <c r="M2002">
        <f>orders[[#This Row],[Ship Date]]-orders[[#This Row],[Order Date]]</f>
        <v>4</v>
      </c>
      <c r="N2002">
        <f>WEEKNUM(orders[[#This Row],[Order Date]],2)</f>
        <v>11</v>
      </c>
      <c r="O2002" t="str" cm="1">
        <f t="array" ref="O20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03" spans="1:15" x14ac:dyDescent="0.3">
      <c r="A2003" t="s">
        <v>2100</v>
      </c>
      <c r="B2003" t="s">
        <v>132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20</v>
      </c>
      <c r="I2003" t="s">
        <v>32</v>
      </c>
      <c r="J2003">
        <v>5</v>
      </c>
      <c r="K2003" t="s">
        <v>16</v>
      </c>
      <c r="L2003" t="s">
        <v>112</v>
      </c>
      <c r="M2003">
        <f>orders[[#This Row],[Ship Date]]-orders[[#This Row],[Order Date]]</f>
        <v>1</v>
      </c>
      <c r="N2003">
        <f>WEEKNUM(orders[[#This Row],[Order Date]],2)</f>
        <v>11</v>
      </c>
      <c r="O2003" t="str" cm="1">
        <f t="array" ref="O20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04" spans="1:15" x14ac:dyDescent="0.3">
      <c r="A2004" t="s">
        <v>2101</v>
      </c>
      <c r="B2004" t="s">
        <v>120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86</v>
      </c>
      <c r="I2004" t="s">
        <v>15</v>
      </c>
      <c r="J2004">
        <v>3</v>
      </c>
      <c r="K2004" t="s">
        <v>16</v>
      </c>
      <c r="L2004" t="s">
        <v>112</v>
      </c>
      <c r="M2004">
        <f>orders[[#This Row],[Ship Date]]-orders[[#This Row],[Order Date]]</f>
        <v>1</v>
      </c>
      <c r="N2004">
        <f>WEEKNUM(orders[[#This Row],[Order Date]],2)</f>
        <v>11</v>
      </c>
      <c r="O2004" t="str" cm="1">
        <f t="array" ref="O200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005" spans="1:15" x14ac:dyDescent="0.3">
      <c r="A2005" t="s">
        <v>2102</v>
      </c>
      <c r="B2005" t="s">
        <v>43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14</v>
      </c>
      <c r="I2005" t="s">
        <v>48</v>
      </c>
      <c r="J2005">
        <v>3</v>
      </c>
      <c r="K2005" t="s">
        <v>16</v>
      </c>
      <c r="L2005" t="s">
        <v>112</v>
      </c>
      <c r="M2005">
        <f>orders[[#This Row],[Ship Date]]-orders[[#This Row],[Order Date]]</f>
        <v>1</v>
      </c>
      <c r="N2005">
        <f>WEEKNUM(orders[[#This Row],[Order Date]],2)</f>
        <v>11</v>
      </c>
      <c r="O2005" t="str" cm="1">
        <f t="array" ref="O200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006" spans="1:15" x14ac:dyDescent="0.3">
      <c r="A2006" t="s">
        <v>2103</v>
      </c>
      <c r="B2006" t="s">
        <v>36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24</v>
      </c>
      <c r="I2006" t="s">
        <v>48</v>
      </c>
      <c r="J2006">
        <v>5</v>
      </c>
      <c r="K2006" t="s">
        <v>16</v>
      </c>
      <c r="L2006" t="s">
        <v>21</v>
      </c>
      <c r="M2006">
        <f>orders[[#This Row],[Ship Date]]-orders[[#This Row],[Order Date]]</f>
        <v>2</v>
      </c>
      <c r="N2006">
        <f>WEEKNUM(orders[[#This Row],[Order Date]],2)</f>
        <v>11</v>
      </c>
      <c r="O2006" t="str" cm="1">
        <f t="array" ref="O20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07" spans="1:15" x14ac:dyDescent="0.3">
      <c r="A2007" t="s">
        <v>2104</v>
      </c>
      <c r="B2007" t="s">
        <v>41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14</v>
      </c>
      <c r="I2007" t="s">
        <v>37</v>
      </c>
      <c r="J2007">
        <v>5</v>
      </c>
      <c r="K2007" t="s">
        <v>16</v>
      </c>
      <c r="L2007" t="s">
        <v>21</v>
      </c>
      <c r="M2007">
        <f>orders[[#This Row],[Ship Date]]-orders[[#This Row],[Order Date]]</f>
        <v>3</v>
      </c>
      <c r="N2007">
        <f>WEEKNUM(orders[[#This Row],[Order Date]],2)</f>
        <v>11</v>
      </c>
      <c r="O2007" t="str" cm="1">
        <f t="array" ref="O200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008" spans="1:15" x14ac:dyDescent="0.3">
      <c r="A2008" t="s">
        <v>2105</v>
      </c>
      <c r="B2008" t="s">
        <v>19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20</v>
      </c>
      <c r="I2008" t="s">
        <v>32</v>
      </c>
      <c r="J2008">
        <v>3</v>
      </c>
      <c r="K2008" t="s">
        <v>16</v>
      </c>
      <c r="L2008" t="s">
        <v>25</v>
      </c>
      <c r="M2008">
        <f>orders[[#This Row],[Ship Date]]-orders[[#This Row],[Order Date]]</f>
        <v>2</v>
      </c>
      <c r="N2008">
        <f>WEEKNUM(orders[[#This Row],[Order Date]],2)</f>
        <v>11</v>
      </c>
      <c r="O2008" t="str" cm="1">
        <f t="array" ref="O20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09" spans="1:15" x14ac:dyDescent="0.3">
      <c r="A2009" t="s">
        <v>2106</v>
      </c>
      <c r="B2009" t="s">
        <v>41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20</v>
      </c>
      <c r="I2009" t="s">
        <v>15</v>
      </c>
      <c r="J2009">
        <v>3</v>
      </c>
      <c r="K2009" t="s">
        <v>16</v>
      </c>
      <c r="L2009" t="s">
        <v>144</v>
      </c>
      <c r="M2009">
        <f>orders[[#This Row],[Ship Date]]-orders[[#This Row],[Order Date]]</f>
        <v>1</v>
      </c>
      <c r="N2009">
        <f>WEEKNUM(orders[[#This Row],[Order Date]],2)</f>
        <v>11</v>
      </c>
      <c r="O2009" t="str" cm="1">
        <f t="array" ref="O200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10" spans="1:15" x14ac:dyDescent="0.3">
      <c r="A2010" t="s">
        <v>2107</v>
      </c>
      <c r="B2010" t="s">
        <v>43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24</v>
      </c>
      <c r="I2010" t="s">
        <v>48</v>
      </c>
      <c r="J2010">
        <v>5</v>
      </c>
      <c r="K2010" t="s">
        <v>16</v>
      </c>
      <c r="L2010" t="s">
        <v>331</v>
      </c>
      <c r="M2010">
        <f>orders[[#This Row],[Ship Date]]-orders[[#This Row],[Order Date]]</f>
        <v>2</v>
      </c>
      <c r="N2010">
        <f>WEEKNUM(orders[[#This Row],[Order Date]],2)</f>
        <v>11</v>
      </c>
      <c r="O2010" t="str" cm="1">
        <f t="array" ref="O20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11" spans="1:15" x14ac:dyDescent="0.3">
      <c r="A2011" t="s">
        <v>2108</v>
      </c>
      <c r="B2011" t="s">
        <v>64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24</v>
      </c>
      <c r="I2011" t="s">
        <v>48</v>
      </c>
      <c r="J2011">
        <v>2</v>
      </c>
      <c r="K2011" t="s">
        <v>16</v>
      </c>
      <c r="L2011" t="s">
        <v>331</v>
      </c>
      <c r="M2011">
        <f>orders[[#This Row],[Ship Date]]-orders[[#This Row],[Order Date]]</f>
        <v>1</v>
      </c>
      <c r="N2011">
        <f>WEEKNUM(orders[[#This Row],[Order Date]],2)</f>
        <v>11</v>
      </c>
      <c r="O2011" t="str" cm="1">
        <f t="array" ref="O201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12" spans="1:15" x14ac:dyDescent="0.3">
      <c r="A2012" t="s">
        <v>2109</v>
      </c>
      <c r="B2012" t="s">
        <v>64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24</v>
      </c>
      <c r="I2012" t="s">
        <v>15</v>
      </c>
      <c r="J2012">
        <v>5</v>
      </c>
      <c r="K2012" t="s">
        <v>16</v>
      </c>
      <c r="L2012" t="s">
        <v>30</v>
      </c>
      <c r="M2012">
        <f>orders[[#This Row],[Ship Date]]-orders[[#This Row],[Order Date]]</f>
        <v>1</v>
      </c>
      <c r="N2012">
        <f>WEEKNUM(orders[[#This Row],[Order Date]],2)</f>
        <v>11</v>
      </c>
      <c r="O2012" t="str" cm="1">
        <f t="array" ref="O20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13" spans="1:15" x14ac:dyDescent="0.3">
      <c r="A2013" t="s">
        <v>2110</v>
      </c>
      <c r="B2013" t="s">
        <v>29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24</v>
      </c>
      <c r="I2013" t="s">
        <v>37</v>
      </c>
      <c r="J2013">
        <v>3</v>
      </c>
      <c r="K2013" t="s">
        <v>16</v>
      </c>
      <c r="L2013" t="s">
        <v>30</v>
      </c>
      <c r="M2013">
        <f>orders[[#This Row],[Ship Date]]-orders[[#This Row],[Order Date]]</f>
        <v>1</v>
      </c>
      <c r="N2013">
        <f>WEEKNUM(orders[[#This Row],[Order Date]],2)</f>
        <v>11</v>
      </c>
      <c r="O2013" t="str" cm="1">
        <f t="array" ref="O20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14" spans="1:15" x14ac:dyDescent="0.3">
      <c r="A2014" t="s">
        <v>2111</v>
      </c>
      <c r="B2014" t="s">
        <v>29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20</v>
      </c>
      <c r="I2014" t="s">
        <v>67</v>
      </c>
      <c r="J2014">
        <v>3</v>
      </c>
      <c r="K2014" t="s">
        <v>16</v>
      </c>
      <c r="L2014" t="s">
        <v>30</v>
      </c>
      <c r="M2014">
        <f>orders[[#This Row],[Ship Date]]-orders[[#This Row],[Order Date]]</f>
        <v>2</v>
      </c>
      <c r="N2014">
        <f>WEEKNUM(orders[[#This Row],[Order Date]],2)</f>
        <v>11</v>
      </c>
      <c r="O2014" t="str" cm="1">
        <f t="array" ref="O20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15" spans="1:15" x14ac:dyDescent="0.3">
      <c r="A2015" t="s">
        <v>2112</v>
      </c>
      <c r="B2015" t="s">
        <v>34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14</v>
      </c>
      <c r="I2015" t="s">
        <v>37</v>
      </c>
      <c r="J2015">
        <v>4</v>
      </c>
      <c r="K2015" t="s">
        <v>16</v>
      </c>
      <c r="L2015" t="s">
        <v>30</v>
      </c>
      <c r="M2015">
        <f>orders[[#This Row],[Ship Date]]-orders[[#This Row],[Order Date]]</f>
        <v>1</v>
      </c>
      <c r="N2015">
        <f>WEEKNUM(orders[[#This Row],[Order Date]],2)</f>
        <v>11</v>
      </c>
      <c r="O2015" t="str" cm="1">
        <f t="array" ref="O201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016" spans="1:15" x14ac:dyDescent="0.3">
      <c r="A2016" t="s">
        <v>2113</v>
      </c>
      <c r="B2016" t="s">
        <v>120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20</v>
      </c>
      <c r="I2016" t="s">
        <v>15</v>
      </c>
      <c r="J2016">
        <v>5</v>
      </c>
      <c r="K2016" t="s">
        <v>16</v>
      </c>
      <c r="L2016" t="s">
        <v>30</v>
      </c>
      <c r="M2016">
        <f>orders[[#This Row],[Ship Date]]-orders[[#This Row],[Order Date]]</f>
        <v>1</v>
      </c>
      <c r="N2016">
        <f>WEEKNUM(orders[[#This Row],[Order Date]],2)</f>
        <v>11</v>
      </c>
      <c r="O2016" t="str" cm="1">
        <f t="array" ref="O201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17" spans="1:15" x14ac:dyDescent="0.3">
      <c r="A2017" t="s">
        <v>2114</v>
      </c>
      <c r="B2017" t="s">
        <v>36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14</v>
      </c>
      <c r="I2017" t="s">
        <v>32</v>
      </c>
      <c r="J2017">
        <v>4</v>
      </c>
      <c r="K2017" t="s">
        <v>16</v>
      </c>
      <c r="L2017" t="s">
        <v>30</v>
      </c>
      <c r="M2017">
        <f>orders[[#This Row],[Ship Date]]-orders[[#This Row],[Order Date]]</f>
        <v>1</v>
      </c>
      <c r="N2017">
        <f>WEEKNUM(orders[[#This Row],[Order Date]],2)</f>
        <v>11</v>
      </c>
      <c r="O2017" t="str" cm="1">
        <f t="array" ref="O201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018" spans="1:15" x14ac:dyDescent="0.3">
      <c r="A2018" t="s">
        <v>2115</v>
      </c>
      <c r="B2018" t="s">
        <v>29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24</v>
      </c>
      <c r="I2018" t="s">
        <v>67</v>
      </c>
      <c r="J2018">
        <v>5</v>
      </c>
      <c r="K2018" t="s">
        <v>16</v>
      </c>
      <c r="L2018" t="s">
        <v>30</v>
      </c>
      <c r="M2018">
        <f>orders[[#This Row],[Ship Date]]-orders[[#This Row],[Order Date]]</f>
        <v>2</v>
      </c>
      <c r="N2018">
        <f>WEEKNUM(orders[[#This Row],[Order Date]],2)</f>
        <v>11</v>
      </c>
      <c r="O2018" t="str" cm="1">
        <f t="array" ref="O201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19" spans="1:15" x14ac:dyDescent="0.3">
      <c r="A2019" t="s">
        <v>2116</v>
      </c>
      <c r="B2019" t="s">
        <v>23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20</v>
      </c>
      <c r="I2019" t="s">
        <v>37</v>
      </c>
      <c r="J2019">
        <v>5</v>
      </c>
      <c r="K2019" t="s">
        <v>16</v>
      </c>
      <c r="L2019" t="s">
        <v>30</v>
      </c>
      <c r="M2019">
        <f>orders[[#This Row],[Ship Date]]-orders[[#This Row],[Order Date]]</f>
        <v>3</v>
      </c>
      <c r="N2019">
        <f>WEEKNUM(orders[[#This Row],[Order Date]],2)</f>
        <v>11</v>
      </c>
      <c r="O2019" t="str" cm="1">
        <f t="array" ref="O20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20" spans="1:15" x14ac:dyDescent="0.3">
      <c r="A2020" t="s">
        <v>2117</v>
      </c>
      <c r="B2020" t="s">
        <v>13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24</v>
      </c>
      <c r="I2020" t="s">
        <v>67</v>
      </c>
      <c r="J2020">
        <v>5</v>
      </c>
      <c r="K2020" t="s">
        <v>16</v>
      </c>
      <c r="L2020" t="s">
        <v>30</v>
      </c>
      <c r="M2020">
        <f>orders[[#This Row],[Ship Date]]-orders[[#This Row],[Order Date]]</f>
        <v>3</v>
      </c>
      <c r="N2020">
        <f>WEEKNUM(orders[[#This Row],[Order Date]],2)</f>
        <v>11</v>
      </c>
      <c r="O2020" t="str" cm="1">
        <f t="array" ref="O202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21" spans="1:15" x14ac:dyDescent="0.3">
      <c r="A2021" t="s">
        <v>2118</v>
      </c>
      <c r="B2021" t="s">
        <v>13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14</v>
      </c>
      <c r="I2021" t="s">
        <v>15</v>
      </c>
      <c r="J2021">
        <v>3</v>
      </c>
      <c r="K2021" t="s">
        <v>16</v>
      </c>
      <c r="L2021" t="s">
        <v>30</v>
      </c>
      <c r="M2021">
        <f>orders[[#This Row],[Ship Date]]-orders[[#This Row],[Order Date]]</f>
        <v>1</v>
      </c>
      <c r="N2021">
        <f>WEEKNUM(orders[[#This Row],[Order Date]],2)</f>
        <v>11</v>
      </c>
      <c r="O2021" t="str" cm="1">
        <f t="array" ref="O2021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022" spans="1:15" x14ac:dyDescent="0.3">
      <c r="A2022" t="s">
        <v>2119</v>
      </c>
      <c r="B2022" t="s">
        <v>41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24</v>
      </c>
      <c r="I2022" t="s">
        <v>32</v>
      </c>
      <c r="J2022">
        <v>3</v>
      </c>
      <c r="K2022" t="s">
        <v>16</v>
      </c>
      <c r="L2022" t="s">
        <v>155</v>
      </c>
      <c r="M2022">
        <f>orders[[#This Row],[Ship Date]]-orders[[#This Row],[Order Date]]</f>
        <v>2</v>
      </c>
      <c r="N2022">
        <f>WEEKNUM(orders[[#This Row],[Order Date]],2)</f>
        <v>11</v>
      </c>
      <c r="O2022" t="str" cm="1">
        <f t="array" ref="O20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23" spans="1:15" x14ac:dyDescent="0.3">
      <c r="A2023" t="s">
        <v>2120</v>
      </c>
      <c r="B2023" t="s">
        <v>23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20</v>
      </c>
      <c r="I2023" t="s">
        <v>15</v>
      </c>
      <c r="J2023">
        <v>5</v>
      </c>
      <c r="K2023" t="s">
        <v>16</v>
      </c>
      <c r="L2023" t="s">
        <v>59</v>
      </c>
      <c r="M2023">
        <f>orders[[#This Row],[Ship Date]]-orders[[#This Row],[Order Date]]</f>
        <v>1</v>
      </c>
      <c r="N2023">
        <f>WEEKNUM(orders[[#This Row],[Order Date]],2)</f>
        <v>11</v>
      </c>
      <c r="O2023" t="str" cm="1">
        <f t="array" ref="O20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24" spans="1:15" x14ac:dyDescent="0.3">
      <c r="A2024" t="s">
        <v>2121</v>
      </c>
      <c r="B2024" t="s">
        <v>36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86</v>
      </c>
      <c r="I2024" t="s">
        <v>32</v>
      </c>
      <c r="J2024">
        <v>3</v>
      </c>
      <c r="K2024" t="s">
        <v>16</v>
      </c>
      <c r="L2024" t="s">
        <v>59</v>
      </c>
      <c r="M2024">
        <f>orders[[#This Row],[Ship Date]]-orders[[#This Row],[Order Date]]</f>
        <v>1</v>
      </c>
      <c r="N2024">
        <f>WEEKNUM(orders[[#This Row],[Order Date]],2)</f>
        <v>11</v>
      </c>
      <c r="O2024" t="str" cm="1">
        <f t="array" ref="O202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025" spans="1:15" x14ac:dyDescent="0.3">
      <c r="A2025" t="s">
        <v>2122</v>
      </c>
      <c r="B2025" t="s">
        <v>19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24</v>
      </c>
      <c r="I2025" t="s">
        <v>67</v>
      </c>
      <c r="J2025">
        <v>4</v>
      </c>
      <c r="K2025" t="s">
        <v>16</v>
      </c>
      <c r="L2025" t="s">
        <v>59</v>
      </c>
      <c r="M2025">
        <f>orders[[#This Row],[Ship Date]]-orders[[#This Row],[Order Date]]</f>
        <v>1</v>
      </c>
      <c r="N2025">
        <f>WEEKNUM(orders[[#This Row],[Order Date]],2)</f>
        <v>11</v>
      </c>
      <c r="O2025" t="str" cm="1">
        <f t="array" ref="O20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26" spans="1:15" x14ac:dyDescent="0.3">
      <c r="A2026" t="s">
        <v>2123</v>
      </c>
      <c r="B2026" t="s">
        <v>34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20</v>
      </c>
      <c r="I2026" t="s">
        <v>67</v>
      </c>
      <c r="J2026">
        <v>4</v>
      </c>
      <c r="K2026" t="s">
        <v>16</v>
      </c>
      <c r="L2026" t="s">
        <v>59</v>
      </c>
      <c r="M2026">
        <f>orders[[#This Row],[Ship Date]]-orders[[#This Row],[Order Date]]</f>
        <v>1</v>
      </c>
      <c r="N2026">
        <f>WEEKNUM(orders[[#This Row],[Order Date]],2)</f>
        <v>11</v>
      </c>
      <c r="O2026" t="str" cm="1">
        <f t="array" ref="O202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27" spans="1:15" x14ac:dyDescent="0.3">
      <c r="A2027" t="s">
        <v>2124</v>
      </c>
      <c r="B2027" t="s">
        <v>51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20</v>
      </c>
      <c r="I2027" t="s">
        <v>15</v>
      </c>
      <c r="J2027">
        <v>5</v>
      </c>
      <c r="K2027" t="s">
        <v>16</v>
      </c>
      <c r="L2027" t="s">
        <v>100</v>
      </c>
      <c r="M2027">
        <f>orders[[#This Row],[Ship Date]]-orders[[#This Row],[Order Date]]</f>
        <v>1</v>
      </c>
      <c r="N2027">
        <f>WEEKNUM(orders[[#This Row],[Order Date]],2)</f>
        <v>11</v>
      </c>
      <c r="O2027" t="str" cm="1">
        <f t="array" ref="O202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28" spans="1:15" x14ac:dyDescent="0.3">
      <c r="A2028" t="s">
        <v>2125</v>
      </c>
      <c r="B2028" t="s">
        <v>13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24</v>
      </c>
      <c r="I2028" t="s">
        <v>32</v>
      </c>
      <c r="J2028">
        <v>4</v>
      </c>
      <c r="K2028" t="s">
        <v>16</v>
      </c>
      <c r="L2028" t="s">
        <v>69</v>
      </c>
      <c r="M2028">
        <f>orders[[#This Row],[Ship Date]]-orders[[#This Row],[Order Date]]</f>
        <v>2</v>
      </c>
      <c r="N2028">
        <f>WEEKNUM(orders[[#This Row],[Order Date]],2)</f>
        <v>11</v>
      </c>
      <c r="O2028" t="str" cm="1">
        <f t="array" ref="O20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29" spans="1:15" x14ac:dyDescent="0.3">
      <c r="A2029" t="s">
        <v>2126</v>
      </c>
      <c r="B2029" t="s">
        <v>43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24</v>
      </c>
      <c r="I2029" t="s">
        <v>15</v>
      </c>
      <c r="J2029">
        <v>5</v>
      </c>
      <c r="K2029" t="s">
        <v>16</v>
      </c>
      <c r="L2029" t="s">
        <v>74</v>
      </c>
      <c r="M2029">
        <f>orders[[#This Row],[Ship Date]]-orders[[#This Row],[Order Date]]</f>
        <v>3</v>
      </c>
      <c r="N2029">
        <f>WEEKNUM(orders[[#This Row],[Order Date]],2)</f>
        <v>11</v>
      </c>
      <c r="O2029" t="str" cm="1">
        <f t="array" ref="O20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30" spans="1:15" x14ac:dyDescent="0.3">
      <c r="A2030" t="s">
        <v>2127</v>
      </c>
      <c r="B2030" t="s">
        <v>36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20</v>
      </c>
      <c r="I2030" t="s">
        <v>15</v>
      </c>
      <c r="J2030">
        <v>4</v>
      </c>
      <c r="K2030" t="s">
        <v>16</v>
      </c>
      <c r="L2030" t="s">
        <v>74</v>
      </c>
      <c r="M2030">
        <f>orders[[#This Row],[Ship Date]]-orders[[#This Row],[Order Date]]</f>
        <v>6</v>
      </c>
      <c r="N2030">
        <f>WEEKNUM(orders[[#This Row],[Order Date]],2)</f>
        <v>11</v>
      </c>
      <c r="O2030" t="str" cm="1">
        <f t="array" ref="O203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31" spans="1:15" x14ac:dyDescent="0.3">
      <c r="A2031" t="s">
        <v>2128</v>
      </c>
      <c r="B2031" t="s">
        <v>36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24</v>
      </c>
      <c r="I2031" t="s">
        <v>37</v>
      </c>
      <c r="J2031">
        <v>3</v>
      </c>
      <c r="K2031" t="s">
        <v>16</v>
      </c>
      <c r="L2031" t="s">
        <v>74</v>
      </c>
      <c r="M2031">
        <f>orders[[#This Row],[Ship Date]]-orders[[#This Row],[Order Date]]</f>
        <v>4</v>
      </c>
      <c r="N2031">
        <f>WEEKNUM(orders[[#This Row],[Order Date]],2)</f>
        <v>11</v>
      </c>
      <c r="O2031" t="str" cm="1">
        <f t="array" ref="O20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32" spans="1:15" x14ac:dyDescent="0.3">
      <c r="A2032" t="s">
        <v>2129</v>
      </c>
      <c r="B2032" t="s">
        <v>19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24</v>
      </c>
      <c r="I2032" t="s">
        <v>15</v>
      </c>
      <c r="J2032">
        <v>5</v>
      </c>
      <c r="K2032" t="s">
        <v>16</v>
      </c>
      <c r="L2032" t="s">
        <v>107</v>
      </c>
      <c r="M2032">
        <f>orders[[#This Row],[Ship Date]]-orders[[#This Row],[Order Date]]</f>
        <v>4</v>
      </c>
      <c r="N2032">
        <f>WEEKNUM(orders[[#This Row],[Order Date]],2)</f>
        <v>11</v>
      </c>
      <c r="O2032" t="str" cm="1">
        <f t="array" ref="O20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33" spans="1:15" x14ac:dyDescent="0.3">
      <c r="A2033" t="s">
        <v>2130</v>
      </c>
      <c r="B2033" t="s">
        <v>41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20</v>
      </c>
      <c r="I2033" t="s">
        <v>15</v>
      </c>
      <c r="J2033">
        <v>3</v>
      </c>
      <c r="K2033" t="s">
        <v>16</v>
      </c>
      <c r="L2033" t="s">
        <v>107</v>
      </c>
      <c r="M2033">
        <f>orders[[#This Row],[Ship Date]]-orders[[#This Row],[Order Date]]</f>
        <v>0</v>
      </c>
      <c r="N2033">
        <f>WEEKNUM(orders[[#This Row],[Order Date]],2)</f>
        <v>11</v>
      </c>
      <c r="O2033" t="str" cm="1">
        <f t="array" ref="O20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34" spans="1:15" x14ac:dyDescent="0.3">
      <c r="A2034" t="s">
        <v>2131</v>
      </c>
      <c r="B2034" t="s">
        <v>23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20</v>
      </c>
      <c r="I2034" t="s">
        <v>67</v>
      </c>
      <c r="J2034">
        <v>4</v>
      </c>
      <c r="K2034" t="s">
        <v>16</v>
      </c>
      <c r="L2034" t="s">
        <v>107</v>
      </c>
      <c r="M2034">
        <f>orders[[#This Row],[Ship Date]]-orders[[#This Row],[Order Date]]</f>
        <v>1</v>
      </c>
      <c r="N2034">
        <f>WEEKNUM(orders[[#This Row],[Order Date]],2)</f>
        <v>11</v>
      </c>
      <c r="O2034" t="str" cm="1">
        <f t="array" ref="O20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35" spans="1:15" x14ac:dyDescent="0.3">
      <c r="A2035" t="s">
        <v>2132</v>
      </c>
      <c r="B2035" t="s">
        <v>41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24</v>
      </c>
      <c r="I2035" t="s">
        <v>15</v>
      </c>
      <c r="J2035">
        <v>4</v>
      </c>
      <c r="K2035" t="s">
        <v>16</v>
      </c>
      <c r="L2035" t="s">
        <v>112</v>
      </c>
      <c r="M2035">
        <f>orders[[#This Row],[Ship Date]]-orders[[#This Row],[Order Date]]</f>
        <v>3</v>
      </c>
      <c r="N2035">
        <f>WEEKNUM(orders[[#This Row],[Order Date]],2)</f>
        <v>11</v>
      </c>
      <c r="O2035" t="str" cm="1">
        <f t="array" ref="O20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36" spans="1:15" x14ac:dyDescent="0.3">
      <c r="A2036" t="s">
        <v>2133</v>
      </c>
      <c r="B2036" t="s">
        <v>41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24</v>
      </c>
      <c r="I2036" t="s">
        <v>32</v>
      </c>
      <c r="J2036">
        <v>4</v>
      </c>
      <c r="K2036" t="s">
        <v>16</v>
      </c>
      <c r="L2036" t="s">
        <v>112</v>
      </c>
      <c r="M2036">
        <f>orders[[#This Row],[Ship Date]]-orders[[#This Row],[Order Date]]</f>
        <v>3</v>
      </c>
      <c r="N2036">
        <f>WEEKNUM(orders[[#This Row],[Order Date]],2)</f>
        <v>11</v>
      </c>
      <c r="O2036" t="str" cm="1">
        <f t="array" ref="O20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37" spans="1:15" x14ac:dyDescent="0.3">
      <c r="A2037" t="s">
        <v>2134</v>
      </c>
      <c r="B2037" t="s">
        <v>29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24</v>
      </c>
      <c r="I2037" t="s">
        <v>67</v>
      </c>
      <c r="J2037">
        <v>4</v>
      </c>
      <c r="K2037" t="s">
        <v>16</v>
      </c>
      <c r="L2037" t="s">
        <v>112</v>
      </c>
      <c r="M2037">
        <f>orders[[#This Row],[Ship Date]]-orders[[#This Row],[Order Date]]</f>
        <v>1</v>
      </c>
      <c r="N2037">
        <f>WEEKNUM(orders[[#This Row],[Order Date]],2)</f>
        <v>11</v>
      </c>
      <c r="O2037" t="str" cm="1">
        <f t="array" ref="O203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38" spans="1:15" x14ac:dyDescent="0.3">
      <c r="A2038" t="s">
        <v>2135</v>
      </c>
      <c r="B2038" t="s">
        <v>23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20</v>
      </c>
      <c r="I2038" t="s">
        <v>32</v>
      </c>
      <c r="J2038">
        <v>5</v>
      </c>
      <c r="K2038" t="s">
        <v>16</v>
      </c>
      <c r="L2038" t="s">
        <v>112</v>
      </c>
      <c r="M2038">
        <f>orders[[#This Row],[Ship Date]]-orders[[#This Row],[Order Date]]</f>
        <v>0</v>
      </c>
      <c r="N2038">
        <f>WEEKNUM(orders[[#This Row],[Order Date]],2)</f>
        <v>11</v>
      </c>
      <c r="O2038" t="str" cm="1">
        <f t="array" ref="O20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39" spans="1:15" x14ac:dyDescent="0.3">
      <c r="A2039" t="s">
        <v>2136</v>
      </c>
      <c r="B2039" t="s">
        <v>19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20</v>
      </c>
      <c r="I2039" t="s">
        <v>32</v>
      </c>
      <c r="J2039">
        <v>3</v>
      </c>
      <c r="K2039" t="s">
        <v>16</v>
      </c>
      <c r="L2039" t="s">
        <v>112</v>
      </c>
      <c r="M2039">
        <f>orders[[#This Row],[Ship Date]]-orders[[#This Row],[Order Date]]</f>
        <v>3</v>
      </c>
      <c r="N2039">
        <f>WEEKNUM(orders[[#This Row],[Order Date]],2)</f>
        <v>11</v>
      </c>
      <c r="O2039" t="str" cm="1">
        <f t="array" ref="O203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40" spans="1:15" x14ac:dyDescent="0.3">
      <c r="A2040" t="s">
        <v>2137</v>
      </c>
      <c r="B2040" t="s">
        <v>39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20</v>
      </c>
      <c r="I2040" t="s">
        <v>15</v>
      </c>
      <c r="J2040">
        <v>4</v>
      </c>
      <c r="K2040" t="s">
        <v>16</v>
      </c>
      <c r="L2040" t="s">
        <v>21</v>
      </c>
      <c r="M2040">
        <f>orders[[#This Row],[Ship Date]]-orders[[#This Row],[Order Date]]</f>
        <v>7</v>
      </c>
      <c r="N2040">
        <f>WEEKNUM(orders[[#This Row],[Order Date]],2)</f>
        <v>11</v>
      </c>
      <c r="O2040" t="str" cm="1">
        <f t="array" ref="O20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41" spans="1:15" x14ac:dyDescent="0.3">
      <c r="A2041" t="s">
        <v>2138</v>
      </c>
      <c r="B2041" t="s">
        <v>120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20</v>
      </c>
      <c r="I2041" t="s">
        <v>48</v>
      </c>
      <c r="J2041">
        <v>4</v>
      </c>
      <c r="K2041" t="s">
        <v>16</v>
      </c>
      <c r="L2041" t="s">
        <v>434</v>
      </c>
      <c r="M2041">
        <f>orders[[#This Row],[Ship Date]]-orders[[#This Row],[Order Date]]</f>
        <v>3</v>
      </c>
      <c r="N2041">
        <f>WEEKNUM(orders[[#This Row],[Order Date]],2)</f>
        <v>11</v>
      </c>
      <c r="O2041" t="str" cm="1">
        <f t="array" ref="O20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42" spans="1:15" x14ac:dyDescent="0.3">
      <c r="A2042" t="s">
        <v>2139</v>
      </c>
      <c r="B2042" t="s">
        <v>41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20</v>
      </c>
      <c r="I2042" t="s">
        <v>32</v>
      </c>
      <c r="J2042">
        <v>3</v>
      </c>
      <c r="K2042" t="s">
        <v>16</v>
      </c>
      <c r="L2042" t="s">
        <v>25</v>
      </c>
      <c r="M2042">
        <f>orders[[#This Row],[Ship Date]]-orders[[#This Row],[Order Date]]</f>
        <v>1</v>
      </c>
      <c r="N2042">
        <f>WEEKNUM(orders[[#This Row],[Order Date]],2)</f>
        <v>11</v>
      </c>
      <c r="O2042" t="str" cm="1">
        <f t="array" ref="O20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43" spans="1:15" x14ac:dyDescent="0.3">
      <c r="A2043" t="s">
        <v>2140</v>
      </c>
      <c r="B2043" t="s">
        <v>125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20</v>
      </c>
      <c r="I2043" t="s">
        <v>15</v>
      </c>
      <c r="J2043">
        <v>5</v>
      </c>
      <c r="K2043" t="s">
        <v>16</v>
      </c>
      <c r="L2043" t="s">
        <v>25</v>
      </c>
      <c r="M2043">
        <f>orders[[#This Row],[Ship Date]]-orders[[#This Row],[Order Date]]</f>
        <v>2</v>
      </c>
      <c r="N2043">
        <f>WEEKNUM(orders[[#This Row],[Order Date]],2)</f>
        <v>11</v>
      </c>
      <c r="O2043" t="str" cm="1">
        <f t="array" ref="O20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44" spans="1:15" x14ac:dyDescent="0.3">
      <c r="A2044" t="s">
        <v>2141</v>
      </c>
      <c r="B2044" t="s">
        <v>36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24</v>
      </c>
      <c r="I2044" t="s">
        <v>15</v>
      </c>
      <c r="J2044">
        <v>3</v>
      </c>
      <c r="K2044" t="s">
        <v>16</v>
      </c>
      <c r="L2044" t="s">
        <v>144</v>
      </c>
      <c r="M2044">
        <f>orders[[#This Row],[Ship Date]]-orders[[#This Row],[Order Date]]</f>
        <v>1</v>
      </c>
      <c r="N2044">
        <f>WEEKNUM(orders[[#This Row],[Order Date]],2)</f>
        <v>11</v>
      </c>
      <c r="O2044" t="str" cm="1">
        <f t="array" ref="O204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45" spans="1:15" x14ac:dyDescent="0.3">
      <c r="A2045" t="s">
        <v>2142</v>
      </c>
      <c r="B2045" t="s">
        <v>23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24</v>
      </c>
      <c r="I2045" t="s">
        <v>15</v>
      </c>
      <c r="J2045">
        <v>3</v>
      </c>
      <c r="K2045" t="s">
        <v>16</v>
      </c>
      <c r="L2045" t="s">
        <v>30</v>
      </c>
      <c r="M2045">
        <f>orders[[#This Row],[Ship Date]]-orders[[#This Row],[Order Date]]</f>
        <v>1</v>
      </c>
      <c r="N2045">
        <f>WEEKNUM(orders[[#This Row],[Order Date]],2)</f>
        <v>11</v>
      </c>
      <c r="O2045" t="str" cm="1">
        <f t="array" ref="O20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46" spans="1:15" x14ac:dyDescent="0.3">
      <c r="A2046" t="s">
        <v>2143</v>
      </c>
      <c r="B2046" t="s">
        <v>19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20</v>
      </c>
      <c r="I2046" t="s">
        <v>32</v>
      </c>
      <c r="J2046">
        <v>4</v>
      </c>
      <c r="K2046" t="s">
        <v>16</v>
      </c>
      <c r="L2046" t="s">
        <v>30</v>
      </c>
      <c r="M2046">
        <f>orders[[#This Row],[Ship Date]]-orders[[#This Row],[Order Date]]</f>
        <v>1</v>
      </c>
      <c r="N2046">
        <f>WEEKNUM(orders[[#This Row],[Order Date]],2)</f>
        <v>11</v>
      </c>
      <c r="O2046" t="str" cm="1">
        <f t="array" ref="O20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47" spans="1:15" x14ac:dyDescent="0.3">
      <c r="A2047" t="s">
        <v>2144</v>
      </c>
      <c r="B2047" t="s">
        <v>51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24</v>
      </c>
      <c r="I2047" t="s">
        <v>32</v>
      </c>
      <c r="J2047">
        <v>5</v>
      </c>
      <c r="K2047" t="s">
        <v>16</v>
      </c>
      <c r="L2047" t="s">
        <v>30</v>
      </c>
      <c r="M2047">
        <f>orders[[#This Row],[Ship Date]]-orders[[#This Row],[Order Date]]</f>
        <v>1</v>
      </c>
      <c r="N2047">
        <f>WEEKNUM(orders[[#This Row],[Order Date]],2)</f>
        <v>11</v>
      </c>
      <c r="O2047" t="str" cm="1">
        <f t="array" ref="O20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48" spans="1:15" x14ac:dyDescent="0.3">
      <c r="A2048" t="s">
        <v>2145</v>
      </c>
      <c r="B2048" t="s">
        <v>120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24</v>
      </c>
      <c r="I2048" t="s">
        <v>37</v>
      </c>
      <c r="J2048">
        <v>3</v>
      </c>
      <c r="K2048" t="s">
        <v>16</v>
      </c>
      <c r="L2048" t="s">
        <v>30</v>
      </c>
      <c r="M2048">
        <f>orders[[#This Row],[Ship Date]]-orders[[#This Row],[Order Date]]</f>
        <v>4</v>
      </c>
      <c r="N2048">
        <f>WEEKNUM(orders[[#This Row],[Order Date]],2)</f>
        <v>11</v>
      </c>
      <c r="O2048" t="str" cm="1">
        <f t="array" ref="O20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49" spans="1:15" x14ac:dyDescent="0.3">
      <c r="A2049" t="s">
        <v>2146</v>
      </c>
      <c r="B2049" t="s">
        <v>13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20</v>
      </c>
      <c r="I2049" t="s">
        <v>15</v>
      </c>
      <c r="J2049">
        <v>4</v>
      </c>
      <c r="K2049" t="s">
        <v>16</v>
      </c>
      <c r="L2049" t="s">
        <v>30</v>
      </c>
      <c r="M2049">
        <f>orders[[#This Row],[Ship Date]]-orders[[#This Row],[Order Date]]</f>
        <v>1</v>
      </c>
      <c r="N2049">
        <f>WEEKNUM(orders[[#This Row],[Order Date]],2)</f>
        <v>12</v>
      </c>
      <c r="O2049" t="str" cm="1">
        <f t="array" ref="O20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50" spans="1:15" x14ac:dyDescent="0.3">
      <c r="A2050" t="s">
        <v>2147</v>
      </c>
      <c r="B2050" t="s">
        <v>29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24</v>
      </c>
      <c r="I2050" t="s">
        <v>67</v>
      </c>
      <c r="J2050">
        <v>3</v>
      </c>
      <c r="K2050" t="s">
        <v>16</v>
      </c>
      <c r="L2050" t="s">
        <v>30</v>
      </c>
      <c r="M2050">
        <f>orders[[#This Row],[Ship Date]]-orders[[#This Row],[Order Date]]</f>
        <v>2</v>
      </c>
      <c r="N2050">
        <f>WEEKNUM(orders[[#This Row],[Order Date]],2)</f>
        <v>12</v>
      </c>
      <c r="O2050" t="str" cm="1">
        <f t="array" ref="O20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51" spans="1:15" x14ac:dyDescent="0.3">
      <c r="A2051" t="s">
        <v>2148</v>
      </c>
      <c r="B2051" t="s">
        <v>41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24</v>
      </c>
      <c r="I2051" t="s">
        <v>32</v>
      </c>
      <c r="J2051">
        <v>5</v>
      </c>
      <c r="K2051" t="s">
        <v>16</v>
      </c>
      <c r="L2051" t="s">
        <v>30</v>
      </c>
      <c r="M2051">
        <f>orders[[#This Row],[Ship Date]]-orders[[#This Row],[Order Date]]</f>
        <v>5</v>
      </c>
      <c r="N2051">
        <f>WEEKNUM(orders[[#This Row],[Order Date]],2)</f>
        <v>12</v>
      </c>
      <c r="O2051" t="str" cm="1">
        <f t="array" ref="O20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52" spans="1:15" x14ac:dyDescent="0.3">
      <c r="A2052" t="s">
        <v>2149</v>
      </c>
      <c r="B2052" t="s">
        <v>120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24</v>
      </c>
      <c r="I2052" t="s">
        <v>32</v>
      </c>
      <c r="J2052">
        <v>4</v>
      </c>
      <c r="K2052" t="s">
        <v>16</v>
      </c>
      <c r="L2052" t="s">
        <v>30</v>
      </c>
      <c r="M2052">
        <f>orders[[#This Row],[Ship Date]]-orders[[#This Row],[Order Date]]</f>
        <v>2</v>
      </c>
      <c r="N2052">
        <f>WEEKNUM(orders[[#This Row],[Order Date]],2)</f>
        <v>12</v>
      </c>
      <c r="O2052" t="str" cm="1">
        <f t="array" ref="O20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53" spans="1:15" x14ac:dyDescent="0.3">
      <c r="A2053" t="s">
        <v>2150</v>
      </c>
      <c r="B2053" t="s">
        <v>120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20</v>
      </c>
      <c r="I2053" t="s">
        <v>15</v>
      </c>
      <c r="J2053">
        <v>4</v>
      </c>
      <c r="K2053" t="s">
        <v>16</v>
      </c>
      <c r="L2053" t="s">
        <v>46</v>
      </c>
      <c r="M2053">
        <f>orders[[#This Row],[Ship Date]]-orders[[#This Row],[Order Date]]</f>
        <v>1</v>
      </c>
      <c r="N2053">
        <f>WEEKNUM(orders[[#This Row],[Order Date]],2)</f>
        <v>12</v>
      </c>
      <c r="O2053" t="str" cm="1">
        <f t="array" ref="O205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54" spans="1:15" x14ac:dyDescent="0.3">
      <c r="A2054" t="s">
        <v>2151</v>
      </c>
      <c r="B2054" t="s">
        <v>13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20</v>
      </c>
      <c r="I2054" t="s">
        <v>37</v>
      </c>
      <c r="J2054">
        <v>4</v>
      </c>
      <c r="K2054" t="s">
        <v>16</v>
      </c>
      <c r="L2054" t="s">
        <v>185</v>
      </c>
      <c r="M2054">
        <f>orders[[#This Row],[Ship Date]]-orders[[#This Row],[Order Date]]</f>
        <v>2</v>
      </c>
      <c r="N2054">
        <f>WEEKNUM(orders[[#This Row],[Order Date]],2)</f>
        <v>12</v>
      </c>
      <c r="O2054" t="str" cm="1">
        <f t="array" ref="O20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55" spans="1:15" x14ac:dyDescent="0.3">
      <c r="A2055" t="s">
        <v>2152</v>
      </c>
      <c r="B2055" t="s">
        <v>36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24</v>
      </c>
      <c r="I2055" t="s">
        <v>15</v>
      </c>
      <c r="J2055">
        <v>4</v>
      </c>
      <c r="K2055" t="s">
        <v>16</v>
      </c>
      <c r="L2055" t="s">
        <v>56</v>
      </c>
      <c r="M2055">
        <f>orders[[#This Row],[Ship Date]]-orders[[#This Row],[Order Date]]</f>
        <v>3</v>
      </c>
      <c r="N2055">
        <f>WEEKNUM(orders[[#This Row],[Order Date]],2)</f>
        <v>12</v>
      </c>
      <c r="O2055" t="str" cm="1">
        <f t="array" ref="O20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56" spans="1:15" x14ac:dyDescent="0.3">
      <c r="A2056" t="s">
        <v>2153</v>
      </c>
      <c r="B2056" t="s">
        <v>13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24</v>
      </c>
      <c r="I2056" t="s">
        <v>15</v>
      </c>
      <c r="J2056">
        <v>4</v>
      </c>
      <c r="K2056" t="s">
        <v>16</v>
      </c>
      <c r="L2056" t="s">
        <v>59</v>
      </c>
      <c r="M2056">
        <f>orders[[#This Row],[Ship Date]]-orders[[#This Row],[Order Date]]</f>
        <v>5</v>
      </c>
      <c r="N2056">
        <f>WEEKNUM(orders[[#This Row],[Order Date]],2)</f>
        <v>12</v>
      </c>
      <c r="O2056" t="str" cm="1">
        <f t="array" ref="O20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57" spans="1:15" x14ac:dyDescent="0.3">
      <c r="A2057" t="s">
        <v>2154</v>
      </c>
      <c r="B2057" t="s">
        <v>120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20</v>
      </c>
      <c r="I2057" t="s">
        <v>15</v>
      </c>
      <c r="J2057">
        <v>5</v>
      </c>
      <c r="K2057" t="s">
        <v>16</v>
      </c>
      <c r="L2057" t="s">
        <v>59</v>
      </c>
      <c r="M2057">
        <f>orders[[#This Row],[Ship Date]]-orders[[#This Row],[Order Date]]</f>
        <v>3</v>
      </c>
      <c r="N2057">
        <f>WEEKNUM(orders[[#This Row],[Order Date]],2)</f>
        <v>12</v>
      </c>
      <c r="O2057" t="str" cm="1">
        <f t="array" ref="O20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58" spans="1:15" x14ac:dyDescent="0.3">
      <c r="A2058" t="s">
        <v>2155</v>
      </c>
      <c r="B2058" t="s">
        <v>23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24</v>
      </c>
      <c r="I2058" t="s">
        <v>15</v>
      </c>
      <c r="J2058">
        <v>5</v>
      </c>
      <c r="K2058" t="s">
        <v>16</v>
      </c>
      <c r="L2058" t="s">
        <v>59</v>
      </c>
      <c r="M2058">
        <f>orders[[#This Row],[Ship Date]]-orders[[#This Row],[Order Date]]</f>
        <v>1</v>
      </c>
      <c r="N2058">
        <f>WEEKNUM(orders[[#This Row],[Order Date]],2)</f>
        <v>12</v>
      </c>
      <c r="O2058" t="str" cm="1">
        <f t="array" ref="O20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59" spans="1:15" x14ac:dyDescent="0.3">
      <c r="A2059" t="s">
        <v>2156</v>
      </c>
      <c r="B2059" t="s">
        <v>73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24</v>
      </c>
      <c r="I2059" t="s">
        <v>15</v>
      </c>
      <c r="J2059">
        <v>4</v>
      </c>
      <c r="K2059" t="s">
        <v>16</v>
      </c>
      <c r="L2059" t="s">
        <v>59</v>
      </c>
      <c r="M2059">
        <f>orders[[#This Row],[Ship Date]]-orders[[#This Row],[Order Date]]</f>
        <v>1</v>
      </c>
      <c r="N2059">
        <f>WEEKNUM(orders[[#This Row],[Order Date]],2)</f>
        <v>12</v>
      </c>
      <c r="O2059" t="str" cm="1">
        <f t="array" ref="O20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60" spans="1:15" x14ac:dyDescent="0.3">
      <c r="A2060" t="s">
        <v>2157</v>
      </c>
      <c r="B2060" t="s">
        <v>41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20</v>
      </c>
      <c r="I2060" t="s">
        <v>32</v>
      </c>
      <c r="J2060">
        <v>5</v>
      </c>
      <c r="K2060" t="s">
        <v>16</v>
      </c>
      <c r="L2060" t="s">
        <v>59</v>
      </c>
      <c r="M2060">
        <f>orders[[#This Row],[Ship Date]]-orders[[#This Row],[Order Date]]</f>
        <v>5</v>
      </c>
      <c r="N2060">
        <f>WEEKNUM(orders[[#This Row],[Order Date]],2)</f>
        <v>12</v>
      </c>
      <c r="O2060" t="str" cm="1">
        <f t="array" ref="O20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61" spans="1:15" x14ac:dyDescent="0.3">
      <c r="A2061" t="s">
        <v>2158</v>
      </c>
      <c r="B2061" t="s">
        <v>34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20</v>
      </c>
      <c r="I2061" t="s">
        <v>15</v>
      </c>
      <c r="J2061">
        <v>5</v>
      </c>
      <c r="K2061" t="s">
        <v>16</v>
      </c>
      <c r="L2061" t="s">
        <v>100</v>
      </c>
      <c r="M2061">
        <f>orders[[#This Row],[Ship Date]]-orders[[#This Row],[Order Date]]</f>
        <v>1</v>
      </c>
      <c r="N2061">
        <f>WEEKNUM(orders[[#This Row],[Order Date]],2)</f>
        <v>12</v>
      </c>
      <c r="O2061" t="str" cm="1">
        <f t="array" ref="O20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62" spans="1:15" x14ac:dyDescent="0.3">
      <c r="A2062" t="s">
        <v>2159</v>
      </c>
      <c r="B2062" t="s">
        <v>73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24</v>
      </c>
      <c r="I2062" t="s">
        <v>32</v>
      </c>
      <c r="J2062">
        <v>4</v>
      </c>
      <c r="K2062" t="s">
        <v>16</v>
      </c>
      <c r="L2062" t="s">
        <v>74</v>
      </c>
      <c r="M2062">
        <f>orders[[#This Row],[Ship Date]]-orders[[#This Row],[Order Date]]</f>
        <v>2</v>
      </c>
      <c r="N2062">
        <f>WEEKNUM(orders[[#This Row],[Order Date]],2)</f>
        <v>12</v>
      </c>
      <c r="O2062" t="str" cm="1">
        <f t="array" ref="O20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63" spans="1:15" x14ac:dyDescent="0.3">
      <c r="A2063" t="s">
        <v>2160</v>
      </c>
      <c r="B2063" t="s">
        <v>43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24</v>
      </c>
      <c r="I2063" t="s">
        <v>15</v>
      </c>
      <c r="J2063">
        <v>3</v>
      </c>
      <c r="K2063" t="s">
        <v>16</v>
      </c>
      <c r="L2063" t="s">
        <v>74</v>
      </c>
      <c r="M2063">
        <f>orders[[#This Row],[Ship Date]]-orders[[#This Row],[Order Date]]</f>
        <v>1</v>
      </c>
      <c r="N2063">
        <f>WEEKNUM(orders[[#This Row],[Order Date]],2)</f>
        <v>12</v>
      </c>
      <c r="O2063" t="str" cm="1">
        <f t="array" ref="O206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64" spans="1:15" x14ac:dyDescent="0.3">
      <c r="A2064" t="s">
        <v>2161</v>
      </c>
      <c r="B2064" t="s">
        <v>78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24</v>
      </c>
      <c r="I2064" t="s">
        <v>37</v>
      </c>
      <c r="J2064">
        <v>4</v>
      </c>
      <c r="K2064" t="s">
        <v>16</v>
      </c>
      <c r="L2064" t="s">
        <v>74</v>
      </c>
      <c r="M2064">
        <f>orders[[#This Row],[Ship Date]]-orders[[#This Row],[Order Date]]</f>
        <v>6</v>
      </c>
      <c r="N2064">
        <f>WEEKNUM(orders[[#This Row],[Order Date]],2)</f>
        <v>12</v>
      </c>
      <c r="O2064" t="str" cm="1">
        <f t="array" ref="O20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65" spans="1:15" x14ac:dyDescent="0.3">
      <c r="A2065" t="s">
        <v>2162</v>
      </c>
      <c r="B2065" t="s">
        <v>19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24</v>
      </c>
      <c r="I2065" t="s">
        <v>37</v>
      </c>
      <c r="J2065">
        <v>4</v>
      </c>
      <c r="K2065" t="s">
        <v>16</v>
      </c>
      <c r="L2065" t="s">
        <v>74</v>
      </c>
      <c r="M2065">
        <f>orders[[#This Row],[Ship Date]]-orders[[#This Row],[Order Date]]</f>
        <v>2</v>
      </c>
      <c r="N2065">
        <f>WEEKNUM(orders[[#This Row],[Order Date]],2)</f>
        <v>12</v>
      </c>
      <c r="O2065" t="str" cm="1">
        <f t="array" ref="O206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66" spans="1:15" x14ac:dyDescent="0.3">
      <c r="A2066" t="s">
        <v>2163</v>
      </c>
      <c r="B2066" t="s">
        <v>125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20</v>
      </c>
      <c r="I2066" t="s">
        <v>32</v>
      </c>
      <c r="J2066">
        <v>3</v>
      </c>
      <c r="K2066" t="s">
        <v>16</v>
      </c>
      <c r="L2066" t="s">
        <v>74</v>
      </c>
      <c r="M2066">
        <f>orders[[#This Row],[Ship Date]]-orders[[#This Row],[Order Date]]</f>
        <v>1</v>
      </c>
      <c r="N2066">
        <f>WEEKNUM(orders[[#This Row],[Order Date]],2)</f>
        <v>12</v>
      </c>
      <c r="O2066" t="str" cm="1">
        <f t="array" ref="O20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67" spans="1:15" x14ac:dyDescent="0.3">
      <c r="A2067" t="s">
        <v>2164</v>
      </c>
      <c r="B2067" t="s">
        <v>19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20</v>
      </c>
      <c r="I2067" t="s">
        <v>37</v>
      </c>
      <c r="J2067">
        <v>4</v>
      </c>
      <c r="K2067" t="s">
        <v>16</v>
      </c>
      <c r="L2067" t="s">
        <v>79</v>
      </c>
      <c r="M2067">
        <f>orders[[#This Row],[Ship Date]]-orders[[#This Row],[Order Date]]</f>
        <v>1</v>
      </c>
      <c r="N2067">
        <f>WEEKNUM(orders[[#This Row],[Order Date]],2)</f>
        <v>12</v>
      </c>
      <c r="O2067" t="str" cm="1">
        <f t="array" ref="O20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68" spans="1:15" x14ac:dyDescent="0.3">
      <c r="A2068" t="s">
        <v>2165</v>
      </c>
      <c r="B2068" t="s">
        <v>41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24</v>
      </c>
      <c r="I2068" t="s">
        <v>37</v>
      </c>
      <c r="J2068">
        <v>3</v>
      </c>
      <c r="K2068" t="s">
        <v>16</v>
      </c>
      <c r="L2068" t="s">
        <v>21</v>
      </c>
      <c r="M2068">
        <f>orders[[#This Row],[Ship Date]]-orders[[#This Row],[Order Date]]</f>
        <v>3</v>
      </c>
      <c r="N2068">
        <f>WEEKNUM(orders[[#This Row],[Order Date]],2)</f>
        <v>12</v>
      </c>
      <c r="O2068" t="str" cm="1">
        <f t="array" ref="O20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69" spans="1:15" x14ac:dyDescent="0.3">
      <c r="A2069" t="s">
        <v>2166</v>
      </c>
      <c r="B2069" t="s">
        <v>64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24</v>
      </c>
      <c r="I2069" t="s">
        <v>37</v>
      </c>
      <c r="J2069">
        <v>4</v>
      </c>
      <c r="K2069" t="s">
        <v>16</v>
      </c>
      <c r="L2069" t="s">
        <v>144</v>
      </c>
      <c r="M2069">
        <f>orders[[#This Row],[Ship Date]]-orders[[#This Row],[Order Date]]</f>
        <v>2</v>
      </c>
      <c r="N2069">
        <f>WEEKNUM(orders[[#This Row],[Order Date]],2)</f>
        <v>12</v>
      </c>
      <c r="O2069" t="str" cm="1">
        <f t="array" ref="O20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70" spans="1:15" x14ac:dyDescent="0.3">
      <c r="A2070" t="s">
        <v>2167</v>
      </c>
      <c r="B2070" t="s">
        <v>23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20</v>
      </c>
      <c r="I2070" t="s">
        <v>32</v>
      </c>
      <c r="J2070">
        <v>2</v>
      </c>
      <c r="K2070" t="s">
        <v>16</v>
      </c>
      <c r="L2070" t="s">
        <v>30</v>
      </c>
      <c r="M2070">
        <f>orders[[#This Row],[Ship Date]]-orders[[#This Row],[Order Date]]</f>
        <v>2</v>
      </c>
      <c r="N2070">
        <f>WEEKNUM(orders[[#This Row],[Order Date]],2)</f>
        <v>12</v>
      </c>
      <c r="O2070" t="str" cm="1">
        <f t="array" ref="O20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71" spans="1:15" x14ac:dyDescent="0.3">
      <c r="A2071" t="s">
        <v>2168</v>
      </c>
      <c r="B2071" t="s">
        <v>13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24</v>
      </c>
      <c r="I2071" t="s">
        <v>37</v>
      </c>
      <c r="J2071">
        <v>4</v>
      </c>
      <c r="K2071" t="s">
        <v>16</v>
      </c>
      <c r="L2071" t="s">
        <v>30</v>
      </c>
      <c r="M2071">
        <f>orders[[#This Row],[Ship Date]]-orders[[#This Row],[Order Date]]</f>
        <v>2</v>
      </c>
      <c r="N2071">
        <f>WEEKNUM(orders[[#This Row],[Order Date]],2)</f>
        <v>12</v>
      </c>
      <c r="O2071" t="str" cm="1">
        <f t="array" ref="O20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72" spans="1:15" x14ac:dyDescent="0.3">
      <c r="A2072" t="s">
        <v>2169</v>
      </c>
      <c r="B2072" t="s">
        <v>36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20</v>
      </c>
      <c r="I2072" t="s">
        <v>37</v>
      </c>
      <c r="J2072">
        <v>4</v>
      </c>
      <c r="K2072" t="s">
        <v>16</v>
      </c>
      <c r="L2072" t="s">
        <v>30</v>
      </c>
      <c r="M2072">
        <f>orders[[#This Row],[Ship Date]]-orders[[#This Row],[Order Date]]</f>
        <v>1</v>
      </c>
      <c r="N2072">
        <f>WEEKNUM(orders[[#This Row],[Order Date]],2)</f>
        <v>12</v>
      </c>
      <c r="O2072" t="str" cm="1">
        <f t="array" ref="O207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73" spans="1:15" x14ac:dyDescent="0.3">
      <c r="A2073" t="s">
        <v>2170</v>
      </c>
      <c r="B2073" t="s">
        <v>27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20</v>
      </c>
      <c r="I2073" t="s">
        <v>15</v>
      </c>
      <c r="J2073">
        <v>5</v>
      </c>
      <c r="K2073" t="s">
        <v>16</v>
      </c>
      <c r="L2073" t="s">
        <v>30</v>
      </c>
      <c r="M2073">
        <f>orders[[#This Row],[Ship Date]]-orders[[#This Row],[Order Date]]</f>
        <v>5</v>
      </c>
      <c r="N2073">
        <f>WEEKNUM(orders[[#This Row],[Order Date]],2)</f>
        <v>12</v>
      </c>
      <c r="O2073" t="str" cm="1">
        <f t="array" ref="O20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74" spans="1:15" x14ac:dyDescent="0.3">
      <c r="A2074" t="s">
        <v>2171</v>
      </c>
      <c r="B2074" t="s">
        <v>41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20</v>
      </c>
      <c r="I2074" t="s">
        <v>32</v>
      </c>
      <c r="J2074">
        <v>5</v>
      </c>
      <c r="K2074" t="s">
        <v>16</v>
      </c>
      <c r="L2074" t="s">
        <v>30</v>
      </c>
      <c r="M2074">
        <f>orders[[#This Row],[Ship Date]]-orders[[#This Row],[Order Date]]</f>
        <v>2</v>
      </c>
      <c r="N2074">
        <f>WEEKNUM(orders[[#This Row],[Order Date]],2)</f>
        <v>12</v>
      </c>
      <c r="O2074" t="str" cm="1">
        <f t="array" ref="O20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75" spans="1:15" x14ac:dyDescent="0.3">
      <c r="A2075" t="s">
        <v>2172</v>
      </c>
      <c r="B2075" t="s">
        <v>41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24</v>
      </c>
      <c r="I2075" t="s">
        <v>67</v>
      </c>
      <c r="J2075">
        <v>5</v>
      </c>
      <c r="K2075" t="s">
        <v>16</v>
      </c>
      <c r="L2075" t="s">
        <v>30</v>
      </c>
      <c r="M2075">
        <f>orders[[#This Row],[Ship Date]]-orders[[#This Row],[Order Date]]</f>
        <v>1</v>
      </c>
      <c r="N2075">
        <f>WEEKNUM(orders[[#This Row],[Order Date]],2)</f>
        <v>12</v>
      </c>
      <c r="O2075" t="str" cm="1">
        <f t="array" ref="O20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76" spans="1:15" x14ac:dyDescent="0.3">
      <c r="A2076" t="s">
        <v>2173</v>
      </c>
      <c r="B2076" t="s">
        <v>34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24</v>
      </c>
      <c r="I2076" t="s">
        <v>15</v>
      </c>
      <c r="J2076">
        <v>4</v>
      </c>
      <c r="K2076" t="s">
        <v>16</v>
      </c>
      <c r="L2076" t="s">
        <v>30</v>
      </c>
      <c r="M2076">
        <f>orders[[#This Row],[Ship Date]]-orders[[#This Row],[Order Date]]</f>
        <v>2</v>
      </c>
      <c r="N2076">
        <f>WEEKNUM(orders[[#This Row],[Order Date]],2)</f>
        <v>12</v>
      </c>
      <c r="O2076" t="str" cm="1">
        <f t="array" ref="O20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77" spans="1:15" x14ac:dyDescent="0.3">
      <c r="A2077" t="s">
        <v>2174</v>
      </c>
      <c r="B2077" t="s">
        <v>66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20</v>
      </c>
      <c r="I2077" t="s">
        <v>37</v>
      </c>
      <c r="J2077">
        <v>5</v>
      </c>
      <c r="K2077" t="s">
        <v>16</v>
      </c>
      <c r="L2077" t="s">
        <v>30</v>
      </c>
      <c r="M2077">
        <f>orders[[#This Row],[Ship Date]]-orders[[#This Row],[Order Date]]</f>
        <v>0</v>
      </c>
      <c r="N2077">
        <f>WEEKNUM(orders[[#This Row],[Order Date]],2)</f>
        <v>12</v>
      </c>
      <c r="O2077" t="str" cm="1">
        <f t="array" ref="O20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78" spans="1:15" x14ac:dyDescent="0.3">
      <c r="A2078" t="s">
        <v>2175</v>
      </c>
      <c r="B2078" t="s">
        <v>36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24</v>
      </c>
      <c r="I2078" t="s">
        <v>15</v>
      </c>
      <c r="J2078">
        <v>4</v>
      </c>
      <c r="K2078" t="s">
        <v>16</v>
      </c>
      <c r="L2078" t="s">
        <v>30</v>
      </c>
      <c r="M2078">
        <f>orders[[#This Row],[Ship Date]]-orders[[#This Row],[Order Date]]</f>
        <v>2</v>
      </c>
      <c r="N2078">
        <f>WEEKNUM(orders[[#This Row],[Order Date]],2)</f>
        <v>12</v>
      </c>
      <c r="O2078" t="str" cm="1">
        <f t="array" ref="O20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79" spans="1:15" x14ac:dyDescent="0.3">
      <c r="A2079" t="s">
        <v>2176</v>
      </c>
      <c r="B2079" t="s">
        <v>125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20</v>
      </c>
      <c r="I2079" t="s">
        <v>15</v>
      </c>
      <c r="J2079">
        <v>3</v>
      </c>
      <c r="K2079" t="s">
        <v>16</v>
      </c>
      <c r="L2079" t="s">
        <v>30</v>
      </c>
      <c r="M2079">
        <f>orders[[#This Row],[Ship Date]]-orders[[#This Row],[Order Date]]</f>
        <v>2</v>
      </c>
      <c r="N2079">
        <f>WEEKNUM(orders[[#This Row],[Order Date]],2)</f>
        <v>12</v>
      </c>
      <c r="O2079" t="str" cm="1">
        <f t="array" ref="O20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80" spans="1:15" x14ac:dyDescent="0.3">
      <c r="A2080" t="s">
        <v>2177</v>
      </c>
      <c r="B2080" t="s">
        <v>23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24</v>
      </c>
      <c r="I2080" t="s">
        <v>32</v>
      </c>
      <c r="J2080">
        <v>4</v>
      </c>
      <c r="K2080" t="s">
        <v>16</v>
      </c>
      <c r="L2080" t="s">
        <v>30</v>
      </c>
      <c r="M2080">
        <f>orders[[#This Row],[Ship Date]]-orders[[#This Row],[Order Date]]</f>
        <v>1</v>
      </c>
      <c r="N2080">
        <f>WEEKNUM(orders[[#This Row],[Order Date]],2)</f>
        <v>12</v>
      </c>
      <c r="O2080" t="str" cm="1">
        <f t="array" ref="O20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81" spans="1:15" x14ac:dyDescent="0.3">
      <c r="A2081" t="s">
        <v>2178</v>
      </c>
      <c r="B2081" t="s">
        <v>132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20</v>
      </c>
      <c r="I2081" t="s">
        <v>32</v>
      </c>
      <c r="J2081">
        <v>5</v>
      </c>
      <c r="K2081" t="s">
        <v>16</v>
      </c>
      <c r="L2081" t="s">
        <v>30</v>
      </c>
      <c r="M2081">
        <f>orders[[#This Row],[Ship Date]]-orders[[#This Row],[Order Date]]</f>
        <v>1</v>
      </c>
      <c r="N2081">
        <f>WEEKNUM(orders[[#This Row],[Order Date]],2)</f>
        <v>12</v>
      </c>
      <c r="O2081" t="str" cm="1">
        <f t="array" ref="O20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82" spans="1:15" x14ac:dyDescent="0.3">
      <c r="A2082" t="s">
        <v>2179</v>
      </c>
      <c r="B2082" t="s">
        <v>120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20</v>
      </c>
      <c r="I2082" t="s">
        <v>32</v>
      </c>
      <c r="J2082">
        <v>5</v>
      </c>
      <c r="K2082" t="s">
        <v>16</v>
      </c>
      <c r="L2082" t="s">
        <v>30</v>
      </c>
      <c r="M2082">
        <f>orders[[#This Row],[Ship Date]]-orders[[#This Row],[Order Date]]</f>
        <v>3</v>
      </c>
      <c r="N2082">
        <f>WEEKNUM(orders[[#This Row],[Order Date]],2)</f>
        <v>12</v>
      </c>
      <c r="O2082" t="str" cm="1">
        <f t="array" ref="O20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83" spans="1:15" x14ac:dyDescent="0.3">
      <c r="A2083" t="s">
        <v>2180</v>
      </c>
      <c r="B2083" t="s">
        <v>51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24</v>
      </c>
      <c r="I2083" t="s">
        <v>15</v>
      </c>
      <c r="J2083">
        <v>5</v>
      </c>
      <c r="K2083" t="s">
        <v>16</v>
      </c>
      <c r="L2083" t="s">
        <v>30</v>
      </c>
      <c r="M2083">
        <f>orders[[#This Row],[Ship Date]]-orders[[#This Row],[Order Date]]</f>
        <v>2</v>
      </c>
      <c r="N2083">
        <f>WEEKNUM(orders[[#This Row],[Order Date]],2)</f>
        <v>12</v>
      </c>
      <c r="O2083" t="str" cm="1">
        <f t="array" ref="O20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84" spans="1:15" x14ac:dyDescent="0.3">
      <c r="A2084" t="s">
        <v>2181</v>
      </c>
      <c r="B2084" t="s">
        <v>36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86</v>
      </c>
      <c r="I2084" t="s">
        <v>15</v>
      </c>
      <c r="J2084">
        <v>4</v>
      </c>
      <c r="K2084" t="s">
        <v>16</v>
      </c>
      <c r="L2084" t="s">
        <v>30</v>
      </c>
      <c r="M2084">
        <f>orders[[#This Row],[Ship Date]]-orders[[#This Row],[Order Date]]</f>
        <v>4</v>
      </c>
      <c r="N2084">
        <f>WEEKNUM(orders[[#This Row],[Order Date]],2)</f>
        <v>12</v>
      </c>
      <c r="O2084" t="str" cm="1">
        <f t="array" ref="O208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085" spans="1:15" x14ac:dyDescent="0.3">
      <c r="A2085" t="s">
        <v>2182</v>
      </c>
      <c r="B2085" t="s">
        <v>168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24</v>
      </c>
      <c r="I2085" t="s">
        <v>32</v>
      </c>
      <c r="J2085">
        <v>3</v>
      </c>
      <c r="K2085" t="s">
        <v>16</v>
      </c>
      <c r="L2085" t="s">
        <v>49</v>
      </c>
      <c r="M2085">
        <f>orders[[#This Row],[Ship Date]]-orders[[#This Row],[Order Date]]</f>
        <v>7</v>
      </c>
      <c r="N2085">
        <f>WEEKNUM(orders[[#This Row],[Order Date]],2)</f>
        <v>12</v>
      </c>
      <c r="O2085" t="str" cm="1">
        <f t="array" ref="O20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86" spans="1:15" x14ac:dyDescent="0.3">
      <c r="A2086" t="s">
        <v>2183</v>
      </c>
      <c r="B2086" t="s">
        <v>34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24</v>
      </c>
      <c r="I2086" t="s">
        <v>37</v>
      </c>
      <c r="J2086">
        <v>5</v>
      </c>
      <c r="K2086" t="s">
        <v>16</v>
      </c>
      <c r="L2086" t="s">
        <v>52</v>
      </c>
      <c r="M2086">
        <f>orders[[#This Row],[Ship Date]]-orders[[#This Row],[Order Date]]</f>
        <v>1</v>
      </c>
      <c r="N2086">
        <f>WEEKNUM(orders[[#This Row],[Order Date]],2)</f>
        <v>12</v>
      </c>
      <c r="O2086" t="str" cm="1">
        <f t="array" ref="O208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87" spans="1:15" x14ac:dyDescent="0.3">
      <c r="A2087" t="s">
        <v>2184</v>
      </c>
      <c r="B2087" t="s">
        <v>34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24</v>
      </c>
      <c r="I2087" t="s">
        <v>32</v>
      </c>
      <c r="J2087">
        <v>4</v>
      </c>
      <c r="K2087" t="s">
        <v>16</v>
      </c>
      <c r="L2087" t="s">
        <v>56</v>
      </c>
      <c r="M2087">
        <f>orders[[#This Row],[Ship Date]]-orders[[#This Row],[Order Date]]</f>
        <v>2</v>
      </c>
      <c r="N2087">
        <f>WEEKNUM(orders[[#This Row],[Order Date]],2)</f>
        <v>12</v>
      </c>
      <c r="O2087" t="str" cm="1">
        <f t="array" ref="O208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88" spans="1:15" x14ac:dyDescent="0.3">
      <c r="A2088" t="s">
        <v>2185</v>
      </c>
      <c r="B2088" t="s">
        <v>41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24</v>
      </c>
      <c r="I2088" t="s">
        <v>32</v>
      </c>
      <c r="J2088">
        <v>5</v>
      </c>
      <c r="K2088" t="s">
        <v>16</v>
      </c>
      <c r="L2088" t="s">
        <v>56</v>
      </c>
      <c r="M2088">
        <f>orders[[#This Row],[Ship Date]]-orders[[#This Row],[Order Date]]</f>
        <v>1</v>
      </c>
      <c r="N2088">
        <f>WEEKNUM(orders[[#This Row],[Order Date]],2)</f>
        <v>12</v>
      </c>
      <c r="O2088" t="str" cm="1">
        <f t="array" ref="O20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89" spans="1:15" x14ac:dyDescent="0.3">
      <c r="A2089" t="s">
        <v>2186</v>
      </c>
      <c r="B2089" t="s">
        <v>120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20</v>
      </c>
      <c r="I2089" t="s">
        <v>15</v>
      </c>
      <c r="J2089">
        <v>4</v>
      </c>
      <c r="K2089" t="s">
        <v>16</v>
      </c>
      <c r="L2089" t="s">
        <v>56</v>
      </c>
      <c r="M2089">
        <f>orders[[#This Row],[Ship Date]]-orders[[#This Row],[Order Date]]</f>
        <v>3</v>
      </c>
      <c r="N2089">
        <f>WEEKNUM(orders[[#This Row],[Order Date]],2)</f>
        <v>12</v>
      </c>
      <c r="O2089" t="str" cm="1">
        <f t="array" ref="O20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90" spans="1:15" x14ac:dyDescent="0.3">
      <c r="A2090" t="s">
        <v>2187</v>
      </c>
      <c r="B2090" t="s">
        <v>78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20</v>
      </c>
      <c r="I2090" t="s">
        <v>48</v>
      </c>
      <c r="J2090">
        <v>5</v>
      </c>
      <c r="K2090" t="s">
        <v>16</v>
      </c>
      <c r="L2090" t="s">
        <v>56</v>
      </c>
      <c r="M2090">
        <f>orders[[#This Row],[Ship Date]]-orders[[#This Row],[Order Date]]</f>
        <v>4</v>
      </c>
      <c r="N2090">
        <f>WEEKNUM(orders[[#This Row],[Order Date]],2)</f>
        <v>12</v>
      </c>
      <c r="O2090" t="str" cm="1">
        <f t="array" ref="O20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91" spans="1:15" x14ac:dyDescent="0.3">
      <c r="A2091" t="s">
        <v>2188</v>
      </c>
      <c r="B2091" t="s">
        <v>41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20</v>
      </c>
      <c r="I2091" t="s">
        <v>67</v>
      </c>
      <c r="J2091">
        <v>4</v>
      </c>
      <c r="K2091" t="s">
        <v>16</v>
      </c>
      <c r="L2091" t="s">
        <v>59</v>
      </c>
      <c r="M2091">
        <f>orders[[#This Row],[Ship Date]]-orders[[#This Row],[Order Date]]</f>
        <v>2</v>
      </c>
      <c r="N2091">
        <f>WEEKNUM(orders[[#This Row],[Order Date]],2)</f>
        <v>12</v>
      </c>
      <c r="O2091" t="str" cm="1">
        <f t="array" ref="O20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92" spans="1:15" x14ac:dyDescent="0.3">
      <c r="A2092" t="s">
        <v>2189</v>
      </c>
      <c r="B2092" t="s">
        <v>34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24</v>
      </c>
      <c r="I2092" t="s">
        <v>32</v>
      </c>
      <c r="J2092">
        <v>2</v>
      </c>
      <c r="K2092" t="s">
        <v>16</v>
      </c>
      <c r="L2092" t="s">
        <v>59</v>
      </c>
      <c r="M2092">
        <f>orders[[#This Row],[Ship Date]]-orders[[#This Row],[Order Date]]</f>
        <v>4</v>
      </c>
      <c r="N2092">
        <f>WEEKNUM(orders[[#This Row],[Order Date]],2)</f>
        <v>12</v>
      </c>
      <c r="O2092" t="str" cm="1">
        <f t="array" ref="O20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93" spans="1:15" x14ac:dyDescent="0.3">
      <c r="A2093" t="s">
        <v>2190</v>
      </c>
      <c r="B2093" t="s">
        <v>13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20</v>
      </c>
      <c r="I2093" t="s">
        <v>37</v>
      </c>
      <c r="J2093">
        <v>4</v>
      </c>
      <c r="K2093" t="s">
        <v>16</v>
      </c>
      <c r="L2093" t="s">
        <v>59</v>
      </c>
      <c r="M2093">
        <f>orders[[#This Row],[Ship Date]]-orders[[#This Row],[Order Date]]</f>
        <v>4</v>
      </c>
      <c r="N2093">
        <f>WEEKNUM(orders[[#This Row],[Order Date]],2)</f>
        <v>12</v>
      </c>
      <c r="O2093" t="str" cm="1">
        <f t="array" ref="O20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94" spans="1:15" x14ac:dyDescent="0.3">
      <c r="A2094" t="s">
        <v>2191</v>
      </c>
      <c r="B2094" t="s">
        <v>36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20</v>
      </c>
      <c r="I2094" t="s">
        <v>32</v>
      </c>
      <c r="J2094">
        <v>4</v>
      </c>
      <c r="K2094" t="s">
        <v>16</v>
      </c>
      <c r="L2094" t="s">
        <v>59</v>
      </c>
      <c r="M2094">
        <f>orders[[#This Row],[Ship Date]]-orders[[#This Row],[Order Date]]</f>
        <v>1</v>
      </c>
      <c r="N2094">
        <f>WEEKNUM(orders[[#This Row],[Order Date]],2)</f>
        <v>12</v>
      </c>
      <c r="O2094" t="str" cm="1">
        <f t="array" ref="O20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95" spans="1:15" x14ac:dyDescent="0.3">
      <c r="A2095" t="s">
        <v>2192</v>
      </c>
      <c r="B2095" t="s">
        <v>41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20</v>
      </c>
      <c r="I2095" t="s">
        <v>32</v>
      </c>
      <c r="J2095">
        <v>5</v>
      </c>
      <c r="K2095" t="s">
        <v>16</v>
      </c>
      <c r="L2095" t="s">
        <v>59</v>
      </c>
      <c r="M2095">
        <f>orders[[#This Row],[Ship Date]]-orders[[#This Row],[Order Date]]</f>
        <v>3</v>
      </c>
      <c r="N2095">
        <f>WEEKNUM(orders[[#This Row],[Order Date]],2)</f>
        <v>12</v>
      </c>
      <c r="O2095" t="str" cm="1">
        <f t="array" ref="O20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96" spans="1:15" x14ac:dyDescent="0.3">
      <c r="A2096" t="s">
        <v>2193</v>
      </c>
      <c r="B2096" t="s">
        <v>39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24</v>
      </c>
      <c r="I2096" t="s">
        <v>32</v>
      </c>
      <c r="J2096">
        <v>5</v>
      </c>
      <c r="K2096" t="s">
        <v>16</v>
      </c>
      <c r="L2096" t="s">
        <v>69</v>
      </c>
      <c r="M2096">
        <f>orders[[#This Row],[Ship Date]]-orders[[#This Row],[Order Date]]</f>
        <v>3</v>
      </c>
      <c r="N2096">
        <f>WEEKNUM(orders[[#This Row],[Order Date]],2)</f>
        <v>12</v>
      </c>
      <c r="O2096" t="str" cm="1">
        <f t="array" ref="O209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97" spans="1:15" x14ac:dyDescent="0.3">
      <c r="A2097" t="s">
        <v>2194</v>
      </c>
      <c r="B2097" t="s">
        <v>29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20</v>
      </c>
      <c r="I2097" t="s">
        <v>32</v>
      </c>
      <c r="J2097">
        <v>5</v>
      </c>
      <c r="K2097" t="s">
        <v>16</v>
      </c>
      <c r="L2097" t="s">
        <v>74</v>
      </c>
      <c r="M2097">
        <f>orders[[#This Row],[Ship Date]]-orders[[#This Row],[Order Date]]</f>
        <v>0</v>
      </c>
      <c r="N2097">
        <f>WEEKNUM(orders[[#This Row],[Order Date]],2)</f>
        <v>12</v>
      </c>
      <c r="O2097" t="str" cm="1">
        <f t="array" ref="O20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098" spans="1:15" x14ac:dyDescent="0.3">
      <c r="A2098" t="s">
        <v>2195</v>
      </c>
      <c r="B2098" t="s">
        <v>29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24</v>
      </c>
      <c r="I2098" t="s">
        <v>48</v>
      </c>
      <c r="J2098">
        <v>5</v>
      </c>
      <c r="K2098" t="s">
        <v>16</v>
      </c>
      <c r="L2098" t="s">
        <v>110</v>
      </c>
      <c r="M2098">
        <f>orders[[#This Row],[Ship Date]]-orders[[#This Row],[Order Date]]</f>
        <v>1</v>
      </c>
      <c r="N2098">
        <f>WEEKNUM(orders[[#This Row],[Order Date]],2)</f>
        <v>12</v>
      </c>
      <c r="O2098" t="str" cm="1">
        <f t="array" ref="O20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099" spans="1:15" x14ac:dyDescent="0.3">
      <c r="A2099" t="s">
        <v>2196</v>
      </c>
      <c r="B2099" t="s">
        <v>34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20</v>
      </c>
      <c r="I2099" t="s">
        <v>37</v>
      </c>
      <c r="J2099">
        <v>4</v>
      </c>
      <c r="K2099" t="s">
        <v>16</v>
      </c>
      <c r="L2099" t="s">
        <v>112</v>
      </c>
      <c r="M2099">
        <f>orders[[#This Row],[Ship Date]]-orders[[#This Row],[Order Date]]</f>
        <v>1</v>
      </c>
      <c r="N2099">
        <f>WEEKNUM(orders[[#This Row],[Order Date]],2)</f>
        <v>12</v>
      </c>
      <c r="O2099" t="str" cm="1">
        <f t="array" ref="O20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00" spans="1:15" x14ac:dyDescent="0.3">
      <c r="A2100" t="s">
        <v>2197</v>
      </c>
      <c r="B2100" t="s">
        <v>36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20</v>
      </c>
      <c r="I2100" t="s">
        <v>32</v>
      </c>
      <c r="J2100">
        <v>5</v>
      </c>
      <c r="K2100" t="s">
        <v>16</v>
      </c>
      <c r="L2100" t="s">
        <v>112</v>
      </c>
      <c r="M2100">
        <f>orders[[#This Row],[Ship Date]]-orders[[#This Row],[Order Date]]</f>
        <v>1</v>
      </c>
      <c r="N2100">
        <f>WEEKNUM(orders[[#This Row],[Order Date]],2)</f>
        <v>12</v>
      </c>
      <c r="O2100" t="str" cm="1">
        <f t="array" ref="O21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01" spans="1:15" x14ac:dyDescent="0.3">
      <c r="A2101" t="s">
        <v>2198</v>
      </c>
      <c r="B2101" t="s">
        <v>51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20</v>
      </c>
      <c r="I2101" t="s">
        <v>37</v>
      </c>
      <c r="J2101">
        <v>4</v>
      </c>
      <c r="K2101" t="s">
        <v>16</v>
      </c>
      <c r="L2101" t="s">
        <v>112</v>
      </c>
      <c r="M2101">
        <f>orders[[#This Row],[Ship Date]]-orders[[#This Row],[Order Date]]</f>
        <v>1</v>
      </c>
      <c r="N2101">
        <f>WEEKNUM(orders[[#This Row],[Order Date]],2)</f>
        <v>12</v>
      </c>
      <c r="O2101" t="str" cm="1">
        <f t="array" ref="O21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02" spans="1:15" x14ac:dyDescent="0.3">
      <c r="A2102" t="s">
        <v>2199</v>
      </c>
      <c r="B2102" t="s">
        <v>51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24</v>
      </c>
      <c r="I2102" t="s">
        <v>32</v>
      </c>
      <c r="J2102">
        <v>5</v>
      </c>
      <c r="K2102" t="s">
        <v>16</v>
      </c>
      <c r="L2102" t="s">
        <v>21</v>
      </c>
      <c r="M2102">
        <f>orders[[#This Row],[Ship Date]]-orders[[#This Row],[Order Date]]</f>
        <v>1</v>
      </c>
      <c r="N2102">
        <f>WEEKNUM(orders[[#This Row],[Order Date]],2)</f>
        <v>12</v>
      </c>
      <c r="O2102" t="str" cm="1">
        <f t="array" ref="O210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03" spans="1:15" x14ac:dyDescent="0.3">
      <c r="A2103" t="s">
        <v>2200</v>
      </c>
      <c r="B2103" t="s">
        <v>43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20</v>
      </c>
      <c r="I2103" t="s">
        <v>15</v>
      </c>
      <c r="J2103">
        <v>4</v>
      </c>
      <c r="K2103" t="s">
        <v>16</v>
      </c>
      <c r="L2103" t="s">
        <v>2201</v>
      </c>
      <c r="M2103">
        <f>orders[[#This Row],[Ship Date]]-orders[[#This Row],[Order Date]]</f>
        <v>1</v>
      </c>
      <c r="N2103">
        <f>WEEKNUM(orders[[#This Row],[Order Date]],2)</f>
        <v>12</v>
      </c>
      <c r="O2103" t="str" cm="1">
        <f t="array" ref="O21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04" spans="1:15" x14ac:dyDescent="0.3">
      <c r="A2104" t="s">
        <v>2202</v>
      </c>
      <c r="B2104" t="s">
        <v>23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24</v>
      </c>
      <c r="I2104" t="s">
        <v>15</v>
      </c>
      <c r="J2104">
        <v>4</v>
      </c>
      <c r="K2104" t="s">
        <v>16</v>
      </c>
      <c r="L2104" t="s">
        <v>434</v>
      </c>
      <c r="M2104">
        <f>orders[[#This Row],[Ship Date]]-orders[[#This Row],[Order Date]]</f>
        <v>1</v>
      </c>
      <c r="N2104">
        <f>WEEKNUM(orders[[#This Row],[Order Date]],2)</f>
        <v>12</v>
      </c>
      <c r="O2104" t="str" cm="1">
        <f t="array" ref="O210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05" spans="1:15" x14ac:dyDescent="0.3">
      <c r="A2105" t="s">
        <v>2203</v>
      </c>
      <c r="B2105" t="s">
        <v>39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24</v>
      </c>
      <c r="I2105" t="s">
        <v>15</v>
      </c>
      <c r="J2105">
        <v>4</v>
      </c>
      <c r="K2105" t="s">
        <v>16</v>
      </c>
      <c r="L2105" t="s">
        <v>25</v>
      </c>
      <c r="M2105">
        <f>orders[[#This Row],[Ship Date]]-orders[[#This Row],[Order Date]]</f>
        <v>2</v>
      </c>
      <c r="N2105">
        <f>WEEKNUM(orders[[#This Row],[Order Date]],2)</f>
        <v>12</v>
      </c>
      <c r="O2105" t="str" cm="1">
        <f t="array" ref="O21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06" spans="1:15" x14ac:dyDescent="0.3">
      <c r="A2106" t="s">
        <v>2204</v>
      </c>
      <c r="B2106" t="s">
        <v>34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24</v>
      </c>
      <c r="I2106" t="s">
        <v>15</v>
      </c>
      <c r="J2106">
        <v>4</v>
      </c>
      <c r="K2106" t="s">
        <v>16</v>
      </c>
      <c r="L2106" t="s">
        <v>328</v>
      </c>
      <c r="M2106">
        <f>orders[[#This Row],[Ship Date]]-orders[[#This Row],[Order Date]]</f>
        <v>4</v>
      </c>
      <c r="N2106">
        <f>WEEKNUM(orders[[#This Row],[Order Date]],2)</f>
        <v>12</v>
      </c>
      <c r="O2106" t="str" cm="1">
        <f t="array" ref="O21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07" spans="1:15" x14ac:dyDescent="0.3">
      <c r="A2107" t="s">
        <v>2205</v>
      </c>
      <c r="B2107" t="s">
        <v>23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24</v>
      </c>
      <c r="I2107" t="s">
        <v>15</v>
      </c>
      <c r="J2107">
        <v>5</v>
      </c>
      <c r="K2107" t="s">
        <v>16</v>
      </c>
      <c r="L2107" t="s">
        <v>144</v>
      </c>
      <c r="M2107">
        <f>orders[[#This Row],[Ship Date]]-orders[[#This Row],[Order Date]]</f>
        <v>2</v>
      </c>
      <c r="N2107">
        <f>WEEKNUM(orders[[#This Row],[Order Date]],2)</f>
        <v>12</v>
      </c>
      <c r="O2107" t="str" cm="1">
        <f t="array" ref="O21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08" spans="1:15" x14ac:dyDescent="0.3">
      <c r="A2108" t="s">
        <v>2206</v>
      </c>
      <c r="B2108" t="s">
        <v>125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20</v>
      </c>
      <c r="I2108" t="s">
        <v>37</v>
      </c>
      <c r="J2108">
        <v>5</v>
      </c>
      <c r="K2108" t="s">
        <v>16</v>
      </c>
      <c r="L2108" t="s">
        <v>144</v>
      </c>
      <c r="M2108">
        <f>orders[[#This Row],[Ship Date]]-orders[[#This Row],[Order Date]]</f>
        <v>1</v>
      </c>
      <c r="N2108">
        <f>WEEKNUM(orders[[#This Row],[Order Date]],2)</f>
        <v>12</v>
      </c>
      <c r="O2108" t="str" cm="1">
        <f t="array" ref="O210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09" spans="1:15" x14ac:dyDescent="0.3">
      <c r="A2109" t="s">
        <v>2207</v>
      </c>
      <c r="B2109" t="s">
        <v>23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24</v>
      </c>
      <c r="I2109" t="s">
        <v>32</v>
      </c>
      <c r="J2109">
        <v>3</v>
      </c>
      <c r="K2109" t="s">
        <v>16</v>
      </c>
      <c r="L2109" t="s">
        <v>30</v>
      </c>
      <c r="M2109">
        <f>orders[[#This Row],[Ship Date]]-orders[[#This Row],[Order Date]]</f>
        <v>4</v>
      </c>
      <c r="N2109">
        <f>WEEKNUM(orders[[#This Row],[Order Date]],2)</f>
        <v>12</v>
      </c>
      <c r="O2109" t="str" cm="1">
        <f t="array" ref="O21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10" spans="1:15" x14ac:dyDescent="0.3">
      <c r="A2110" t="s">
        <v>2208</v>
      </c>
      <c r="B2110" t="s">
        <v>39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20</v>
      </c>
      <c r="I2110" t="s">
        <v>32</v>
      </c>
      <c r="J2110">
        <v>2</v>
      </c>
      <c r="K2110" t="s">
        <v>16</v>
      </c>
      <c r="L2110" t="s">
        <v>30</v>
      </c>
      <c r="M2110">
        <f>orders[[#This Row],[Ship Date]]-orders[[#This Row],[Order Date]]</f>
        <v>1</v>
      </c>
      <c r="N2110">
        <f>WEEKNUM(orders[[#This Row],[Order Date]],2)</f>
        <v>12</v>
      </c>
      <c r="O2110" t="str" cm="1">
        <f t="array" ref="O21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11" spans="1:15" x14ac:dyDescent="0.3">
      <c r="A2111" t="s">
        <v>2209</v>
      </c>
      <c r="B2111" t="s">
        <v>51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20</v>
      </c>
      <c r="I2111" t="s">
        <v>15</v>
      </c>
      <c r="J2111">
        <v>4</v>
      </c>
      <c r="K2111" t="s">
        <v>16</v>
      </c>
      <c r="L2111" t="s">
        <v>30</v>
      </c>
      <c r="M2111">
        <f>orders[[#This Row],[Ship Date]]-orders[[#This Row],[Order Date]]</f>
        <v>2</v>
      </c>
      <c r="N2111">
        <f>WEEKNUM(orders[[#This Row],[Order Date]],2)</f>
        <v>12</v>
      </c>
      <c r="O2111" t="str" cm="1">
        <f t="array" ref="O21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12" spans="1:15" x14ac:dyDescent="0.3">
      <c r="A2112" t="s">
        <v>2210</v>
      </c>
      <c r="B2112" t="s">
        <v>51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24</v>
      </c>
      <c r="I2112" t="s">
        <v>15</v>
      </c>
      <c r="J2112">
        <v>5</v>
      </c>
      <c r="K2112" t="s">
        <v>16</v>
      </c>
      <c r="L2112" t="s">
        <v>30</v>
      </c>
      <c r="M2112">
        <f>orders[[#This Row],[Ship Date]]-orders[[#This Row],[Order Date]]</f>
        <v>1</v>
      </c>
      <c r="N2112">
        <f>WEEKNUM(orders[[#This Row],[Order Date]],2)</f>
        <v>12</v>
      </c>
      <c r="O2112" t="str" cm="1">
        <f t="array" ref="O211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13" spans="1:15" x14ac:dyDescent="0.3">
      <c r="A2113" t="s">
        <v>2211</v>
      </c>
      <c r="B2113" t="s">
        <v>66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86</v>
      </c>
      <c r="I2113" t="s">
        <v>67</v>
      </c>
      <c r="J2113">
        <v>4</v>
      </c>
      <c r="K2113" t="s">
        <v>16</v>
      </c>
      <c r="L2113" t="s">
        <v>30</v>
      </c>
      <c r="M2113">
        <f>orders[[#This Row],[Ship Date]]-orders[[#This Row],[Order Date]]</f>
        <v>1</v>
      </c>
      <c r="N2113">
        <f>WEEKNUM(orders[[#This Row],[Order Date]],2)</f>
        <v>12</v>
      </c>
      <c r="O2113" t="str" cm="1">
        <f t="array" ref="O2113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114" spans="1:15" x14ac:dyDescent="0.3">
      <c r="A2114" t="s">
        <v>2212</v>
      </c>
      <c r="B2114" t="s">
        <v>13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20</v>
      </c>
      <c r="I2114" t="s">
        <v>37</v>
      </c>
      <c r="J2114">
        <v>5</v>
      </c>
      <c r="K2114" t="s">
        <v>16</v>
      </c>
      <c r="L2114" t="s">
        <v>30</v>
      </c>
      <c r="M2114">
        <f>orders[[#This Row],[Ship Date]]-orders[[#This Row],[Order Date]]</f>
        <v>1</v>
      </c>
      <c r="N2114">
        <f>WEEKNUM(orders[[#This Row],[Order Date]],2)</f>
        <v>12</v>
      </c>
      <c r="O2114" t="str" cm="1">
        <f t="array" ref="O211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15" spans="1:15" x14ac:dyDescent="0.3">
      <c r="A2115" t="s">
        <v>2213</v>
      </c>
      <c r="B2115" t="s">
        <v>39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24</v>
      </c>
      <c r="I2115" t="s">
        <v>37</v>
      </c>
      <c r="J2115">
        <v>4</v>
      </c>
      <c r="K2115" t="s">
        <v>16</v>
      </c>
      <c r="L2115" t="s">
        <v>30</v>
      </c>
      <c r="M2115">
        <f>orders[[#This Row],[Ship Date]]-orders[[#This Row],[Order Date]]</f>
        <v>3</v>
      </c>
      <c r="N2115">
        <f>WEEKNUM(orders[[#This Row],[Order Date]],2)</f>
        <v>12</v>
      </c>
      <c r="O2115" t="str" cm="1">
        <f t="array" ref="O21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16" spans="1:15" x14ac:dyDescent="0.3">
      <c r="A2116" t="s">
        <v>2214</v>
      </c>
      <c r="B2116" t="s">
        <v>34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24</v>
      </c>
      <c r="I2116" t="s">
        <v>32</v>
      </c>
      <c r="J2116">
        <v>4</v>
      </c>
      <c r="K2116" t="s">
        <v>16</v>
      </c>
      <c r="L2116" t="s">
        <v>30</v>
      </c>
      <c r="M2116">
        <f>orders[[#This Row],[Ship Date]]-orders[[#This Row],[Order Date]]</f>
        <v>5</v>
      </c>
      <c r="N2116">
        <f>WEEKNUM(orders[[#This Row],[Order Date]],2)</f>
        <v>12</v>
      </c>
      <c r="O2116" t="str" cm="1">
        <f t="array" ref="O21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17" spans="1:15" x14ac:dyDescent="0.3">
      <c r="A2117" t="s">
        <v>2215</v>
      </c>
      <c r="B2117" t="s">
        <v>41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24</v>
      </c>
      <c r="I2117" t="s">
        <v>15</v>
      </c>
      <c r="J2117">
        <v>4</v>
      </c>
      <c r="K2117" t="s">
        <v>16</v>
      </c>
      <c r="L2117" t="s">
        <v>30</v>
      </c>
      <c r="M2117">
        <f>orders[[#This Row],[Ship Date]]-orders[[#This Row],[Order Date]]</f>
        <v>1</v>
      </c>
      <c r="N2117">
        <f>WEEKNUM(orders[[#This Row],[Order Date]],2)</f>
        <v>12</v>
      </c>
      <c r="O2117" t="str" cm="1">
        <f t="array" ref="O21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18" spans="1:15" x14ac:dyDescent="0.3">
      <c r="A2118" t="s">
        <v>2216</v>
      </c>
      <c r="B2118" t="s">
        <v>34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20</v>
      </c>
      <c r="I2118" t="s">
        <v>67</v>
      </c>
      <c r="J2118">
        <v>5</v>
      </c>
      <c r="K2118" t="s">
        <v>16</v>
      </c>
      <c r="L2118" t="s">
        <v>30</v>
      </c>
      <c r="M2118">
        <f>orders[[#This Row],[Ship Date]]-orders[[#This Row],[Order Date]]</f>
        <v>4</v>
      </c>
      <c r="N2118">
        <f>WEEKNUM(orders[[#This Row],[Order Date]],2)</f>
        <v>12</v>
      </c>
      <c r="O2118" t="str" cm="1">
        <f t="array" ref="O211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19" spans="1:15" x14ac:dyDescent="0.3">
      <c r="A2119" t="s">
        <v>2217</v>
      </c>
      <c r="B2119" t="s">
        <v>19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20</v>
      </c>
      <c r="I2119" t="s">
        <v>37</v>
      </c>
      <c r="J2119">
        <v>5</v>
      </c>
      <c r="K2119" t="s">
        <v>16</v>
      </c>
      <c r="L2119" t="s">
        <v>30</v>
      </c>
      <c r="M2119">
        <f>orders[[#This Row],[Ship Date]]-orders[[#This Row],[Order Date]]</f>
        <v>1</v>
      </c>
      <c r="N2119">
        <f>WEEKNUM(orders[[#This Row],[Order Date]],2)</f>
        <v>12</v>
      </c>
      <c r="O2119" t="str" cm="1">
        <f t="array" ref="O21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20" spans="1:15" x14ac:dyDescent="0.3">
      <c r="A2120" t="s">
        <v>2218</v>
      </c>
      <c r="B2120" t="s">
        <v>36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20</v>
      </c>
      <c r="I2120" t="s">
        <v>15</v>
      </c>
      <c r="J2120">
        <v>4</v>
      </c>
      <c r="K2120" t="s">
        <v>16</v>
      </c>
      <c r="L2120" t="s">
        <v>30</v>
      </c>
      <c r="M2120">
        <f>orders[[#This Row],[Ship Date]]-orders[[#This Row],[Order Date]]</f>
        <v>1</v>
      </c>
      <c r="N2120">
        <f>WEEKNUM(orders[[#This Row],[Order Date]],2)</f>
        <v>12</v>
      </c>
      <c r="O2120" t="str" cm="1">
        <f t="array" ref="O21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21" spans="1:15" x14ac:dyDescent="0.3">
      <c r="A2121" t="s">
        <v>2219</v>
      </c>
      <c r="B2121" t="s">
        <v>43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20</v>
      </c>
      <c r="I2121" t="s">
        <v>67</v>
      </c>
      <c r="J2121">
        <v>3</v>
      </c>
      <c r="K2121" t="s">
        <v>16</v>
      </c>
      <c r="L2121" t="s">
        <v>30</v>
      </c>
      <c r="M2121">
        <f>orders[[#This Row],[Ship Date]]-orders[[#This Row],[Order Date]]</f>
        <v>0</v>
      </c>
      <c r="N2121">
        <f>WEEKNUM(orders[[#This Row],[Order Date]],2)</f>
        <v>12</v>
      </c>
      <c r="O2121" t="str" cm="1">
        <f t="array" ref="O21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22" spans="1:15" x14ac:dyDescent="0.3">
      <c r="A2122" t="s">
        <v>2220</v>
      </c>
      <c r="B2122" t="s">
        <v>34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24</v>
      </c>
      <c r="I2122" t="s">
        <v>15</v>
      </c>
      <c r="J2122">
        <v>4</v>
      </c>
      <c r="K2122" t="s">
        <v>16</v>
      </c>
      <c r="L2122" t="s">
        <v>30</v>
      </c>
      <c r="M2122">
        <f>orders[[#This Row],[Ship Date]]-orders[[#This Row],[Order Date]]</f>
        <v>1</v>
      </c>
      <c r="N2122">
        <f>WEEKNUM(orders[[#This Row],[Order Date]],2)</f>
        <v>12</v>
      </c>
      <c r="O2122" t="str" cm="1">
        <f t="array" ref="O21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23" spans="1:15" x14ac:dyDescent="0.3">
      <c r="A2123" t="s">
        <v>2221</v>
      </c>
      <c r="B2123" t="s">
        <v>23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24</v>
      </c>
      <c r="I2123" t="s">
        <v>32</v>
      </c>
      <c r="J2123">
        <v>5</v>
      </c>
      <c r="K2123" t="s">
        <v>16</v>
      </c>
      <c r="L2123" t="s">
        <v>30</v>
      </c>
      <c r="M2123">
        <f>orders[[#This Row],[Ship Date]]-orders[[#This Row],[Order Date]]</f>
        <v>13</v>
      </c>
      <c r="N2123">
        <f>WEEKNUM(orders[[#This Row],[Order Date]],2)</f>
        <v>12</v>
      </c>
      <c r="O2123" t="str" cm="1">
        <f t="array" ref="O21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24" spans="1:15" x14ac:dyDescent="0.3">
      <c r="A2124" t="s">
        <v>2222</v>
      </c>
      <c r="B2124" t="s">
        <v>29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14</v>
      </c>
      <c r="I2124" t="s">
        <v>32</v>
      </c>
      <c r="J2124">
        <v>5</v>
      </c>
      <c r="K2124" t="s">
        <v>16</v>
      </c>
      <c r="L2124" t="s">
        <v>183</v>
      </c>
      <c r="M2124">
        <f>orders[[#This Row],[Ship Date]]-orders[[#This Row],[Order Date]]</f>
        <v>1</v>
      </c>
      <c r="N2124">
        <f>WEEKNUM(orders[[#This Row],[Order Date]],2)</f>
        <v>12</v>
      </c>
      <c r="O2124" t="str" cm="1">
        <f t="array" ref="O212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125" spans="1:15" x14ac:dyDescent="0.3">
      <c r="A2125" t="s">
        <v>2223</v>
      </c>
      <c r="B2125" t="s">
        <v>143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20</v>
      </c>
      <c r="I2125" t="s">
        <v>48</v>
      </c>
      <c r="J2125">
        <v>5</v>
      </c>
      <c r="K2125" t="s">
        <v>16</v>
      </c>
      <c r="L2125" t="s">
        <v>183</v>
      </c>
      <c r="M2125">
        <f>orders[[#This Row],[Ship Date]]-orders[[#This Row],[Order Date]]</f>
        <v>1</v>
      </c>
      <c r="N2125">
        <f>WEEKNUM(orders[[#This Row],[Order Date]],2)</f>
        <v>12</v>
      </c>
      <c r="O2125" t="str" cm="1">
        <f t="array" ref="O21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26" spans="1:15" x14ac:dyDescent="0.3">
      <c r="A2126" t="s">
        <v>2224</v>
      </c>
      <c r="B2126" t="s">
        <v>41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24</v>
      </c>
      <c r="I2126" t="s">
        <v>15</v>
      </c>
      <c r="J2126">
        <v>4</v>
      </c>
      <c r="K2126" t="s">
        <v>16</v>
      </c>
      <c r="L2126" t="s">
        <v>185</v>
      </c>
      <c r="M2126">
        <f>orders[[#This Row],[Ship Date]]-orders[[#This Row],[Order Date]]</f>
        <v>3</v>
      </c>
      <c r="N2126">
        <f>WEEKNUM(orders[[#This Row],[Order Date]],2)</f>
        <v>12</v>
      </c>
      <c r="O2126" t="str" cm="1">
        <f t="array" ref="O21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27" spans="1:15" x14ac:dyDescent="0.3">
      <c r="A2127" t="s">
        <v>2225</v>
      </c>
      <c r="B2127" t="s">
        <v>66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24</v>
      </c>
      <c r="I2127" t="s">
        <v>15</v>
      </c>
      <c r="J2127">
        <v>5</v>
      </c>
      <c r="K2127" t="s">
        <v>16</v>
      </c>
      <c r="L2127" t="s">
        <v>155</v>
      </c>
      <c r="M2127">
        <f>orders[[#This Row],[Ship Date]]-orders[[#This Row],[Order Date]]</f>
        <v>3</v>
      </c>
      <c r="N2127">
        <f>WEEKNUM(orders[[#This Row],[Order Date]],2)</f>
        <v>12</v>
      </c>
      <c r="O2127" t="str" cm="1">
        <f t="array" ref="O21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28" spans="1:15" x14ac:dyDescent="0.3">
      <c r="A2128" t="s">
        <v>2226</v>
      </c>
      <c r="B2128" t="s">
        <v>29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24</v>
      </c>
      <c r="I2128" t="s">
        <v>32</v>
      </c>
      <c r="J2128">
        <v>5</v>
      </c>
      <c r="K2128" t="s">
        <v>16</v>
      </c>
      <c r="L2128" t="s">
        <v>52</v>
      </c>
      <c r="M2128">
        <f>orders[[#This Row],[Ship Date]]-orders[[#This Row],[Order Date]]</f>
        <v>0</v>
      </c>
      <c r="N2128">
        <f>WEEKNUM(orders[[#This Row],[Order Date]],2)</f>
        <v>12</v>
      </c>
      <c r="O2128" t="str" cm="1">
        <f t="array" ref="O21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29" spans="1:15" x14ac:dyDescent="0.3">
      <c r="A2129" t="s">
        <v>2227</v>
      </c>
      <c r="B2129" t="s">
        <v>120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24</v>
      </c>
      <c r="I2129" t="s">
        <v>48</v>
      </c>
      <c r="J2129">
        <v>5</v>
      </c>
      <c r="K2129" t="s">
        <v>16</v>
      </c>
      <c r="L2129" t="s">
        <v>56</v>
      </c>
      <c r="M2129">
        <f>orders[[#This Row],[Ship Date]]-orders[[#This Row],[Order Date]]</f>
        <v>6</v>
      </c>
      <c r="N2129">
        <f>WEEKNUM(orders[[#This Row],[Order Date]],2)</f>
        <v>12</v>
      </c>
      <c r="O2129" t="str" cm="1">
        <f t="array" ref="O21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30" spans="1:15" x14ac:dyDescent="0.3">
      <c r="A2130" t="s">
        <v>2228</v>
      </c>
      <c r="B2130" t="s">
        <v>41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20</v>
      </c>
      <c r="I2130" t="s">
        <v>15</v>
      </c>
      <c r="J2130">
        <v>4</v>
      </c>
      <c r="K2130" t="s">
        <v>16</v>
      </c>
      <c r="L2130" t="s">
        <v>59</v>
      </c>
      <c r="M2130">
        <f>orders[[#This Row],[Ship Date]]-orders[[#This Row],[Order Date]]</f>
        <v>1</v>
      </c>
      <c r="N2130">
        <f>WEEKNUM(orders[[#This Row],[Order Date]],2)</f>
        <v>12</v>
      </c>
      <c r="O2130" t="str" cm="1">
        <f t="array" ref="O213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31" spans="1:15" x14ac:dyDescent="0.3">
      <c r="A2131" t="s">
        <v>2229</v>
      </c>
      <c r="B2131" t="s">
        <v>19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24</v>
      </c>
      <c r="I2131" t="s">
        <v>32</v>
      </c>
      <c r="J2131">
        <v>5</v>
      </c>
      <c r="K2131" t="s">
        <v>16</v>
      </c>
      <c r="L2131" t="s">
        <v>59</v>
      </c>
      <c r="M2131">
        <f>orders[[#This Row],[Ship Date]]-orders[[#This Row],[Order Date]]</f>
        <v>1</v>
      </c>
      <c r="N2131">
        <f>WEEKNUM(orders[[#This Row],[Order Date]],2)</f>
        <v>12</v>
      </c>
      <c r="O2131" t="str" cm="1">
        <f t="array" ref="O21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32" spans="1:15" x14ac:dyDescent="0.3">
      <c r="A2132" t="s">
        <v>2230</v>
      </c>
      <c r="B2132" t="s">
        <v>41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14</v>
      </c>
      <c r="I2132" t="s">
        <v>37</v>
      </c>
      <c r="J2132">
        <v>3</v>
      </c>
      <c r="K2132" t="s">
        <v>16</v>
      </c>
      <c r="L2132" t="s">
        <v>59</v>
      </c>
      <c r="M2132">
        <f>orders[[#This Row],[Ship Date]]-orders[[#This Row],[Order Date]]</f>
        <v>4</v>
      </c>
      <c r="N2132">
        <f>WEEKNUM(orders[[#This Row],[Order Date]],2)</f>
        <v>12</v>
      </c>
      <c r="O2132" t="str" cm="1">
        <f t="array" ref="O213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133" spans="1:15" x14ac:dyDescent="0.3">
      <c r="A2133" t="s">
        <v>2231</v>
      </c>
      <c r="B2133" t="s">
        <v>41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24</v>
      </c>
      <c r="I2133" t="s">
        <v>15</v>
      </c>
      <c r="J2133">
        <v>4</v>
      </c>
      <c r="K2133" t="s">
        <v>16</v>
      </c>
      <c r="L2133" t="s">
        <v>59</v>
      </c>
      <c r="M2133">
        <f>orders[[#This Row],[Ship Date]]-orders[[#This Row],[Order Date]]</f>
        <v>3</v>
      </c>
      <c r="N2133">
        <f>WEEKNUM(orders[[#This Row],[Order Date]],2)</f>
        <v>12</v>
      </c>
      <c r="O2133" t="str" cm="1">
        <f t="array" ref="O21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34" spans="1:15" x14ac:dyDescent="0.3">
      <c r="A2134" t="s">
        <v>2232</v>
      </c>
      <c r="B2134" t="s">
        <v>41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20</v>
      </c>
      <c r="I2134" t="s">
        <v>15</v>
      </c>
      <c r="J2134">
        <v>4</v>
      </c>
      <c r="K2134" t="s">
        <v>16</v>
      </c>
      <c r="L2134" t="s">
        <v>59</v>
      </c>
      <c r="M2134">
        <f>orders[[#This Row],[Ship Date]]-orders[[#This Row],[Order Date]]</f>
        <v>1</v>
      </c>
      <c r="N2134">
        <f>WEEKNUM(orders[[#This Row],[Order Date]],2)</f>
        <v>12</v>
      </c>
      <c r="O2134" t="str" cm="1">
        <f t="array" ref="O21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35" spans="1:15" x14ac:dyDescent="0.3">
      <c r="A2135" t="s">
        <v>2233</v>
      </c>
      <c r="B2135" t="s">
        <v>73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20</v>
      </c>
      <c r="I2135" t="s">
        <v>37</v>
      </c>
      <c r="J2135">
        <v>2</v>
      </c>
      <c r="K2135" t="s">
        <v>16</v>
      </c>
      <c r="L2135" t="s">
        <v>59</v>
      </c>
      <c r="M2135">
        <f>orders[[#This Row],[Ship Date]]-orders[[#This Row],[Order Date]]</f>
        <v>6</v>
      </c>
      <c r="N2135">
        <f>WEEKNUM(orders[[#This Row],[Order Date]],2)</f>
        <v>12</v>
      </c>
      <c r="O2135" t="str" cm="1">
        <f t="array" ref="O21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36" spans="1:15" x14ac:dyDescent="0.3">
      <c r="A2136" t="s">
        <v>2234</v>
      </c>
      <c r="B2136" t="s">
        <v>23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20</v>
      </c>
      <c r="I2136" t="s">
        <v>48</v>
      </c>
      <c r="J2136">
        <v>3</v>
      </c>
      <c r="K2136" t="s">
        <v>16</v>
      </c>
      <c r="L2136" t="s">
        <v>59</v>
      </c>
      <c r="M2136">
        <f>orders[[#This Row],[Ship Date]]-orders[[#This Row],[Order Date]]</f>
        <v>1</v>
      </c>
      <c r="N2136">
        <f>WEEKNUM(orders[[#This Row],[Order Date]],2)</f>
        <v>12</v>
      </c>
      <c r="O2136" t="str" cm="1">
        <f t="array" ref="O21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37" spans="1:15" x14ac:dyDescent="0.3">
      <c r="A2137" t="s">
        <v>2235</v>
      </c>
      <c r="B2137" t="s">
        <v>27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20</v>
      </c>
      <c r="I2137" t="s">
        <v>32</v>
      </c>
      <c r="J2137">
        <v>3</v>
      </c>
      <c r="K2137" t="s">
        <v>16</v>
      </c>
      <c r="L2137" t="s">
        <v>100</v>
      </c>
      <c r="M2137">
        <f>orders[[#This Row],[Ship Date]]-orders[[#This Row],[Order Date]]</f>
        <v>2</v>
      </c>
      <c r="N2137">
        <f>WEEKNUM(orders[[#This Row],[Order Date]],2)</f>
        <v>12</v>
      </c>
      <c r="O2137" t="str" cm="1">
        <f t="array" ref="O21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38" spans="1:15" x14ac:dyDescent="0.3">
      <c r="A2138" t="s">
        <v>2236</v>
      </c>
      <c r="B2138" t="s">
        <v>19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20</v>
      </c>
      <c r="I2138" t="s">
        <v>32</v>
      </c>
      <c r="J2138">
        <v>2</v>
      </c>
      <c r="K2138" t="s">
        <v>16</v>
      </c>
      <c r="L2138" t="s">
        <v>74</v>
      </c>
      <c r="M2138">
        <f>orders[[#This Row],[Ship Date]]-orders[[#This Row],[Order Date]]</f>
        <v>1</v>
      </c>
      <c r="N2138">
        <f>WEEKNUM(orders[[#This Row],[Order Date]],2)</f>
        <v>12</v>
      </c>
      <c r="O2138" t="str" cm="1">
        <f t="array" ref="O213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39" spans="1:15" x14ac:dyDescent="0.3">
      <c r="A2139" t="s">
        <v>2237</v>
      </c>
      <c r="B2139" t="s">
        <v>23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20</v>
      </c>
      <c r="I2139" t="s">
        <v>15</v>
      </c>
      <c r="J2139">
        <v>4</v>
      </c>
      <c r="K2139" t="s">
        <v>16</v>
      </c>
      <c r="L2139" t="s">
        <v>74</v>
      </c>
      <c r="M2139">
        <f>orders[[#This Row],[Ship Date]]-orders[[#This Row],[Order Date]]</f>
        <v>3</v>
      </c>
      <c r="N2139">
        <f>WEEKNUM(orders[[#This Row],[Order Date]],2)</f>
        <v>12</v>
      </c>
      <c r="O2139" t="str" cm="1">
        <f t="array" ref="O213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40" spans="1:15" x14ac:dyDescent="0.3">
      <c r="A2140" t="s">
        <v>2238</v>
      </c>
      <c r="B2140" t="s">
        <v>41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24</v>
      </c>
      <c r="I2140" t="s">
        <v>32</v>
      </c>
      <c r="J2140">
        <v>5</v>
      </c>
      <c r="K2140" t="s">
        <v>16</v>
      </c>
      <c r="L2140" t="s">
        <v>1113</v>
      </c>
      <c r="M2140">
        <f>orders[[#This Row],[Ship Date]]-orders[[#This Row],[Order Date]]</f>
        <v>1</v>
      </c>
      <c r="N2140">
        <f>WEEKNUM(orders[[#This Row],[Order Date]],2)</f>
        <v>12</v>
      </c>
      <c r="O2140" t="str" cm="1">
        <f t="array" ref="O214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41" spans="1:15" x14ac:dyDescent="0.3">
      <c r="A2141" t="s">
        <v>2239</v>
      </c>
      <c r="B2141" t="s">
        <v>29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24</v>
      </c>
      <c r="I2141" t="s">
        <v>67</v>
      </c>
      <c r="J2141">
        <v>5</v>
      </c>
      <c r="K2141" t="s">
        <v>16</v>
      </c>
      <c r="L2141" t="s">
        <v>112</v>
      </c>
      <c r="M2141">
        <f>orders[[#This Row],[Ship Date]]-orders[[#This Row],[Order Date]]</f>
        <v>1</v>
      </c>
      <c r="N2141">
        <f>WEEKNUM(orders[[#This Row],[Order Date]],2)</f>
        <v>12</v>
      </c>
      <c r="O2141" t="str" cm="1">
        <f t="array" ref="O21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42" spans="1:15" x14ac:dyDescent="0.3">
      <c r="A2142" t="s">
        <v>2240</v>
      </c>
      <c r="B2142" t="s">
        <v>51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20</v>
      </c>
      <c r="I2142" t="s">
        <v>67</v>
      </c>
      <c r="J2142">
        <v>3</v>
      </c>
      <c r="K2142" t="s">
        <v>16</v>
      </c>
      <c r="L2142" t="s">
        <v>30</v>
      </c>
      <c r="M2142">
        <f>orders[[#This Row],[Ship Date]]-orders[[#This Row],[Order Date]]</f>
        <v>1</v>
      </c>
      <c r="N2142">
        <f>WEEKNUM(orders[[#This Row],[Order Date]],2)</f>
        <v>12</v>
      </c>
      <c r="O2142" t="str" cm="1">
        <f t="array" ref="O21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43" spans="1:15" x14ac:dyDescent="0.3">
      <c r="A2143" t="s">
        <v>2241</v>
      </c>
      <c r="B2143" t="s">
        <v>27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20</v>
      </c>
      <c r="I2143" t="s">
        <v>48</v>
      </c>
      <c r="J2143">
        <v>4</v>
      </c>
      <c r="K2143" t="s">
        <v>16</v>
      </c>
      <c r="L2143" t="s">
        <v>30</v>
      </c>
      <c r="M2143">
        <f>orders[[#This Row],[Ship Date]]-orders[[#This Row],[Order Date]]</f>
        <v>3</v>
      </c>
      <c r="N2143">
        <f>WEEKNUM(orders[[#This Row],[Order Date]],2)</f>
        <v>12</v>
      </c>
      <c r="O2143" t="str" cm="1">
        <f t="array" ref="O21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44" spans="1:15" x14ac:dyDescent="0.3">
      <c r="A2144" t="s">
        <v>2242</v>
      </c>
      <c r="B2144" t="s">
        <v>39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20</v>
      </c>
      <c r="I2144" t="s">
        <v>32</v>
      </c>
      <c r="J2144">
        <v>5</v>
      </c>
      <c r="K2144" t="s">
        <v>16</v>
      </c>
      <c r="L2144" t="s">
        <v>30</v>
      </c>
      <c r="M2144">
        <f>orders[[#This Row],[Ship Date]]-orders[[#This Row],[Order Date]]</f>
        <v>1</v>
      </c>
      <c r="N2144">
        <f>WEEKNUM(orders[[#This Row],[Order Date]],2)</f>
        <v>12</v>
      </c>
      <c r="O2144" t="str" cm="1">
        <f t="array" ref="O21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45" spans="1:15" x14ac:dyDescent="0.3">
      <c r="A2145" t="s">
        <v>2243</v>
      </c>
      <c r="B2145" t="s">
        <v>13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24</v>
      </c>
      <c r="I2145" t="s">
        <v>37</v>
      </c>
      <c r="J2145">
        <v>3</v>
      </c>
      <c r="K2145" t="s">
        <v>16</v>
      </c>
      <c r="L2145" t="s">
        <v>30</v>
      </c>
      <c r="M2145">
        <f>orders[[#This Row],[Ship Date]]-orders[[#This Row],[Order Date]]</f>
        <v>1</v>
      </c>
      <c r="N2145">
        <f>WEEKNUM(orders[[#This Row],[Order Date]],2)</f>
        <v>12</v>
      </c>
      <c r="O2145" t="str" cm="1">
        <f t="array" ref="O21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46" spans="1:15" x14ac:dyDescent="0.3">
      <c r="A2146" t="s">
        <v>2244</v>
      </c>
      <c r="B2146" t="s">
        <v>41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20</v>
      </c>
      <c r="I2146" t="s">
        <v>15</v>
      </c>
      <c r="J2146">
        <v>4</v>
      </c>
      <c r="K2146" t="s">
        <v>16</v>
      </c>
      <c r="L2146" t="s">
        <v>30</v>
      </c>
      <c r="M2146">
        <f>orders[[#This Row],[Ship Date]]-orders[[#This Row],[Order Date]]</f>
        <v>1</v>
      </c>
      <c r="N2146">
        <f>WEEKNUM(orders[[#This Row],[Order Date]],2)</f>
        <v>12</v>
      </c>
      <c r="O2146" t="str" cm="1">
        <f t="array" ref="O21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47" spans="1:15" x14ac:dyDescent="0.3">
      <c r="A2147" t="s">
        <v>2245</v>
      </c>
      <c r="B2147" t="s">
        <v>43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24</v>
      </c>
      <c r="I2147" t="s">
        <v>48</v>
      </c>
      <c r="J2147">
        <v>5</v>
      </c>
      <c r="K2147" t="s">
        <v>16</v>
      </c>
      <c r="L2147" t="s">
        <v>30</v>
      </c>
      <c r="M2147">
        <f>orders[[#This Row],[Ship Date]]-orders[[#This Row],[Order Date]]</f>
        <v>3</v>
      </c>
      <c r="N2147">
        <f>WEEKNUM(orders[[#This Row],[Order Date]],2)</f>
        <v>12</v>
      </c>
      <c r="O2147" t="str" cm="1">
        <f t="array" ref="O21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48" spans="1:15" x14ac:dyDescent="0.3">
      <c r="A2148" t="s">
        <v>2246</v>
      </c>
      <c r="B2148" t="s">
        <v>19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24</v>
      </c>
      <c r="I2148" t="s">
        <v>15</v>
      </c>
      <c r="J2148">
        <v>4</v>
      </c>
      <c r="K2148" t="s">
        <v>16</v>
      </c>
      <c r="L2148" t="s">
        <v>30</v>
      </c>
      <c r="M2148">
        <f>orders[[#This Row],[Ship Date]]-orders[[#This Row],[Order Date]]</f>
        <v>14</v>
      </c>
      <c r="N2148">
        <f>WEEKNUM(orders[[#This Row],[Order Date]],2)</f>
        <v>12</v>
      </c>
      <c r="O2148" t="str" cm="1">
        <f t="array" ref="O21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49" spans="1:15" x14ac:dyDescent="0.3">
      <c r="A2149" t="s">
        <v>2247</v>
      </c>
      <c r="B2149" t="s">
        <v>19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20</v>
      </c>
      <c r="I2149" t="s">
        <v>15</v>
      </c>
      <c r="J2149">
        <v>5</v>
      </c>
      <c r="K2149" t="s">
        <v>16</v>
      </c>
      <c r="L2149" t="s">
        <v>30</v>
      </c>
      <c r="M2149">
        <f>orders[[#This Row],[Ship Date]]-orders[[#This Row],[Order Date]]</f>
        <v>0</v>
      </c>
      <c r="N2149">
        <f>WEEKNUM(orders[[#This Row],[Order Date]],2)</f>
        <v>12</v>
      </c>
      <c r="O2149" t="str" cm="1">
        <f t="array" ref="O214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50" spans="1:15" x14ac:dyDescent="0.3">
      <c r="A2150" t="s">
        <v>2248</v>
      </c>
      <c r="B2150" t="s">
        <v>66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24</v>
      </c>
      <c r="I2150" t="s">
        <v>48</v>
      </c>
      <c r="J2150">
        <v>5</v>
      </c>
      <c r="K2150" t="s">
        <v>16</v>
      </c>
      <c r="L2150" t="s">
        <v>30</v>
      </c>
      <c r="M2150">
        <f>orders[[#This Row],[Ship Date]]-orders[[#This Row],[Order Date]]</f>
        <v>8</v>
      </c>
      <c r="N2150">
        <f>WEEKNUM(orders[[#This Row],[Order Date]],2)</f>
        <v>12</v>
      </c>
      <c r="O2150" t="str" cm="1">
        <f t="array" ref="O215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51" spans="1:15" x14ac:dyDescent="0.3">
      <c r="A2151" t="s">
        <v>2249</v>
      </c>
      <c r="B2151" t="s">
        <v>19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20</v>
      </c>
      <c r="I2151" t="s">
        <v>48</v>
      </c>
      <c r="J2151">
        <v>4</v>
      </c>
      <c r="K2151" t="s">
        <v>16</v>
      </c>
      <c r="L2151" t="s">
        <v>30</v>
      </c>
      <c r="M2151">
        <f>orders[[#This Row],[Ship Date]]-orders[[#This Row],[Order Date]]</f>
        <v>3</v>
      </c>
      <c r="N2151">
        <f>WEEKNUM(orders[[#This Row],[Order Date]],2)</f>
        <v>12</v>
      </c>
      <c r="O2151" t="str" cm="1">
        <f t="array" ref="O215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52" spans="1:15" x14ac:dyDescent="0.3">
      <c r="A2152" t="s">
        <v>2250</v>
      </c>
      <c r="B2152" t="s">
        <v>41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24</v>
      </c>
      <c r="I2152" t="s">
        <v>67</v>
      </c>
      <c r="J2152">
        <v>3</v>
      </c>
      <c r="K2152" t="s">
        <v>16</v>
      </c>
      <c r="L2152" t="s">
        <v>542</v>
      </c>
      <c r="M2152">
        <f>orders[[#This Row],[Ship Date]]-orders[[#This Row],[Order Date]]</f>
        <v>1</v>
      </c>
      <c r="N2152">
        <f>WEEKNUM(orders[[#This Row],[Order Date]],2)</f>
        <v>12</v>
      </c>
      <c r="O2152" t="str" cm="1">
        <f t="array" ref="O21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53" spans="1:15" x14ac:dyDescent="0.3">
      <c r="A2153" t="s">
        <v>2251</v>
      </c>
      <c r="B2153" t="s">
        <v>36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24</v>
      </c>
      <c r="I2153" t="s">
        <v>67</v>
      </c>
      <c r="J2153">
        <v>5</v>
      </c>
      <c r="K2153" t="s">
        <v>16</v>
      </c>
      <c r="L2153" t="s">
        <v>95</v>
      </c>
      <c r="M2153">
        <f>orders[[#This Row],[Ship Date]]-orders[[#This Row],[Order Date]]</f>
        <v>0</v>
      </c>
      <c r="N2153">
        <f>WEEKNUM(orders[[#This Row],[Order Date]],2)</f>
        <v>12</v>
      </c>
      <c r="O2153" t="str" cm="1">
        <f t="array" ref="O21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54" spans="1:15" x14ac:dyDescent="0.3">
      <c r="A2154" t="s">
        <v>2252</v>
      </c>
      <c r="B2154" t="s">
        <v>73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24</v>
      </c>
      <c r="I2154" t="s">
        <v>15</v>
      </c>
      <c r="J2154">
        <v>5</v>
      </c>
      <c r="K2154" t="s">
        <v>16</v>
      </c>
      <c r="L2154" t="s">
        <v>46</v>
      </c>
      <c r="M2154">
        <f>orders[[#This Row],[Ship Date]]-orders[[#This Row],[Order Date]]</f>
        <v>1</v>
      </c>
      <c r="N2154">
        <f>WEEKNUM(orders[[#This Row],[Order Date]],2)</f>
        <v>12</v>
      </c>
      <c r="O2154" t="str" cm="1">
        <f t="array" ref="O21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55" spans="1:15" x14ac:dyDescent="0.3">
      <c r="A2155" t="s">
        <v>2253</v>
      </c>
      <c r="B2155" t="s">
        <v>13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24</v>
      </c>
      <c r="I2155" t="s">
        <v>32</v>
      </c>
      <c r="J2155">
        <v>5</v>
      </c>
      <c r="K2155" t="s">
        <v>16</v>
      </c>
      <c r="L2155" t="s">
        <v>185</v>
      </c>
      <c r="M2155">
        <f>orders[[#This Row],[Ship Date]]-orders[[#This Row],[Order Date]]</f>
        <v>1</v>
      </c>
      <c r="N2155">
        <f>WEEKNUM(orders[[#This Row],[Order Date]],2)</f>
        <v>12</v>
      </c>
      <c r="O2155" t="str" cm="1">
        <f t="array" ref="O215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56" spans="1:15" x14ac:dyDescent="0.3">
      <c r="A2156" t="s">
        <v>2254</v>
      </c>
      <c r="B2156" t="s">
        <v>29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20</v>
      </c>
      <c r="I2156" t="s">
        <v>32</v>
      </c>
      <c r="J2156">
        <v>5</v>
      </c>
      <c r="K2156" t="s">
        <v>16</v>
      </c>
      <c r="L2156" t="s">
        <v>185</v>
      </c>
      <c r="M2156">
        <f>orders[[#This Row],[Ship Date]]-orders[[#This Row],[Order Date]]</f>
        <v>3</v>
      </c>
      <c r="N2156">
        <f>WEEKNUM(orders[[#This Row],[Order Date]],2)</f>
        <v>12</v>
      </c>
      <c r="O2156" t="str" cm="1">
        <f t="array" ref="O215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57" spans="1:15" x14ac:dyDescent="0.3">
      <c r="A2157" t="s">
        <v>2255</v>
      </c>
      <c r="B2157" t="s">
        <v>36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20</v>
      </c>
      <c r="I2157" t="s">
        <v>32</v>
      </c>
      <c r="J2157">
        <v>4</v>
      </c>
      <c r="K2157" t="s">
        <v>16</v>
      </c>
      <c r="L2157" t="s">
        <v>52</v>
      </c>
      <c r="M2157">
        <f>orders[[#This Row],[Ship Date]]-orders[[#This Row],[Order Date]]</f>
        <v>1</v>
      </c>
      <c r="N2157">
        <f>WEEKNUM(orders[[#This Row],[Order Date]],2)</f>
        <v>12</v>
      </c>
      <c r="O2157" t="str" cm="1">
        <f t="array" ref="O215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58" spans="1:15" x14ac:dyDescent="0.3">
      <c r="A2158" t="s">
        <v>2256</v>
      </c>
      <c r="B2158" t="s">
        <v>29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24</v>
      </c>
      <c r="I2158" t="s">
        <v>15</v>
      </c>
      <c r="J2158">
        <v>4</v>
      </c>
      <c r="K2158" t="s">
        <v>16</v>
      </c>
      <c r="L2158" t="s">
        <v>52</v>
      </c>
      <c r="M2158">
        <f>orders[[#This Row],[Ship Date]]-orders[[#This Row],[Order Date]]</f>
        <v>2</v>
      </c>
      <c r="N2158">
        <f>WEEKNUM(orders[[#This Row],[Order Date]],2)</f>
        <v>12</v>
      </c>
      <c r="O2158" t="str" cm="1">
        <f t="array" ref="O21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59" spans="1:15" x14ac:dyDescent="0.3">
      <c r="A2159" t="s">
        <v>2257</v>
      </c>
      <c r="B2159" t="s">
        <v>19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24</v>
      </c>
      <c r="I2159" t="s">
        <v>37</v>
      </c>
      <c r="J2159">
        <v>5</v>
      </c>
      <c r="K2159" t="s">
        <v>16</v>
      </c>
      <c r="L2159" t="s">
        <v>56</v>
      </c>
      <c r="M2159">
        <f>orders[[#This Row],[Ship Date]]-orders[[#This Row],[Order Date]]</f>
        <v>1</v>
      </c>
      <c r="N2159">
        <f>WEEKNUM(orders[[#This Row],[Order Date]],2)</f>
        <v>12</v>
      </c>
      <c r="O2159" t="str" cm="1">
        <f t="array" ref="O21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60" spans="1:15" x14ac:dyDescent="0.3">
      <c r="A2160" t="s">
        <v>2258</v>
      </c>
      <c r="B2160" t="s">
        <v>27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14</v>
      </c>
      <c r="I2160" t="s">
        <v>15</v>
      </c>
      <c r="J2160">
        <v>5</v>
      </c>
      <c r="K2160" t="s">
        <v>16</v>
      </c>
      <c r="L2160" t="s">
        <v>56</v>
      </c>
      <c r="M2160">
        <f>orders[[#This Row],[Ship Date]]-orders[[#This Row],[Order Date]]</f>
        <v>3</v>
      </c>
      <c r="N2160">
        <f>WEEKNUM(orders[[#This Row],[Order Date]],2)</f>
        <v>12</v>
      </c>
      <c r="O2160" t="str" cm="1">
        <f t="array" ref="O216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161" spans="1:15" x14ac:dyDescent="0.3">
      <c r="A2161" t="s">
        <v>2259</v>
      </c>
      <c r="B2161" t="s">
        <v>34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20</v>
      </c>
      <c r="I2161" t="s">
        <v>67</v>
      </c>
      <c r="J2161">
        <v>4</v>
      </c>
      <c r="K2161" t="s">
        <v>16</v>
      </c>
      <c r="L2161" t="s">
        <v>56</v>
      </c>
      <c r="M2161">
        <f>orders[[#This Row],[Ship Date]]-orders[[#This Row],[Order Date]]</f>
        <v>1</v>
      </c>
      <c r="N2161">
        <f>WEEKNUM(orders[[#This Row],[Order Date]],2)</f>
        <v>12</v>
      </c>
      <c r="O2161" t="str" cm="1">
        <f t="array" ref="O216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62" spans="1:15" x14ac:dyDescent="0.3">
      <c r="A2162" t="s">
        <v>2260</v>
      </c>
      <c r="B2162" t="s">
        <v>36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24</v>
      </c>
      <c r="I2162" t="s">
        <v>15</v>
      </c>
      <c r="J2162">
        <v>4</v>
      </c>
      <c r="K2162" t="s">
        <v>16</v>
      </c>
      <c r="L2162" t="s">
        <v>59</v>
      </c>
      <c r="M2162">
        <f>orders[[#This Row],[Ship Date]]-orders[[#This Row],[Order Date]]</f>
        <v>1</v>
      </c>
      <c r="N2162">
        <f>WEEKNUM(orders[[#This Row],[Order Date]],2)</f>
        <v>12</v>
      </c>
      <c r="O2162" t="str" cm="1">
        <f t="array" ref="O21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63" spans="1:15" x14ac:dyDescent="0.3">
      <c r="A2163" t="s">
        <v>2261</v>
      </c>
      <c r="B2163" t="s">
        <v>19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20</v>
      </c>
      <c r="I2163" t="s">
        <v>15</v>
      </c>
      <c r="J2163">
        <v>4</v>
      </c>
      <c r="K2163" t="s">
        <v>16</v>
      </c>
      <c r="L2163" t="s">
        <v>59</v>
      </c>
      <c r="M2163">
        <f>orders[[#This Row],[Ship Date]]-orders[[#This Row],[Order Date]]</f>
        <v>1</v>
      </c>
      <c r="N2163">
        <f>WEEKNUM(orders[[#This Row],[Order Date]],2)</f>
        <v>12</v>
      </c>
      <c r="O2163" t="str" cm="1">
        <f t="array" ref="O21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64" spans="1:15" x14ac:dyDescent="0.3">
      <c r="A2164" t="s">
        <v>2262</v>
      </c>
      <c r="B2164" t="s">
        <v>41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20</v>
      </c>
      <c r="I2164" t="s">
        <v>37</v>
      </c>
      <c r="J2164">
        <v>5</v>
      </c>
      <c r="K2164" t="s">
        <v>16</v>
      </c>
      <c r="L2164" t="s">
        <v>59</v>
      </c>
      <c r="M2164">
        <f>orders[[#This Row],[Ship Date]]-orders[[#This Row],[Order Date]]</f>
        <v>2</v>
      </c>
      <c r="N2164">
        <f>WEEKNUM(orders[[#This Row],[Order Date]],2)</f>
        <v>12</v>
      </c>
      <c r="O2164" t="str" cm="1">
        <f t="array" ref="O21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65" spans="1:15" x14ac:dyDescent="0.3">
      <c r="A2165" t="s">
        <v>2263</v>
      </c>
      <c r="B2165" t="s">
        <v>36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20</v>
      </c>
      <c r="I2165" t="s">
        <v>48</v>
      </c>
      <c r="J2165">
        <v>5</v>
      </c>
      <c r="K2165" t="s">
        <v>16</v>
      </c>
      <c r="L2165" t="s">
        <v>59</v>
      </c>
      <c r="M2165">
        <f>orders[[#This Row],[Ship Date]]-orders[[#This Row],[Order Date]]</f>
        <v>0</v>
      </c>
      <c r="N2165">
        <f>WEEKNUM(orders[[#This Row],[Order Date]],2)</f>
        <v>12</v>
      </c>
      <c r="O2165" t="str" cm="1">
        <f t="array" ref="O21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66" spans="1:15" x14ac:dyDescent="0.3">
      <c r="A2166" t="s">
        <v>2264</v>
      </c>
      <c r="B2166" t="s">
        <v>51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20</v>
      </c>
      <c r="I2166" t="s">
        <v>67</v>
      </c>
      <c r="J2166">
        <v>4</v>
      </c>
      <c r="K2166" t="s">
        <v>16</v>
      </c>
      <c r="L2166" t="s">
        <v>59</v>
      </c>
      <c r="M2166">
        <f>orders[[#This Row],[Ship Date]]-orders[[#This Row],[Order Date]]</f>
        <v>1</v>
      </c>
      <c r="N2166">
        <f>WEEKNUM(orders[[#This Row],[Order Date]],2)</f>
        <v>12</v>
      </c>
      <c r="O2166" t="str" cm="1">
        <f t="array" ref="O21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67" spans="1:15" x14ac:dyDescent="0.3">
      <c r="A2167" t="s">
        <v>2265</v>
      </c>
      <c r="B2167" t="s">
        <v>36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20</v>
      </c>
      <c r="I2167" t="s">
        <v>67</v>
      </c>
      <c r="J2167">
        <v>5</v>
      </c>
      <c r="K2167" t="s">
        <v>16</v>
      </c>
      <c r="L2167" t="s">
        <v>59</v>
      </c>
      <c r="M2167">
        <f>orders[[#This Row],[Ship Date]]-orders[[#This Row],[Order Date]]</f>
        <v>2</v>
      </c>
      <c r="N2167">
        <f>WEEKNUM(orders[[#This Row],[Order Date]],2)</f>
        <v>12</v>
      </c>
      <c r="O2167" t="str" cm="1">
        <f t="array" ref="O216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68" spans="1:15" x14ac:dyDescent="0.3">
      <c r="A2168" t="s">
        <v>2266</v>
      </c>
      <c r="B2168" t="s">
        <v>66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14</v>
      </c>
      <c r="I2168" t="s">
        <v>32</v>
      </c>
      <c r="J2168">
        <v>3</v>
      </c>
      <c r="K2168" t="s">
        <v>16</v>
      </c>
      <c r="L2168" t="s">
        <v>105</v>
      </c>
      <c r="M2168">
        <f>orders[[#This Row],[Ship Date]]-orders[[#This Row],[Order Date]]</f>
        <v>6</v>
      </c>
      <c r="N2168">
        <f>WEEKNUM(orders[[#This Row],[Order Date]],2)</f>
        <v>12</v>
      </c>
      <c r="O2168" t="str" cm="1">
        <f t="array" ref="O2168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169" spans="1:15" x14ac:dyDescent="0.3">
      <c r="A2169" t="s">
        <v>2267</v>
      </c>
      <c r="B2169" t="s">
        <v>36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24</v>
      </c>
      <c r="I2169" t="s">
        <v>37</v>
      </c>
      <c r="J2169">
        <v>4</v>
      </c>
      <c r="K2169" t="s">
        <v>16</v>
      </c>
      <c r="L2169" t="s">
        <v>79</v>
      </c>
      <c r="M2169">
        <f>orders[[#This Row],[Ship Date]]-orders[[#This Row],[Order Date]]</f>
        <v>1</v>
      </c>
      <c r="N2169">
        <f>WEEKNUM(orders[[#This Row],[Order Date]],2)</f>
        <v>12</v>
      </c>
      <c r="O2169" t="str" cm="1">
        <f t="array" ref="O21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70" spans="1:15" x14ac:dyDescent="0.3">
      <c r="A2170" t="s">
        <v>2268</v>
      </c>
      <c r="B2170" t="s">
        <v>36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20</v>
      </c>
      <c r="I2170" t="s">
        <v>32</v>
      </c>
      <c r="J2170">
        <v>5</v>
      </c>
      <c r="K2170" t="s">
        <v>16</v>
      </c>
      <c r="L2170" t="s">
        <v>112</v>
      </c>
      <c r="M2170">
        <f>orders[[#This Row],[Ship Date]]-orders[[#This Row],[Order Date]]</f>
        <v>1</v>
      </c>
      <c r="N2170">
        <f>WEEKNUM(orders[[#This Row],[Order Date]],2)</f>
        <v>12</v>
      </c>
      <c r="O2170" t="str" cm="1">
        <f t="array" ref="O21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71" spans="1:15" x14ac:dyDescent="0.3">
      <c r="A2171" t="s">
        <v>2269</v>
      </c>
      <c r="B2171" t="s">
        <v>143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20</v>
      </c>
      <c r="I2171" t="s">
        <v>48</v>
      </c>
      <c r="J2171">
        <v>4</v>
      </c>
      <c r="K2171" t="s">
        <v>16</v>
      </c>
      <c r="L2171" t="s">
        <v>112</v>
      </c>
      <c r="M2171">
        <f>orders[[#This Row],[Ship Date]]-orders[[#This Row],[Order Date]]</f>
        <v>0</v>
      </c>
      <c r="N2171">
        <f>WEEKNUM(orders[[#This Row],[Order Date]],2)</f>
        <v>12</v>
      </c>
      <c r="O2171" t="str" cm="1">
        <f t="array" ref="O21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72" spans="1:15" x14ac:dyDescent="0.3">
      <c r="A2172" t="s">
        <v>2270</v>
      </c>
      <c r="B2172" t="s">
        <v>23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24</v>
      </c>
      <c r="I2172" t="s">
        <v>32</v>
      </c>
      <c r="J2172">
        <v>3</v>
      </c>
      <c r="K2172" t="s">
        <v>16</v>
      </c>
      <c r="L2172" t="s">
        <v>112</v>
      </c>
      <c r="M2172">
        <f>orders[[#This Row],[Ship Date]]-orders[[#This Row],[Order Date]]</f>
        <v>1</v>
      </c>
      <c r="N2172">
        <f>WEEKNUM(orders[[#This Row],[Order Date]],2)</f>
        <v>12</v>
      </c>
      <c r="O2172" t="str" cm="1">
        <f t="array" ref="O21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73" spans="1:15" x14ac:dyDescent="0.3">
      <c r="A2173" t="s">
        <v>2271</v>
      </c>
      <c r="B2173" t="s">
        <v>39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20</v>
      </c>
      <c r="I2173" t="s">
        <v>48</v>
      </c>
      <c r="J2173">
        <v>3</v>
      </c>
      <c r="K2173" t="s">
        <v>16</v>
      </c>
      <c r="L2173" t="s">
        <v>21</v>
      </c>
      <c r="M2173">
        <f>orders[[#This Row],[Ship Date]]-orders[[#This Row],[Order Date]]</f>
        <v>1</v>
      </c>
      <c r="N2173">
        <f>WEEKNUM(orders[[#This Row],[Order Date]],2)</f>
        <v>12</v>
      </c>
      <c r="O2173" t="str" cm="1">
        <f t="array" ref="O21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74" spans="1:15" x14ac:dyDescent="0.3">
      <c r="A2174" t="s">
        <v>2272</v>
      </c>
      <c r="B2174" t="s">
        <v>23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20</v>
      </c>
      <c r="I2174" t="s">
        <v>37</v>
      </c>
      <c r="J2174">
        <v>4</v>
      </c>
      <c r="K2174" t="s">
        <v>16</v>
      </c>
      <c r="L2174" t="s">
        <v>434</v>
      </c>
      <c r="M2174">
        <f>orders[[#This Row],[Ship Date]]-orders[[#This Row],[Order Date]]</f>
        <v>2</v>
      </c>
      <c r="N2174">
        <f>WEEKNUM(orders[[#This Row],[Order Date]],2)</f>
        <v>12</v>
      </c>
      <c r="O2174" t="str" cm="1">
        <f t="array" ref="O217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75" spans="1:15" x14ac:dyDescent="0.3">
      <c r="A2175" t="s">
        <v>2273</v>
      </c>
      <c r="B2175" t="s">
        <v>168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24</v>
      </c>
      <c r="I2175" t="s">
        <v>67</v>
      </c>
      <c r="J2175">
        <v>5</v>
      </c>
      <c r="K2175" t="s">
        <v>16</v>
      </c>
      <c r="L2175" t="s">
        <v>25</v>
      </c>
      <c r="M2175">
        <f>orders[[#This Row],[Ship Date]]-orders[[#This Row],[Order Date]]</f>
        <v>1</v>
      </c>
      <c r="N2175">
        <f>WEEKNUM(orders[[#This Row],[Order Date]],2)</f>
        <v>12</v>
      </c>
      <c r="O2175" t="str" cm="1">
        <f t="array" ref="O21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76" spans="1:15" x14ac:dyDescent="0.3">
      <c r="A2176" t="s">
        <v>2274</v>
      </c>
      <c r="B2176" t="s">
        <v>41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24</v>
      </c>
      <c r="I2176" t="s">
        <v>37</v>
      </c>
      <c r="J2176">
        <v>4</v>
      </c>
      <c r="K2176" t="s">
        <v>16</v>
      </c>
      <c r="L2176" t="s">
        <v>144</v>
      </c>
      <c r="M2176">
        <f>orders[[#This Row],[Ship Date]]-orders[[#This Row],[Order Date]]</f>
        <v>3</v>
      </c>
      <c r="N2176">
        <f>WEEKNUM(orders[[#This Row],[Order Date]],2)</f>
        <v>12</v>
      </c>
      <c r="O2176" t="str" cm="1">
        <f t="array" ref="O217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77" spans="1:15" x14ac:dyDescent="0.3">
      <c r="A2177" t="s">
        <v>2275</v>
      </c>
      <c r="B2177" t="s">
        <v>51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20</v>
      </c>
      <c r="I2177" t="s">
        <v>15</v>
      </c>
      <c r="J2177">
        <v>5</v>
      </c>
      <c r="K2177" t="s">
        <v>16</v>
      </c>
      <c r="L2177" t="s">
        <v>144</v>
      </c>
      <c r="M2177">
        <f>orders[[#This Row],[Ship Date]]-orders[[#This Row],[Order Date]]</f>
        <v>3</v>
      </c>
      <c r="N2177">
        <f>WEEKNUM(orders[[#This Row],[Order Date]],2)</f>
        <v>12</v>
      </c>
      <c r="O2177" t="str" cm="1">
        <f t="array" ref="O217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78" spans="1:15" x14ac:dyDescent="0.3">
      <c r="A2178" t="s">
        <v>2276</v>
      </c>
      <c r="B2178" t="s">
        <v>78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24</v>
      </c>
      <c r="I2178" t="s">
        <v>32</v>
      </c>
      <c r="J2178">
        <v>3</v>
      </c>
      <c r="K2178" t="s">
        <v>16</v>
      </c>
      <c r="L2178" t="s">
        <v>30</v>
      </c>
      <c r="M2178">
        <f>orders[[#This Row],[Ship Date]]-orders[[#This Row],[Order Date]]</f>
        <v>1</v>
      </c>
      <c r="N2178">
        <f>WEEKNUM(orders[[#This Row],[Order Date]],2)</f>
        <v>12</v>
      </c>
      <c r="O2178" t="str" cm="1">
        <f t="array" ref="O21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79" spans="1:15" x14ac:dyDescent="0.3">
      <c r="A2179" t="s">
        <v>2277</v>
      </c>
      <c r="B2179" t="s">
        <v>73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24</v>
      </c>
      <c r="I2179" t="s">
        <v>37</v>
      </c>
      <c r="J2179">
        <v>5</v>
      </c>
      <c r="K2179" t="s">
        <v>16</v>
      </c>
      <c r="L2179" t="s">
        <v>30</v>
      </c>
      <c r="M2179">
        <f>orders[[#This Row],[Ship Date]]-orders[[#This Row],[Order Date]]</f>
        <v>1</v>
      </c>
      <c r="N2179">
        <f>WEEKNUM(orders[[#This Row],[Order Date]],2)</f>
        <v>12</v>
      </c>
      <c r="O2179" t="str" cm="1">
        <f t="array" ref="O21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80" spans="1:15" x14ac:dyDescent="0.3">
      <c r="A2180" t="s">
        <v>2278</v>
      </c>
      <c r="B2180" t="s">
        <v>64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24</v>
      </c>
      <c r="I2180" t="s">
        <v>67</v>
      </c>
      <c r="J2180">
        <v>4</v>
      </c>
      <c r="K2180" t="s">
        <v>16</v>
      </c>
      <c r="L2180" t="s">
        <v>30</v>
      </c>
      <c r="M2180">
        <f>orders[[#This Row],[Ship Date]]-orders[[#This Row],[Order Date]]</f>
        <v>1</v>
      </c>
      <c r="N2180">
        <f>WEEKNUM(orders[[#This Row],[Order Date]],2)</f>
        <v>12</v>
      </c>
      <c r="O2180" t="str" cm="1">
        <f t="array" ref="O21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81" spans="1:15" x14ac:dyDescent="0.3">
      <c r="A2181" t="s">
        <v>2279</v>
      </c>
      <c r="B2181" t="s">
        <v>13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20</v>
      </c>
      <c r="I2181" t="s">
        <v>15</v>
      </c>
      <c r="J2181">
        <v>5</v>
      </c>
      <c r="K2181" t="s">
        <v>16</v>
      </c>
      <c r="L2181" t="s">
        <v>30</v>
      </c>
      <c r="M2181">
        <f>orders[[#This Row],[Ship Date]]-orders[[#This Row],[Order Date]]</f>
        <v>1</v>
      </c>
      <c r="N2181">
        <f>WEEKNUM(orders[[#This Row],[Order Date]],2)</f>
        <v>12</v>
      </c>
      <c r="O2181" t="str" cm="1">
        <f t="array" ref="O21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82" spans="1:15" x14ac:dyDescent="0.3">
      <c r="A2182" t="s">
        <v>2280</v>
      </c>
      <c r="B2182" t="s">
        <v>39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20</v>
      </c>
      <c r="I2182" t="s">
        <v>37</v>
      </c>
      <c r="J2182">
        <v>3</v>
      </c>
      <c r="K2182" t="s">
        <v>16</v>
      </c>
      <c r="L2182" t="s">
        <v>30</v>
      </c>
      <c r="M2182">
        <f>orders[[#This Row],[Ship Date]]-orders[[#This Row],[Order Date]]</f>
        <v>10</v>
      </c>
      <c r="N2182">
        <f>WEEKNUM(orders[[#This Row],[Order Date]],2)</f>
        <v>12</v>
      </c>
      <c r="O2182" t="str" cm="1">
        <f t="array" ref="O21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83" spans="1:15" x14ac:dyDescent="0.3">
      <c r="A2183" t="s">
        <v>2281</v>
      </c>
      <c r="B2183" t="s">
        <v>41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20</v>
      </c>
      <c r="I2183" t="s">
        <v>15</v>
      </c>
      <c r="J2183">
        <v>4</v>
      </c>
      <c r="K2183" t="s">
        <v>16</v>
      </c>
      <c r="L2183" t="s">
        <v>30</v>
      </c>
      <c r="M2183">
        <f>orders[[#This Row],[Ship Date]]-orders[[#This Row],[Order Date]]</f>
        <v>1</v>
      </c>
      <c r="N2183">
        <f>WEEKNUM(orders[[#This Row],[Order Date]],2)</f>
        <v>12</v>
      </c>
      <c r="O2183" t="str" cm="1">
        <f t="array" ref="O218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84" spans="1:15" x14ac:dyDescent="0.3">
      <c r="A2184" t="s">
        <v>2282</v>
      </c>
      <c r="B2184" t="s">
        <v>132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86</v>
      </c>
      <c r="I2184" t="s">
        <v>32</v>
      </c>
      <c r="J2184">
        <v>5</v>
      </c>
      <c r="K2184" t="s">
        <v>16</v>
      </c>
      <c r="L2184" t="s">
        <v>30</v>
      </c>
      <c r="M2184">
        <f>orders[[#This Row],[Ship Date]]-orders[[#This Row],[Order Date]]</f>
        <v>3</v>
      </c>
      <c r="N2184">
        <f>WEEKNUM(orders[[#This Row],[Order Date]],2)</f>
        <v>12</v>
      </c>
      <c r="O2184" t="str" cm="1">
        <f t="array" ref="O2184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185" spans="1:15" x14ac:dyDescent="0.3">
      <c r="A2185" t="s">
        <v>2283</v>
      </c>
      <c r="B2185" t="s">
        <v>41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24</v>
      </c>
      <c r="I2185" t="s">
        <v>67</v>
      </c>
      <c r="J2185">
        <v>5</v>
      </c>
      <c r="K2185" t="s">
        <v>16</v>
      </c>
      <c r="L2185" t="s">
        <v>30</v>
      </c>
      <c r="M2185">
        <f>orders[[#This Row],[Ship Date]]-orders[[#This Row],[Order Date]]</f>
        <v>4</v>
      </c>
      <c r="N2185">
        <f>WEEKNUM(orders[[#This Row],[Order Date]],2)</f>
        <v>12</v>
      </c>
      <c r="O2185" t="str" cm="1">
        <f t="array" ref="O218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86" spans="1:15" x14ac:dyDescent="0.3">
      <c r="A2186" t="s">
        <v>2284</v>
      </c>
      <c r="B2186" t="s">
        <v>41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20</v>
      </c>
      <c r="I2186" t="s">
        <v>67</v>
      </c>
      <c r="J2186">
        <v>4</v>
      </c>
      <c r="K2186" t="s">
        <v>16</v>
      </c>
      <c r="L2186" t="s">
        <v>30</v>
      </c>
      <c r="M2186">
        <f>orders[[#This Row],[Ship Date]]-orders[[#This Row],[Order Date]]</f>
        <v>1</v>
      </c>
      <c r="N2186">
        <f>WEEKNUM(orders[[#This Row],[Order Date]],2)</f>
        <v>12</v>
      </c>
      <c r="O2186" t="str" cm="1">
        <f t="array" ref="O21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87" spans="1:15" x14ac:dyDescent="0.3">
      <c r="A2187" t="s">
        <v>2285</v>
      </c>
      <c r="B2187" t="s">
        <v>13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20</v>
      </c>
      <c r="I2187" t="s">
        <v>32</v>
      </c>
      <c r="J2187">
        <v>4</v>
      </c>
      <c r="K2187" t="s">
        <v>16</v>
      </c>
      <c r="L2187" t="s">
        <v>30</v>
      </c>
      <c r="M2187">
        <f>orders[[#This Row],[Ship Date]]-orders[[#This Row],[Order Date]]</f>
        <v>3</v>
      </c>
      <c r="N2187">
        <f>WEEKNUM(orders[[#This Row],[Order Date]],2)</f>
        <v>12</v>
      </c>
      <c r="O2187" t="str" cm="1">
        <f t="array" ref="O21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88" spans="1:15" x14ac:dyDescent="0.3">
      <c r="A2188" t="s">
        <v>2286</v>
      </c>
      <c r="B2188" t="s">
        <v>64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24</v>
      </c>
      <c r="I2188" t="s">
        <v>32</v>
      </c>
      <c r="J2188">
        <v>5</v>
      </c>
      <c r="K2188" t="s">
        <v>16</v>
      </c>
      <c r="L2188" t="s">
        <v>30</v>
      </c>
      <c r="M2188">
        <f>orders[[#This Row],[Ship Date]]-orders[[#This Row],[Order Date]]</f>
        <v>1</v>
      </c>
      <c r="N2188">
        <f>WEEKNUM(orders[[#This Row],[Order Date]],2)</f>
        <v>12</v>
      </c>
      <c r="O2188" t="str" cm="1">
        <f t="array" ref="O21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89" spans="1:15" x14ac:dyDescent="0.3">
      <c r="A2189" t="s">
        <v>2287</v>
      </c>
      <c r="B2189" t="s">
        <v>39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24</v>
      </c>
      <c r="I2189" t="s">
        <v>32</v>
      </c>
      <c r="J2189">
        <v>2</v>
      </c>
      <c r="K2189" t="s">
        <v>16</v>
      </c>
      <c r="L2189" t="s">
        <v>30</v>
      </c>
      <c r="M2189">
        <f>orders[[#This Row],[Ship Date]]-orders[[#This Row],[Order Date]]</f>
        <v>1</v>
      </c>
      <c r="N2189">
        <f>WEEKNUM(orders[[#This Row],[Order Date]],2)</f>
        <v>12</v>
      </c>
      <c r="O2189" t="str" cm="1">
        <f t="array" ref="O218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90" spans="1:15" x14ac:dyDescent="0.3">
      <c r="A2190" t="s">
        <v>2288</v>
      </c>
      <c r="B2190" t="s">
        <v>19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20</v>
      </c>
      <c r="I2190" t="s">
        <v>32</v>
      </c>
      <c r="J2190">
        <v>5</v>
      </c>
      <c r="K2190" t="s">
        <v>16</v>
      </c>
      <c r="L2190" t="s">
        <v>46</v>
      </c>
      <c r="M2190">
        <f>orders[[#This Row],[Ship Date]]-orders[[#This Row],[Order Date]]</f>
        <v>1</v>
      </c>
      <c r="N2190">
        <f>WEEKNUM(orders[[#This Row],[Order Date]],2)</f>
        <v>12</v>
      </c>
      <c r="O2190" t="str" cm="1">
        <f t="array" ref="O21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91" spans="1:15" x14ac:dyDescent="0.3">
      <c r="A2191" t="s">
        <v>2289</v>
      </c>
      <c r="B2191" t="s">
        <v>19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20</v>
      </c>
      <c r="I2191" t="s">
        <v>15</v>
      </c>
      <c r="J2191">
        <v>4</v>
      </c>
      <c r="K2191" t="s">
        <v>16</v>
      </c>
      <c r="L2191" t="s">
        <v>49</v>
      </c>
      <c r="M2191">
        <f>orders[[#This Row],[Ship Date]]-orders[[#This Row],[Order Date]]</f>
        <v>1</v>
      </c>
      <c r="N2191">
        <f>WEEKNUM(orders[[#This Row],[Order Date]],2)</f>
        <v>12</v>
      </c>
      <c r="O2191" t="str" cm="1">
        <f t="array" ref="O21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92" spans="1:15" x14ac:dyDescent="0.3">
      <c r="A2192" t="s">
        <v>2290</v>
      </c>
      <c r="B2192" t="s">
        <v>23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20</v>
      </c>
      <c r="I2192" t="s">
        <v>15</v>
      </c>
      <c r="J2192">
        <v>4</v>
      </c>
      <c r="K2192" t="s">
        <v>16</v>
      </c>
      <c r="L2192" t="s">
        <v>52</v>
      </c>
      <c r="M2192">
        <f>orders[[#This Row],[Ship Date]]-orders[[#This Row],[Order Date]]</f>
        <v>5</v>
      </c>
      <c r="N2192">
        <f>WEEKNUM(orders[[#This Row],[Order Date]],2)</f>
        <v>12</v>
      </c>
      <c r="O2192" t="str" cm="1">
        <f t="array" ref="O21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93" spans="1:15" x14ac:dyDescent="0.3">
      <c r="A2193" t="s">
        <v>2291</v>
      </c>
      <c r="B2193" t="s">
        <v>36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20</v>
      </c>
      <c r="I2193" t="s">
        <v>15</v>
      </c>
      <c r="J2193">
        <v>4</v>
      </c>
      <c r="K2193" t="s">
        <v>16</v>
      </c>
      <c r="L2193" t="s">
        <v>59</v>
      </c>
      <c r="M2193">
        <f>orders[[#This Row],[Ship Date]]-orders[[#This Row],[Order Date]]</f>
        <v>7</v>
      </c>
      <c r="N2193">
        <f>WEEKNUM(orders[[#This Row],[Order Date]],2)</f>
        <v>12</v>
      </c>
      <c r="O2193" t="str" cm="1">
        <f t="array" ref="O219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94" spans="1:15" x14ac:dyDescent="0.3">
      <c r="A2194" t="s">
        <v>2292</v>
      </c>
      <c r="B2194" t="s">
        <v>51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20</v>
      </c>
      <c r="I2194" t="s">
        <v>15</v>
      </c>
      <c r="J2194">
        <v>4</v>
      </c>
      <c r="K2194" t="s">
        <v>16</v>
      </c>
      <c r="L2194" t="s">
        <v>59</v>
      </c>
      <c r="M2194">
        <f>orders[[#This Row],[Ship Date]]-orders[[#This Row],[Order Date]]</f>
        <v>2</v>
      </c>
      <c r="N2194">
        <f>WEEKNUM(orders[[#This Row],[Order Date]],2)</f>
        <v>12</v>
      </c>
      <c r="O2194" t="str" cm="1">
        <f t="array" ref="O21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95" spans="1:15" x14ac:dyDescent="0.3">
      <c r="A2195" t="s">
        <v>2293</v>
      </c>
      <c r="B2195" t="s">
        <v>23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24</v>
      </c>
      <c r="I2195" t="s">
        <v>15</v>
      </c>
      <c r="J2195">
        <v>3</v>
      </c>
      <c r="K2195" t="s">
        <v>16</v>
      </c>
      <c r="L2195" t="s">
        <v>59</v>
      </c>
      <c r="M2195">
        <f>orders[[#This Row],[Ship Date]]-orders[[#This Row],[Order Date]]</f>
        <v>0</v>
      </c>
      <c r="N2195">
        <f>WEEKNUM(orders[[#This Row],[Order Date]],2)</f>
        <v>12</v>
      </c>
      <c r="O2195" t="str" cm="1">
        <f t="array" ref="O219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96" spans="1:15" x14ac:dyDescent="0.3">
      <c r="A2196" t="s">
        <v>2294</v>
      </c>
      <c r="B2196" t="s">
        <v>78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20</v>
      </c>
      <c r="I2196" t="s">
        <v>15</v>
      </c>
      <c r="J2196">
        <v>4</v>
      </c>
      <c r="K2196" t="s">
        <v>16</v>
      </c>
      <c r="L2196" t="s">
        <v>59</v>
      </c>
      <c r="M2196">
        <f>orders[[#This Row],[Ship Date]]-orders[[#This Row],[Order Date]]</f>
        <v>2</v>
      </c>
      <c r="N2196">
        <f>WEEKNUM(orders[[#This Row],[Order Date]],2)</f>
        <v>12</v>
      </c>
      <c r="O2196" t="str" cm="1">
        <f t="array" ref="O21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97" spans="1:15" x14ac:dyDescent="0.3">
      <c r="A2197" t="s">
        <v>2295</v>
      </c>
      <c r="B2197" t="s">
        <v>43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20</v>
      </c>
      <c r="I2197" t="s">
        <v>37</v>
      </c>
      <c r="J2197">
        <v>4</v>
      </c>
      <c r="K2197" t="s">
        <v>16</v>
      </c>
      <c r="L2197" t="s">
        <v>100</v>
      </c>
      <c r="M2197">
        <f>orders[[#This Row],[Ship Date]]-orders[[#This Row],[Order Date]]</f>
        <v>4</v>
      </c>
      <c r="N2197">
        <f>WEEKNUM(orders[[#This Row],[Order Date]],2)</f>
        <v>12</v>
      </c>
      <c r="O2197" t="str" cm="1">
        <f t="array" ref="O21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198" spans="1:15" x14ac:dyDescent="0.3">
      <c r="A2198" t="s">
        <v>2296</v>
      </c>
      <c r="B2198" t="s">
        <v>19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24</v>
      </c>
      <c r="I2198" t="s">
        <v>15</v>
      </c>
      <c r="J2198">
        <v>3</v>
      </c>
      <c r="K2198" t="s">
        <v>16</v>
      </c>
      <c r="L2198" t="s">
        <v>100</v>
      </c>
      <c r="M2198">
        <f>orders[[#This Row],[Ship Date]]-orders[[#This Row],[Order Date]]</f>
        <v>1</v>
      </c>
      <c r="N2198">
        <f>WEEKNUM(orders[[#This Row],[Order Date]],2)</f>
        <v>12</v>
      </c>
      <c r="O2198" t="str" cm="1">
        <f t="array" ref="O219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199" spans="1:15" x14ac:dyDescent="0.3">
      <c r="A2199" t="s">
        <v>2297</v>
      </c>
      <c r="B2199" t="s">
        <v>23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24</v>
      </c>
      <c r="I2199" t="s">
        <v>15</v>
      </c>
      <c r="J2199">
        <v>2</v>
      </c>
      <c r="K2199" t="s">
        <v>16</v>
      </c>
      <c r="L2199" t="s">
        <v>100</v>
      </c>
      <c r="M2199">
        <f>orders[[#This Row],[Ship Date]]-orders[[#This Row],[Order Date]]</f>
        <v>1</v>
      </c>
      <c r="N2199">
        <f>WEEKNUM(orders[[#This Row],[Order Date]],2)</f>
        <v>12</v>
      </c>
      <c r="O2199" t="str" cm="1">
        <f t="array" ref="O21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00" spans="1:15" x14ac:dyDescent="0.3">
      <c r="A2200" t="s">
        <v>2298</v>
      </c>
      <c r="B2200" t="s">
        <v>66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20</v>
      </c>
      <c r="I2200" t="s">
        <v>37</v>
      </c>
      <c r="J2200">
        <v>4</v>
      </c>
      <c r="K2200" t="s">
        <v>16</v>
      </c>
      <c r="L2200" t="s">
        <v>198</v>
      </c>
      <c r="M2200">
        <f>orders[[#This Row],[Ship Date]]-orders[[#This Row],[Order Date]]</f>
        <v>1</v>
      </c>
      <c r="N2200">
        <f>WEEKNUM(orders[[#This Row],[Order Date]],2)</f>
        <v>12</v>
      </c>
      <c r="O2200" t="str" cm="1">
        <f t="array" ref="O22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01" spans="1:15" x14ac:dyDescent="0.3">
      <c r="A2201" t="s">
        <v>2299</v>
      </c>
      <c r="B2201" t="s">
        <v>19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20</v>
      </c>
      <c r="I2201" t="s">
        <v>15</v>
      </c>
      <c r="J2201">
        <v>4</v>
      </c>
      <c r="K2201" t="s">
        <v>16</v>
      </c>
      <c r="L2201" t="s">
        <v>69</v>
      </c>
      <c r="M2201">
        <f>orders[[#This Row],[Ship Date]]-orders[[#This Row],[Order Date]]</f>
        <v>2</v>
      </c>
      <c r="N2201">
        <f>WEEKNUM(orders[[#This Row],[Order Date]],2)</f>
        <v>12</v>
      </c>
      <c r="O2201" t="str" cm="1">
        <f t="array" ref="O22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02" spans="1:15" x14ac:dyDescent="0.3">
      <c r="A2202" t="s">
        <v>2300</v>
      </c>
      <c r="B2202" t="s">
        <v>168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20</v>
      </c>
      <c r="I2202" t="s">
        <v>37</v>
      </c>
      <c r="J2202">
        <v>4</v>
      </c>
      <c r="K2202" t="s">
        <v>16</v>
      </c>
      <c r="L2202" t="s">
        <v>69</v>
      </c>
      <c r="M2202">
        <f>orders[[#This Row],[Ship Date]]-orders[[#This Row],[Order Date]]</f>
        <v>1</v>
      </c>
      <c r="N2202">
        <f>WEEKNUM(orders[[#This Row],[Order Date]],2)</f>
        <v>12</v>
      </c>
      <c r="O2202" t="str" cm="1">
        <f t="array" ref="O22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03" spans="1:15" x14ac:dyDescent="0.3">
      <c r="A2203" t="s">
        <v>2301</v>
      </c>
      <c r="B2203" t="s">
        <v>36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20</v>
      </c>
      <c r="I2203" t="s">
        <v>32</v>
      </c>
      <c r="J2203">
        <v>3</v>
      </c>
      <c r="K2203" t="s">
        <v>16</v>
      </c>
      <c r="L2203" t="s">
        <v>74</v>
      </c>
      <c r="M2203">
        <f>orders[[#This Row],[Ship Date]]-orders[[#This Row],[Order Date]]</f>
        <v>1</v>
      </c>
      <c r="N2203">
        <f>WEEKNUM(orders[[#This Row],[Order Date]],2)</f>
        <v>12</v>
      </c>
      <c r="O2203" t="str" cm="1">
        <f t="array" ref="O22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04" spans="1:15" x14ac:dyDescent="0.3">
      <c r="A2204" t="s">
        <v>2302</v>
      </c>
      <c r="B2204" t="s">
        <v>19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20</v>
      </c>
      <c r="I2204" t="s">
        <v>32</v>
      </c>
      <c r="J2204">
        <v>2</v>
      </c>
      <c r="K2204" t="s">
        <v>16</v>
      </c>
      <c r="L2204" t="s">
        <v>105</v>
      </c>
      <c r="M2204">
        <f>orders[[#This Row],[Ship Date]]-orders[[#This Row],[Order Date]]</f>
        <v>4</v>
      </c>
      <c r="N2204">
        <f>WEEKNUM(orders[[#This Row],[Order Date]],2)</f>
        <v>12</v>
      </c>
      <c r="O2204" t="str" cm="1">
        <f t="array" ref="O22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05" spans="1:15" x14ac:dyDescent="0.3">
      <c r="A2205" t="s">
        <v>2303</v>
      </c>
      <c r="B2205" t="s">
        <v>78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20</v>
      </c>
      <c r="I2205" t="s">
        <v>37</v>
      </c>
      <c r="J2205">
        <v>4</v>
      </c>
      <c r="K2205" t="s">
        <v>16</v>
      </c>
      <c r="L2205" t="s">
        <v>110</v>
      </c>
      <c r="M2205">
        <f>orders[[#This Row],[Ship Date]]-orders[[#This Row],[Order Date]]</f>
        <v>1</v>
      </c>
      <c r="N2205">
        <f>WEEKNUM(orders[[#This Row],[Order Date]],2)</f>
        <v>12</v>
      </c>
      <c r="O2205" t="str" cm="1">
        <f t="array" ref="O220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06" spans="1:15" x14ac:dyDescent="0.3">
      <c r="A2206" t="s">
        <v>2304</v>
      </c>
      <c r="B2206" t="s">
        <v>41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24</v>
      </c>
      <c r="I2206" t="s">
        <v>67</v>
      </c>
      <c r="J2206">
        <v>5</v>
      </c>
      <c r="K2206" t="s">
        <v>16</v>
      </c>
      <c r="L2206" t="s">
        <v>112</v>
      </c>
      <c r="M2206">
        <f>orders[[#This Row],[Ship Date]]-orders[[#This Row],[Order Date]]</f>
        <v>3</v>
      </c>
      <c r="N2206">
        <f>WEEKNUM(orders[[#This Row],[Order Date]],2)</f>
        <v>12</v>
      </c>
      <c r="O2206" t="str" cm="1">
        <f t="array" ref="O22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07" spans="1:15" x14ac:dyDescent="0.3">
      <c r="A2207" t="s">
        <v>2305</v>
      </c>
      <c r="B2207" t="s">
        <v>34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24</v>
      </c>
      <c r="I2207" t="s">
        <v>48</v>
      </c>
      <c r="J2207">
        <v>3</v>
      </c>
      <c r="K2207" t="s">
        <v>16</v>
      </c>
      <c r="L2207" t="s">
        <v>112</v>
      </c>
      <c r="M2207">
        <f>orders[[#This Row],[Ship Date]]-orders[[#This Row],[Order Date]]</f>
        <v>2</v>
      </c>
      <c r="N2207">
        <f>WEEKNUM(orders[[#This Row],[Order Date]],2)</f>
        <v>12</v>
      </c>
      <c r="O2207" t="str" cm="1">
        <f t="array" ref="O220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08" spans="1:15" x14ac:dyDescent="0.3">
      <c r="A2208" t="s">
        <v>2306</v>
      </c>
      <c r="B2208" t="s">
        <v>29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24</v>
      </c>
      <c r="I2208" t="s">
        <v>15</v>
      </c>
      <c r="J2208">
        <v>3</v>
      </c>
      <c r="K2208" t="s">
        <v>16</v>
      </c>
      <c r="L2208" t="s">
        <v>25</v>
      </c>
      <c r="M2208">
        <f>orders[[#This Row],[Ship Date]]-orders[[#This Row],[Order Date]]</f>
        <v>1</v>
      </c>
      <c r="N2208">
        <f>WEEKNUM(orders[[#This Row],[Order Date]],2)</f>
        <v>12</v>
      </c>
      <c r="O2208" t="str" cm="1">
        <f t="array" ref="O22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09" spans="1:15" x14ac:dyDescent="0.3">
      <c r="A2209" t="s">
        <v>2307</v>
      </c>
      <c r="B2209" t="s">
        <v>43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24</v>
      </c>
      <c r="I2209" t="s">
        <v>48</v>
      </c>
      <c r="J2209">
        <v>4</v>
      </c>
      <c r="K2209" t="s">
        <v>16</v>
      </c>
      <c r="L2209" t="s">
        <v>25</v>
      </c>
      <c r="M2209">
        <f>orders[[#This Row],[Ship Date]]-orders[[#This Row],[Order Date]]</f>
        <v>0</v>
      </c>
      <c r="N2209">
        <f>WEEKNUM(orders[[#This Row],[Order Date]],2)</f>
        <v>12</v>
      </c>
      <c r="O2209" t="str" cm="1">
        <f t="array" ref="O220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10" spans="1:15" x14ac:dyDescent="0.3">
      <c r="A2210" t="s">
        <v>2308</v>
      </c>
      <c r="B2210" t="s">
        <v>19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24</v>
      </c>
      <c r="I2210" t="s">
        <v>32</v>
      </c>
      <c r="J2210">
        <v>3</v>
      </c>
      <c r="K2210" t="s">
        <v>16</v>
      </c>
      <c r="L2210" t="s">
        <v>30</v>
      </c>
      <c r="M2210">
        <f>orders[[#This Row],[Ship Date]]-orders[[#This Row],[Order Date]]</f>
        <v>2</v>
      </c>
      <c r="N2210">
        <f>WEEKNUM(orders[[#This Row],[Order Date]],2)</f>
        <v>12</v>
      </c>
      <c r="O2210" t="str" cm="1">
        <f t="array" ref="O221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11" spans="1:15" x14ac:dyDescent="0.3">
      <c r="A2211" t="s">
        <v>2309</v>
      </c>
      <c r="B2211" t="s">
        <v>36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20</v>
      </c>
      <c r="I2211" t="s">
        <v>15</v>
      </c>
      <c r="J2211">
        <v>4</v>
      </c>
      <c r="K2211" t="s">
        <v>16</v>
      </c>
      <c r="L2211" t="s">
        <v>30</v>
      </c>
      <c r="M2211">
        <f>orders[[#This Row],[Ship Date]]-orders[[#This Row],[Order Date]]</f>
        <v>1</v>
      </c>
      <c r="N2211">
        <f>WEEKNUM(orders[[#This Row],[Order Date]],2)</f>
        <v>12</v>
      </c>
      <c r="O2211" t="str" cm="1">
        <f t="array" ref="O22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12" spans="1:15" x14ac:dyDescent="0.3">
      <c r="A2212" t="s">
        <v>2310</v>
      </c>
      <c r="B2212" t="s">
        <v>143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14</v>
      </c>
      <c r="I2212" t="s">
        <v>48</v>
      </c>
      <c r="J2212">
        <v>5</v>
      </c>
      <c r="K2212" t="s">
        <v>16</v>
      </c>
      <c r="L2212" t="s">
        <v>30</v>
      </c>
      <c r="M2212">
        <f>orders[[#This Row],[Ship Date]]-orders[[#This Row],[Order Date]]</f>
        <v>2</v>
      </c>
      <c r="N2212">
        <f>WEEKNUM(orders[[#This Row],[Order Date]],2)</f>
        <v>12</v>
      </c>
      <c r="O2212" t="str" cm="1">
        <f t="array" ref="O2212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213" spans="1:15" x14ac:dyDescent="0.3">
      <c r="A2213" t="s">
        <v>2311</v>
      </c>
      <c r="B2213" t="s">
        <v>13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20</v>
      </c>
      <c r="I2213" t="s">
        <v>67</v>
      </c>
      <c r="J2213">
        <v>4</v>
      </c>
      <c r="K2213" t="s">
        <v>16</v>
      </c>
      <c r="L2213" t="s">
        <v>30</v>
      </c>
      <c r="M2213">
        <f>orders[[#This Row],[Ship Date]]-orders[[#This Row],[Order Date]]</f>
        <v>1</v>
      </c>
      <c r="N2213">
        <f>WEEKNUM(orders[[#This Row],[Order Date]],2)</f>
        <v>12</v>
      </c>
      <c r="O2213" t="str" cm="1">
        <f t="array" ref="O221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14" spans="1:15" x14ac:dyDescent="0.3">
      <c r="A2214" t="s">
        <v>2312</v>
      </c>
      <c r="B2214" t="s">
        <v>66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24</v>
      </c>
      <c r="I2214" t="s">
        <v>15</v>
      </c>
      <c r="J2214">
        <v>4</v>
      </c>
      <c r="K2214" t="s">
        <v>16</v>
      </c>
      <c r="L2214" t="s">
        <v>30</v>
      </c>
      <c r="M2214">
        <f>orders[[#This Row],[Ship Date]]-orders[[#This Row],[Order Date]]</f>
        <v>8</v>
      </c>
      <c r="N2214">
        <f>WEEKNUM(orders[[#This Row],[Order Date]],2)</f>
        <v>12</v>
      </c>
      <c r="O2214" t="str" cm="1">
        <f t="array" ref="O22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15" spans="1:15" x14ac:dyDescent="0.3">
      <c r="A2215" t="s">
        <v>2313</v>
      </c>
      <c r="B2215" t="s">
        <v>43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20</v>
      </c>
      <c r="I2215" t="s">
        <v>37</v>
      </c>
      <c r="J2215">
        <v>4</v>
      </c>
      <c r="K2215" t="s">
        <v>16</v>
      </c>
      <c r="L2215" t="s">
        <v>30</v>
      </c>
      <c r="M2215">
        <f>orders[[#This Row],[Ship Date]]-orders[[#This Row],[Order Date]]</f>
        <v>2</v>
      </c>
      <c r="N2215">
        <f>WEEKNUM(orders[[#This Row],[Order Date]],2)</f>
        <v>12</v>
      </c>
      <c r="O2215" t="str" cm="1">
        <f t="array" ref="O221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16" spans="1:15" x14ac:dyDescent="0.3">
      <c r="A2216" t="s">
        <v>2314</v>
      </c>
      <c r="B2216" t="s">
        <v>120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86</v>
      </c>
      <c r="I2216" t="s">
        <v>15</v>
      </c>
      <c r="J2216">
        <v>3</v>
      </c>
      <c r="K2216" t="s">
        <v>16</v>
      </c>
      <c r="L2216" t="s">
        <v>59</v>
      </c>
      <c r="M2216">
        <f>orders[[#This Row],[Ship Date]]-orders[[#This Row],[Order Date]]</f>
        <v>3</v>
      </c>
      <c r="N2216">
        <f>WEEKNUM(orders[[#This Row],[Order Date]],2)</f>
        <v>12</v>
      </c>
      <c r="O2216" t="str" cm="1">
        <f t="array" ref="O2216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217" spans="1:15" x14ac:dyDescent="0.3">
      <c r="A2217" t="s">
        <v>2315</v>
      </c>
      <c r="B2217" t="s">
        <v>41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24</v>
      </c>
      <c r="I2217" t="s">
        <v>15</v>
      </c>
      <c r="J2217">
        <v>4</v>
      </c>
      <c r="K2217" t="s">
        <v>16</v>
      </c>
      <c r="L2217" t="s">
        <v>100</v>
      </c>
      <c r="M2217">
        <f>orders[[#This Row],[Ship Date]]-orders[[#This Row],[Order Date]]</f>
        <v>1</v>
      </c>
      <c r="N2217">
        <f>WEEKNUM(orders[[#This Row],[Order Date]],2)</f>
        <v>12</v>
      </c>
      <c r="O2217" t="str" cm="1">
        <f t="array" ref="O22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18" spans="1:15" x14ac:dyDescent="0.3">
      <c r="A2218" t="s">
        <v>2316</v>
      </c>
      <c r="B2218" t="s">
        <v>19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20</v>
      </c>
      <c r="I2218" t="s">
        <v>48</v>
      </c>
      <c r="J2218">
        <v>4</v>
      </c>
      <c r="K2218" t="s">
        <v>16</v>
      </c>
      <c r="L2218" t="s">
        <v>69</v>
      </c>
      <c r="M2218">
        <f>orders[[#This Row],[Ship Date]]-orders[[#This Row],[Order Date]]</f>
        <v>1</v>
      </c>
      <c r="N2218">
        <f>WEEKNUM(orders[[#This Row],[Order Date]],2)</f>
        <v>12</v>
      </c>
      <c r="O2218" t="str" cm="1">
        <f t="array" ref="O221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19" spans="1:15" x14ac:dyDescent="0.3">
      <c r="A2219" t="s">
        <v>2317</v>
      </c>
      <c r="B2219" t="s">
        <v>36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20</v>
      </c>
      <c r="I2219" t="s">
        <v>15</v>
      </c>
      <c r="J2219">
        <v>4</v>
      </c>
      <c r="K2219" t="s">
        <v>16</v>
      </c>
      <c r="L2219" t="s">
        <v>74</v>
      </c>
      <c r="M2219">
        <f>orders[[#This Row],[Ship Date]]-orders[[#This Row],[Order Date]]</f>
        <v>4</v>
      </c>
      <c r="N2219">
        <f>WEEKNUM(orders[[#This Row],[Order Date]],2)</f>
        <v>12</v>
      </c>
      <c r="O2219" t="str" cm="1">
        <f t="array" ref="O221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20" spans="1:15" x14ac:dyDescent="0.3">
      <c r="A2220" t="s">
        <v>2318</v>
      </c>
      <c r="B2220" t="s">
        <v>132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20</v>
      </c>
      <c r="I2220" t="s">
        <v>32</v>
      </c>
      <c r="J2220">
        <v>3</v>
      </c>
      <c r="K2220" t="s">
        <v>16</v>
      </c>
      <c r="L2220" t="s">
        <v>112</v>
      </c>
      <c r="M2220">
        <f>orders[[#This Row],[Ship Date]]-orders[[#This Row],[Order Date]]</f>
        <v>1</v>
      </c>
      <c r="N2220">
        <f>WEEKNUM(orders[[#This Row],[Order Date]],2)</f>
        <v>12</v>
      </c>
      <c r="O2220" t="str" cm="1">
        <f t="array" ref="O222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21" spans="1:15" x14ac:dyDescent="0.3">
      <c r="A2221" t="s">
        <v>2319</v>
      </c>
      <c r="B2221" t="s">
        <v>36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20</v>
      </c>
      <c r="I2221" t="s">
        <v>37</v>
      </c>
      <c r="J2221">
        <v>4</v>
      </c>
      <c r="K2221" t="s">
        <v>16</v>
      </c>
      <c r="L2221" t="s">
        <v>21</v>
      </c>
      <c r="M2221">
        <f>orders[[#This Row],[Ship Date]]-orders[[#This Row],[Order Date]]</f>
        <v>0</v>
      </c>
      <c r="N2221">
        <f>WEEKNUM(orders[[#This Row],[Order Date]],2)</f>
        <v>12</v>
      </c>
      <c r="O2221" t="str" cm="1">
        <f t="array" ref="O22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22" spans="1:15" x14ac:dyDescent="0.3">
      <c r="A2222" t="s">
        <v>2320</v>
      </c>
      <c r="B2222" t="s">
        <v>41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20</v>
      </c>
      <c r="I2222" t="s">
        <v>15</v>
      </c>
      <c r="J2222">
        <v>4</v>
      </c>
      <c r="K2222" t="s">
        <v>16</v>
      </c>
      <c r="L2222" t="s">
        <v>30</v>
      </c>
      <c r="M2222">
        <f>orders[[#This Row],[Ship Date]]-orders[[#This Row],[Order Date]]</f>
        <v>1</v>
      </c>
      <c r="N2222">
        <f>WEEKNUM(orders[[#This Row],[Order Date]],2)</f>
        <v>12</v>
      </c>
      <c r="O2222" t="str" cm="1">
        <f t="array" ref="O222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23" spans="1:15" x14ac:dyDescent="0.3">
      <c r="A2223" t="s">
        <v>2321</v>
      </c>
      <c r="B2223" t="s">
        <v>36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20</v>
      </c>
      <c r="I2223" t="s">
        <v>67</v>
      </c>
      <c r="J2223">
        <v>4</v>
      </c>
      <c r="K2223" t="s">
        <v>16</v>
      </c>
      <c r="L2223" t="s">
        <v>30</v>
      </c>
      <c r="M2223">
        <f>orders[[#This Row],[Ship Date]]-orders[[#This Row],[Order Date]]</f>
        <v>0</v>
      </c>
      <c r="N2223">
        <f>WEEKNUM(orders[[#This Row],[Order Date]],2)</f>
        <v>12</v>
      </c>
      <c r="O2223" t="str" cm="1">
        <f t="array" ref="O222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24" spans="1:15" x14ac:dyDescent="0.3">
      <c r="A2224" t="s">
        <v>2322</v>
      </c>
      <c r="B2224" t="s">
        <v>29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24</v>
      </c>
      <c r="I2224" t="s">
        <v>67</v>
      </c>
      <c r="J2224">
        <v>5</v>
      </c>
      <c r="K2224" t="s">
        <v>16</v>
      </c>
      <c r="L2224" t="s">
        <v>30</v>
      </c>
      <c r="M2224">
        <f>orders[[#This Row],[Ship Date]]-orders[[#This Row],[Order Date]]</f>
        <v>3</v>
      </c>
      <c r="N2224">
        <f>WEEKNUM(orders[[#This Row],[Order Date]],2)</f>
        <v>12</v>
      </c>
      <c r="O2224" t="str" cm="1">
        <f t="array" ref="O22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25" spans="1:15" x14ac:dyDescent="0.3">
      <c r="A2225" t="s">
        <v>2323</v>
      </c>
      <c r="B2225" t="s">
        <v>41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24</v>
      </c>
      <c r="I2225" t="s">
        <v>15</v>
      </c>
      <c r="J2225">
        <v>5</v>
      </c>
      <c r="K2225" t="s">
        <v>16</v>
      </c>
      <c r="L2225" t="s">
        <v>30</v>
      </c>
      <c r="M2225">
        <f>orders[[#This Row],[Ship Date]]-orders[[#This Row],[Order Date]]</f>
        <v>1</v>
      </c>
      <c r="N2225">
        <f>WEEKNUM(orders[[#This Row],[Order Date]],2)</f>
        <v>12</v>
      </c>
      <c r="O2225" t="str" cm="1">
        <f t="array" ref="O222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26" spans="1:15" x14ac:dyDescent="0.3">
      <c r="A2226" t="s">
        <v>2324</v>
      </c>
      <c r="B2226" t="s">
        <v>41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24</v>
      </c>
      <c r="I2226" t="s">
        <v>15</v>
      </c>
      <c r="J2226">
        <v>4</v>
      </c>
      <c r="K2226" t="s">
        <v>16</v>
      </c>
      <c r="L2226" t="s">
        <v>30</v>
      </c>
      <c r="M2226">
        <f>orders[[#This Row],[Ship Date]]-orders[[#This Row],[Order Date]]</f>
        <v>1</v>
      </c>
      <c r="N2226">
        <f>WEEKNUM(orders[[#This Row],[Order Date]],2)</f>
        <v>12</v>
      </c>
      <c r="O2226" t="str" cm="1">
        <f t="array" ref="O22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27" spans="1:15" x14ac:dyDescent="0.3">
      <c r="A2227" t="s">
        <v>2325</v>
      </c>
      <c r="B2227" t="s">
        <v>43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24</v>
      </c>
      <c r="I2227" t="s">
        <v>32</v>
      </c>
      <c r="J2227">
        <v>5</v>
      </c>
      <c r="K2227" t="s">
        <v>16</v>
      </c>
      <c r="L2227" t="s">
        <v>30</v>
      </c>
      <c r="M2227">
        <f>orders[[#This Row],[Ship Date]]-orders[[#This Row],[Order Date]]</f>
        <v>0</v>
      </c>
      <c r="N2227">
        <f>WEEKNUM(orders[[#This Row],[Order Date]],2)</f>
        <v>12</v>
      </c>
      <c r="O2227" t="str" cm="1">
        <f t="array" ref="O22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28" spans="1:15" x14ac:dyDescent="0.3">
      <c r="A2228" t="s">
        <v>2326</v>
      </c>
      <c r="B2228" t="s">
        <v>23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20</v>
      </c>
      <c r="I2228" t="s">
        <v>32</v>
      </c>
      <c r="J2228">
        <v>3</v>
      </c>
      <c r="K2228" t="s">
        <v>16</v>
      </c>
      <c r="L2228" t="s">
        <v>30</v>
      </c>
      <c r="M2228">
        <f>orders[[#This Row],[Ship Date]]-orders[[#This Row],[Order Date]]</f>
        <v>3</v>
      </c>
      <c r="N2228">
        <f>WEEKNUM(orders[[#This Row],[Order Date]],2)</f>
        <v>12</v>
      </c>
      <c r="O2228" t="str" cm="1">
        <f t="array" ref="O222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29" spans="1:15" x14ac:dyDescent="0.3">
      <c r="A2229" t="s">
        <v>2327</v>
      </c>
      <c r="B2229" t="s">
        <v>41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20</v>
      </c>
      <c r="I2229" t="s">
        <v>15</v>
      </c>
      <c r="J2229">
        <v>4</v>
      </c>
      <c r="K2229" t="s">
        <v>16</v>
      </c>
      <c r="L2229" t="s">
        <v>30</v>
      </c>
      <c r="M2229">
        <f>orders[[#This Row],[Ship Date]]-orders[[#This Row],[Order Date]]</f>
        <v>1</v>
      </c>
      <c r="N2229">
        <f>WEEKNUM(orders[[#This Row],[Order Date]],2)</f>
        <v>12</v>
      </c>
      <c r="O2229" t="str" cm="1">
        <f t="array" ref="O222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30" spans="1:15" x14ac:dyDescent="0.3">
      <c r="A2230" t="s">
        <v>2328</v>
      </c>
      <c r="B2230" t="s">
        <v>78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24</v>
      </c>
      <c r="I2230" t="s">
        <v>15</v>
      </c>
      <c r="J2230">
        <v>4</v>
      </c>
      <c r="K2230" t="s">
        <v>16</v>
      </c>
      <c r="L2230" t="s">
        <v>30</v>
      </c>
      <c r="M2230">
        <f>orders[[#This Row],[Ship Date]]-orders[[#This Row],[Order Date]]</f>
        <v>3</v>
      </c>
      <c r="N2230">
        <f>WEEKNUM(orders[[#This Row],[Order Date]],2)</f>
        <v>12</v>
      </c>
      <c r="O2230" t="str" cm="1">
        <f t="array" ref="O22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31" spans="1:15" x14ac:dyDescent="0.3">
      <c r="A2231" t="s">
        <v>2329</v>
      </c>
      <c r="B2231" t="s">
        <v>23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24</v>
      </c>
      <c r="I2231" t="s">
        <v>15</v>
      </c>
      <c r="J2231">
        <v>4</v>
      </c>
      <c r="K2231" t="s">
        <v>16</v>
      </c>
      <c r="L2231" t="s">
        <v>30</v>
      </c>
      <c r="M2231">
        <f>orders[[#This Row],[Ship Date]]-orders[[#This Row],[Order Date]]</f>
        <v>0</v>
      </c>
      <c r="N2231">
        <f>WEEKNUM(orders[[#This Row],[Order Date]],2)</f>
        <v>12</v>
      </c>
      <c r="O2231" t="str" cm="1">
        <f t="array" ref="O223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32" spans="1:15" x14ac:dyDescent="0.3">
      <c r="A2232" t="s">
        <v>2330</v>
      </c>
      <c r="B2232" t="s">
        <v>143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24</v>
      </c>
      <c r="I2232" t="s">
        <v>15</v>
      </c>
      <c r="J2232">
        <v>5</v>
      </c>
      <c r="K2232" t="s">
        <v>16</v>
      </c>
      <c r="L2232" t="s">
        <v>155</v>
      </c>
      <c r="M2232">
        <f>orders[[#This Row],[Ship Date]]-orders[[#This Row],[Order Date]]</f>
        <v>0</v>
      </c>
      <c r="N2232">
        <f>WEEKNUM(orders[[#This Row],[Order Date]],2)</f>
        <v>12</v>
      </c>
      <c r="O2232" t="str" cm="1">
        <f t="array" ref="O223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33" spans="1:15" x14ac:dyDescent="0.3">
      <c r="A2233" t="s">
        <v>2331</v>
      </c>
      <c r="B2233" t="s">
        <v>120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20</v>
      </c>
      <c r="I2233" t="s">
        <v>15</v>
      </c>
      <c r="J2233">
        <v>3</v>
      </c>
      <c r="K2233" t="s">
        <v>16</v>
      </c>
      <c r="L2233" t="s">
        <v>56</v>
      </c>
      <c r="M2233">
        <f>orders[[#This Row],[Ship Date]]-orders[[#This Row],[Order Date]]</f>
        <v>5</v>
      </c>
      <c r="N2233">
        <f>WEEKNUM(orders[[#This Row],[Order Date]],2)</f>
        <v>12</v>
      </c>
      <c r="O2233" t="str" cm="1">
        <f t="array" ref="O223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34" spans="1:15" x14ac:dyDescent="0.3">
      <c r="A2234" t="s">
        <v>2332</v>
      </c>
      <c r="B2234" t="s">
        <v>39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24</v>
      </c>
      <c r="I2234" t="s">
        <v>15</v>
      </c>
      <c r="J2234">
        <v>4</v>
      </c>
      <c r="K2234" t="s">
        <v>16</v>
      </c>
      <c r="L2234" t="s">
        <v>59</v>
      </c>
      <c r="M2234">
        <f>orders[[#This Row],[Ship Date]]-orders[[#This Row],[Order Date]]</f>
        <v>1</v>
      </c>
      <c r="N2234">
        <f>WEEKNUM(orders[[#This Row],[Order Date]],2)</f>
        <v>12</v>
      </c>
      <c r="O2234" t="str" cm="1">
        <f t="array" ref="O223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35" spans="1:15" x14ac:dyDescent="0.3">
      <c r="A2235" t="s">
        <v>2333</v>
      </c>
      <c r="B2235" t="s">
        <v>23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20</v>
      </c>
      <c r="I2235" t="s">
        <v>15</v>
      </c>
      <c r="J2235">
        <v>5</v>
      </c>
      <c r="K2235" t="s">
        <v>16</v>
      </c>
      <c r="L2235" t="s">
        <v>59</v>
      </c>
      <c r="M2235">
        <f>orders[[#This Row],[Ship Date]]-orders[[#This Row],[Order Date]]</f>
        <v>1</v>
      </c>
      <c r="N2235">
        <f>WEEKNUM(orders[[#This Row],[Order Date]],2)</f>
        <v>12</v>
      </c>
      <c r="O2235" t="str" cm="1">
        <f t="array" ref="O223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36" spans="1:15" x14ac:dyDescent="0.3">
      <c r="A2236" t="s">
        <v>2334</v>
      </c>
      <c r="B2236" t="s">
        <v>36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24</v>
      </c>
      <c r="I2236" t="s">
        <v>15</v>
      </c>
      <c r="J2236">
        <v>4</v>
      </c>
      <c r="K2236" t="s">
        <v>16</v>
      </c>
      <c r="L2236" t="s">
        <v>71</v>
      </c>
      <c r="M2236">
        <f>orders[[#This Row],[Ship Date]]-orders[[#This Row],[Order Date]]</f>
        <v>3</v>
      </c>
      <c r="N2236">
        <f>WEEKNUM(orders[[#This Row],[Order Date]],2)</f>
        <v>12</v>
      </c>
      <c r="O2236" t="str" cm="1">
        <f t="array" ref="O223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37" spans="1:15" x14ac:dyDescent="0.3">
      <c r="A2237" t="s">
        <v>2335</v>
      </c>
      <c r="B2237" t="s">
        <v>120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14</v>
      </c>
      <c r="I2237" t="s">
        <v>32</v>
      </c>
      <c r="J2237">
        <v>4</v>
      </c>
      <c r="K2237" t="s">
        <v>16</v>
      </c>
      <c r="L2237" t="s">
        <v>74</v>
      </c>
      <c r="M2237">
        <f>orders[[#This Row],[Ship Date]]-orders[[#This Row],[Order Date]]</f>
        <v>2</v>
      </c>
      <c r="N2237">
        <f>WEEKNUM(orders[[#This Row],[Order Date]],2)</f>
        <v>13</v>
      </c>
      <c r="O2237" t="str" cm="1">
        <f t="array" ref="O223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238" spans="1:15" x14ac:dyDescent="0.3">
      <c r="A2238" t="s">
        <v>2336</v>
      </c>
      <c r="B2238" t="s">
        <v>23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24</v>
      </c>
      <c r="I2238" t="s">
        <v>15</v>
      </c>
      <c r="J2238">
        <v>5</v>
      </c>
      <c r="K2238" t="s">
        <v>16</v>
      </c>
      <c r="L2238" t="s">
        <v>74</v>
      </c>
      <c r="M2238">
        <f>orders[[#This Row],[Ship Date]]-orders[[#This Row],[Order Date]]</f>
        <v>1</v>
      </c>
      <c r="N2238">
        <f>WEEKNUM(orders[[#This Row],[Order Date]],2)</f>
        <v>13</v>
      </c>
      <c r="O2238" t="str" cm="1">
        <f t="array" ref="O22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39" spans="1:15" x14ac:dyDescent="0.3">
      <c r="A2239" t="s">
        <v>2337</v>
      </c>
      <c r="B2239" t="s">
        <v>43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24</v>
      </c>
      <c r="I2239" t="s">
        <v>15</v>
      </c>
      <c r="J2239">
        <v>5</v>
      </c>
      <c r="K2239" t="s">
        <v>16</v>
      </c>
      <c r="L2239" t="s">
        <v>110</v>
      </c>
      <c r="M2239">
        <f>orders[[#This Row],[Ship Date]]-orders[[#This Row],[Order Date]]</f>
        <v>2</v>
      </c>
      <c r="N2239">
        <f>WEEKNUM(orders[[#This Row],[Order Date]],2)</f>
        <v>13</v>
      </c>
      <c r="O2239" t="str" cm="1">
        <f t="array" ref="O223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40" spans="1:15" x14ac:dyDescent="0.3">
      <c r="A2240" t="s">
        <v>2338</v>
      </c>
      <c r="B2240" t="s">
        <v>29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20</v>
      </c>
      <c r="I2240" t="s">
        <v>15</v>
      </c>
      <c r="J2240">
        <v>5</v>
      </c>
      <c r="K2240" t="s">
        <v>16</v>
      </c>
      <c r="L2240" t="s">
        <v>21</v>
      </c>
      <c r="M2240">
        <f>orders[[#This Row],[Ship Date]]-orders[[#This Row],[Order Date]]</f>
        <v>2</v>
      </c>
      <c r="N2240">
        <f>WEEKNUM(orders[[#This Row],[Order Date]],2)</f>
        <v>13</v>
      </c>
      <c r="O2240" t="str" cm="1">
        <f t="array" ref="O22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41" spans="1:15" x14ac:dyDescent="0.3">
      <c r="A2241" t="s">
        <v>2339</v>
      </c>
      <c r="B2241" t="s">
        <v>23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24</v>
      </c>
      <c r="I2241" t="s">
        <v>15</v>
      </c>
      <c r="J2241">
        <v>5</v>
      </c>
      <c r="K2241" t="s">
        <v>16</v>
      </c>
      <c r="L2241" t="s">
        <v>25</v>
      </c>
      <c r="M2241">
        <f>orders[[#This Row],[Ship Date]]-orders[[#This Row],[Order Date]]</f>
        <v>1</v>
      </c>
      <c r="N2241">
        <f>WEEKNUM(orders[[#This Row],[Order Date]],2)</f>
        <v>13</v>
      </c>
      <c r="O2241" t="str" cm="1">
        <f t="array" ref="O224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42" spans="1:15" x14ac:dyDescent="0.3">
      <c r="A2242" t="s">
        <v>2340</v>
      </c>
      <c r="B2242" t="s">
        <v>120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24</v>
      </c>
      <c r="I2242" t="s">
        <v>15</v>
      </c>
      <c r="J2242">
        <v>4</v>
      </c>
      <c r="K2242" t="s">
        <v>16</v>
      </c>
      <c r="L2242" t="s">
        <v>30</v>
      </c>
      <c r="M2242">
        <f>orders[[#This Row],[Ship Date]]-orders[[#This Row],[Order Date]]</f>
        <v>1</v>
      </c>
      <c r="N2242">
        <f>WEEKNUM(orders[[#This Row],[Order Date]],2)</f>
        <v>13</v>
      </c>
      <c r="O2242" t="str" cm="1">
        <f t="array" ref="O224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43" spans="1:15" x14ac:dyDescent="0.3">
      <c r="A2243" t="s">
        <v>2341</v>
      </c>
      <c r="B2243" t="s">
        <v>41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20</v>
      </c>
      <c r="I2243" t="s">
        <v>15</v>
      </c>
      <c r="J2243">
        <v>3</v>
      </c>
      <c r="K2243" t="s">
        <v>16</v>
      </c>
      <c r="L2243" t="s">
        <v>30</v>
      </c>
      <c r="M2243">
        <f>orders[[#This Row],[Ship Date]]-orders[[#This Row],[Order Date]]</f>
        <v>2</v>
      </c>
      <c r="N2243">
        <f>WEEKNUM(orders[[#This Row],[Order Date]],2)</f>
        <v>13</v>
      </c>
      <c r="O2243" t="str" cm="1">
        <f t="array" ref="O224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44" spans="1:15" x14ac:dyDescent="0.3">
      <c r="A2244" t="s">
        <v>2342</v>
      </c>
      <c r="B2244" t="s">
        <v>51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20</v>
      </c>
      <c r="I2244" t="s">
        <v>15</v>
      </c>
      <c r="J2244">
        <v>2</v>
      </c>
      <c r="K2244" t="s">
        <v>16</v>
      </c>
      <c r="L2244" t="s">
        <v>30</v>
      </c>
      <c r="M2244">
        <f>orders[[#This Row],[Ship Date]]-orders[[#This Row],[Order Date]]</f>
        <v>4</v>
      </c>
      <c r="N2244">
        <f>WEEKNUM(orders[[#This Row],[Order Date]],2)</f>
        <v>13</v>
      </c>
      <c r="O2244" t="str" cm="1">
        <f t="array" ref="O22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45" spans="1:15" x14ac:dyDescent="0.3">
      <c r="A2245" t="s">
        <v>2343</v>
      </c>
      <c r="B2245" t="s">
        <v>41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24</v>
      </c>
      <c r="I2245" t="s">
        <v>67</v>
      </c>
      <c r="J2245">
        <v>5</v>
      </c>
      <c r="K2245" t="s">
        <v>16</v>
      </c>
      <c r="L2245" t="s">
        <v>30</v>
      </c>
      <c r="M2245">
        <f>orders[[#This Row],[Ship Date]]-orders[[#This Row],[Order Date]]</f>
        <v>2</v>
      </c>
      <c r="N2245">
        <f>WEEKNUM(orders[[#This Row],[Order Date]],2)</f>
        <v>13</v>
      </c>
      <c r="O2245" t="str" cm="1">
        <f t="array" ref="O224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46" spans="1:15" x14ac:dyDescent="0.3">
      <c r="A2246" t="s">
        <v>2344</v>
      </c>
      <c r="B2246" t="s">
        <v>51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20</v>
      </c>
      <c r="I2246" t="s">
        <v>48</v>
      </c>
      <c r="J2246">
        <v>4</v>
      </c>
      <c r="K2246" t="s">
        <v>16</v>
      </c>
      <c r="L2246" t="s">
        <v>30</v>
      </c>
      <c r="M2246">
        <f>orders[[#This Row],[Ship Date]]-orders[[#This Row],[Order Date]]</f>
        <v>1</v>
      </c>
      <c r="N2246">
        <f>WEEKNUM(orders[[#This Row],[Order Date]],2)</f>
        <v>13</v>
      </c>
      <c r="O2246" t="str" cm="1">
        <f t="array" ref="O224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47" spans="1:15" x14ac:dyDescent="0.3">
      <c r="A2247" t="s">
        <v>2345</v>
      </c>
      <c r="B2247" t="s">
        <v>23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24</v>
      </c>
      <c r="I2247" t="s">
        <v>15</v>
      </c>
      <c r="J2247">
        <v>5</v>
      </c>
      <c r="K2247" t="s">
        <v>16</v>
      </c>
      <c r="L2247" t="s">
        <v>30</v>
      </c>
      <c r="M2247">
        <f>orders[[#This Row],[Ship Date]]-orders[[#This Row],[Order Date]]</f>
        <v>1</v>
      </c>
      <c r="N2247">
        <f>WEEKNUM(orders[[#This Row],[Order Date]],2)</f>
        <v>13</v>
      </c>
      <c r="O2247" t="str" cm="1">
        <f t="array" ref="O22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48" spans="1:15" x14ac:dyDescent="0.3">
      <c r="A2248" t="s">
        <v>2346</v>
      </c>
      <c r="B2248" t="s">
        <v>23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24</v>
      </c>
      <c r="I2248" t="s">
        <v>15</v>
      </c>
      <c r="J2248">
        <v>5</v>
      </c>
      <c r="K2248" t="s">
        <v>16</v>
      </c>
      <c r="L2248" t="s">
        <v>30</v>
      </c>
      <c r="M2248">
        <f>orders[[#This Row],[Ship Date]]-orders[[#This Row],[Order Date]]</f>
        <v>3</v>
      </c>
      <c r="N2248">
        <f>WEEKNUM(orders[[#This Row],[Order Date]],2)</f>
        <v>13</v>
      </c>
      <c r="O2248" t="str" cm="1">
        <f t="array" ref="O22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49" spans="1:15" x14ac:dyDescent="0.3">
      <c r="A2249" t="s">
        <v>2347</v>
      </c>
      <c r="B2249" t="s">
        <v>27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24</v>
      </c>
      <c r="I2249" t="s">
        <v>32</v>
      </c>
      <c r="J2249">
        <v>2</v>
      </c>
      <c r="K2249" t="s">
        <v>16</v>
      </c>
      <c r="L2249" t="s">
        <v>30</v>
      </c>
      <c r="M2249">
        <f>orders[[#This Row],[Ship Date]]-orders[[#This Row],[Order Date]]</f>
        <v>1</v>
      </c>
      <c r="N2249">
        <f>WEEKNUM(orders[[#This Row],[Order Date]],2)</f>
        <v>13</v>
      </c>
      <c r="O2249" t="str" cm="1">
        <f t="array" ref="O22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50" spans="1:15" x14ac:dyDescent="0.3">
      <c r="A2250" t="s">
        <v>2348</v>
      </c>
      <c r="B2250" t="s">
        <v>36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20</v>
      </c>
      <c r="I2250" t="s">
        <v>32</v>
      </c>
      <c r="J2250">
        <v>4</v>
      </c>
      <c r="K2250" t="s">
        <v>16</v>
      </c>
      <c r="L2250" t="s">
        <v>30</v>
      </c>
      <c r="M2250">
        <f>orders[[#This Row],[Ship Date]]-orders[[#This Row],[Order Date]]</f>
        <v>3</v>
      </c>
      <c r="N2250">
        <f>WEEKNUM(orders[[#This Row],[Order Date]],2)</f>
        <v>13</v>
      </c>
      <c r="O2250" t="str" cm="1">
        <f t="array" ref="O225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51" spans="1:15" x14ac:dyDescent="0.3">
      <c r="A2251" t="s">
        <v>2349</v>
      </c>
      <c r="B2251" t="s">
        <v>34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24</v>
      </c>
      <c r="I2251" t="s">
        <v>15</v>
      </c>
      <c r="J2251">
        <v>4</v>
      </c>
      <c r="K2251" t="s">
        <v>16</v>
      </c>
      <c r="L2251" t="s">
        <v>30</v>
      </c>
      <c r="M2251">
        <f>orders[[#This Row],[Ship Date]]-orders[[#This Row],[Order Date]]</f>
        <v>2</v>
      </c>
      <c r="N2251">
        <f>WEEKNUM(orders[[#This Row],[Order Date]],2)</f>
        <v>13</v>
      </c>
      <c r="O2251" t="str" cm="1">
        <f t="array" ref="O22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52" spans="1:15" x14ac:dyDescent="0.3">
      <c r="A2252" t="s">
        <v>2350</v>
      </c>
      <c r="B2252" t="s">
        <v>41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24</v>
      </c>
      <c r="I2252" t="s">
        <v>37</v>
      </c>
      <c r="J2252">
        <v>5</v>
      </c>
      <c r="K2252" t="s">
        <v>16</v>
      </c>
      <c r="L2252" t="s">
        <v>183</v>
      </c>
      <c r="M2252">
        <f>orders[[#This Row],[Ship Date]]-orders[[#This Row],[Order Date]]</f>
        <v>1</v>
      </c>
      <c r="N2252">
        <f>WEEKNUM(orders[[#This Row],[Order Date]],2)</f>
        <v>13</v>
      </c>
      <c r="O2252" t="str" cm="1">
        <f t="array" ref="O22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53" spans="1:15" x14ac:dyDescent="0.3">
      <c r="A2253" t="s">
        <v>2351</v>
      </c>
      <c r="B2253" t="s">
        <v>19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20</v>
      </c>
      <c r="I2253" t="s">
        <v>15</v>
      </c>
      <c r="J2253">
        <v>3</v>
      </c>
      <c r="K2253" t="s">
        <v>16</v>
      </c>
      <c r="L2253" t="s">
        <v>183</v>
      </c>
      <c r="M2253">
        <f>orders[[#This Row],[Ship Date]]-orders[[#This Row],[Order Date]]</f>
        <v>1</v>
      </c>
      <c r="N2253">
        <f>WEEKNUM(orders[[#This Row],[Order Date]],2)</f>
        <v>13</v>
      </c>
      <c r="O2253" t="str" cm="1">
        <f t="array" ref="O225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54" spans="1:15" x14ac:dyDescent="0.3">
      <c r="A2254" t="s">
        <v>2352</v>
      </c>
      <c r="B2254" t="s">
        <v>13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20</v>
      </c>
      <c r="I2254" t="s">
        <v>15</v>
      </c>
      <c r="J2254">
        <v>3</v>
      </c>
      <c r="K2254" t="s">
        <v>16</v>
      </c>
      <c r="L2254" t="s">
        <v>95</v>
      </c>
      <c r="M2254">
        <f>orders[[#This Row],[Ship Date]]-orders[[#This Row],[Order Date]]</f>
        <v>1</v>
      </c>
      <c r="N2254">
        <f>WEEKNUM(orders[[#This Row],[Order Date]],2)</f>
        <v>13</v>
      </c>
      <c r="O2254" t="str" cm="1">
        <f t="array" ref="O225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55" spans="1:15" x14ac:dyDescent="0.3">
      <c r="A2255" t="s">
        <v>2353</v>
      </c>
      <c r="B2255" t="s">
        <v>120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20</v>
      </c>
      <c r="I2255" t="s">
        <v>37</v>
      </c>
      <c r="J2255">
        <v>4</v>
      </c>
      <c r="K2255" t="s">
        <v>16</v>
      </c>
      <c r="L2255" t="s">
        <v>52</v>
      </c>
      <c r="M2255">
        <f>orders[[#This Row],[Ship Date]]-orders[[#This Row],[Order Date]]</f>
        <v>2</v>
      </c>
      <c r="N2255">
        <f>WEEKNUM(orders[[#This Row],[Order Date]],2)</f>
        <v>13</v>
      </c>
      <c r="O2255" t="str" cm="1">
        <f t="array" ref="O225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56" spans="1:15" x14ac:dyDescent="0.3">
      <c r="A2256" t="s">
        <v>2354</v>
      </c>
      <c r="B2256" t="s">
        <v>39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24</v>
      </c>
      <c r="I2256" t="s">
        <v>37</v>
      </c>
      <c r="J2256">
        <v>3</v>
      </c>
      <c r="K2256" t="s">
        <v>16</v>
      </c>
      <c r="L2256" t="s">
        <v>59</v>
      </c>
      <c r="M2256">
        <f>orders[[#This Row],[Ship Date]]-orders[[#This Row],[Order Date]]</f>
        <v>3</v>
      </c>
      <c r="N2256">
        <f>WEEKNUM(orders[[#This Row],[Order Date]],2)</f>
        <v>13</v>
      </c>
      <c r="O2256" t="str" cm="1">
        <f t="array" ref="O22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57" spans="1:15" x14ac:dyDescent="0.3">
      <c r="A2257" t="s">
        <v>2355</v>
      </c>
      <c r="B2257" t="s">
        <v>41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24</v>
      </c>
      <c r="I2257" t="s">
        <v>32</v>
      </c>
      <c r="J2257">
        <v>4</v>
      </c>
      <c r="K2257" t="s">
        <v>16</v>
      </c>
      <c r="L2257" t="s">
        <v>59</v>
      </c>
      <c r="M2257">
        <f>orders[[#This Row],[Ship Date]]-orders[[#This Row],[Order Date]]</f>
        <v>2</v>
      </c>
      <c r="N2257">
        <f>WEEKNUM(orders[[#This Row],[Order Date]],2)</f>
        <v>13</v>
      </c>
      <c r="O2257" t="str" cm="1">
        <f t="array" ref="O22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58" spans="1:15" x14ac:dyDescent="0.3">
      <c r="A2258" t="s">
        <v>2356</v>
      </c>
      <c r="B2258" t="s">
        <v>13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20</v>
      </c>
      <c r="I2258" t="s">
        <v>32</v>
      </c>
      <c r="J2258">
        <v>4</v>
      </c>
      <c r="K2258" t="s">
        <v>16</v>
      </c>
      <c r="L2258" t="s">
        <v>100</v>
      </c>
      <c r="M2258">
        <f>orders[[#This Row],[Ship Date]]-orders[[#This Row],[Order Date]]</f>
        <v>1</v>
      </c>
      <c r="N2258">
        <f>WEEKNUM(orders[[#This Row],[Order Date]],2)</f>
        <v>13</v>
      </c>
      <c r="O2258" t="str" cm="1">
        <f t="array" ref="O225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59" spans="1:15" x14ac:dyDescent="0.3">
      <c r="A2259" t="s">
        <v>2357</v>
      </c>
      <c r="B2259" t="s">
        <v>51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24</v>
      </c>
      <c r="I2259" t="s">
        <v>15</v>
      </c>
      <c r="J2259">
        <v>4</v>
      </c>
      <c r="K2259" t="s">
        <v>16</v>
      </c>
      <c r="L2259" t="s">
        <v>74</v>
      </c>
      <c r="M2259">
        <f>orders[[#This Row],[Ship Date]]-orders[[#This Row],[Order Date]]</f>
        <v>1</v>
      </c>
      <c r="N2259">
        <f>WEEKNUM(orders[[#This Row],[Order Date]],2)</f>
        <v>13</v>
      </c>
      <c r="O2259" t="str" cm="1">
        <f t="array" ref="O225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60" spans="1:15" x14ac:dyDescent="0.3">
      <c r="A2260" t="s">
        <v>2358</v>
      </c>
      <c r="B2260" t="s">
        <v>34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24</v>
      </c>
      <c r="I2260" t="s">
        <v>32</v>
      </c>
      <c r="J2260">
        <v>3</v>
      </c>
      <c r="K2260" t="s">
        <v>16</v>
      </c>
      <c r="L2260" t="s">
        <v>74</v>
      </c>
      <c r="M2260">
        <f>orders[[#This Row],[Ship Date]]-orders[[#This Row],[Order Date]]</f>
        <v>2</v>
      </c>
      <c r="N2260">
        <f>WEEKNUM(orders[[#This Row],[Order Date]],2)</f>
        <v>13</v>
      </c>
      <c r="O2260" t="str" cm="1">
        <f t="array" ref="O226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61" spans="1:15" x14ac:dyDescent="0.3">
      <c r="A2261" t="s">
        <v>2359</v>
      </c>
      <c r="B2261" t="s">
        <v>34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24</v>
      </c>
      <c r="I2261" t="s">
        <v>37</v>
      </c>
      <c r="J2261">
        <v>4</v>
      </c>
      <c r="K2261" t="s">
        <v>16</v>
      </c>
      <c r="L2261" t="s">
        <v>74</v>
      </c>
      <c r="M2261">
        <f>orders[[#This Row],[Ship Date]]-orders[[#This Row],[Order Date]]</f>
        <v>1</v>
      </c>
      <c r="N2261">
        <f>WEEKNUM(orders[[#This Row],[Order Date]],2)</f>
        <v>13</v>
      </c>
      <c r="O2261" t="str" cm="1">
        <f t="array" ref="O22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62" spans="1:15" x14ac:dyDescent="0.3">
      <c r="A2262" t="s">
        <v>2360</v>
      </c>
      <c r="B2262" t="s">
        <v>19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24</v>
      </c>
      <c r="I2262" t="s">
        <v>15</v>
      </c>
      <c r="J2262">
        <v>3</v>
      </c>
      <c r="K2262" t="s">
        <v>16</v>
      </c>
      <c r="L2262" t="s">
        <v>74</v>
      </c>
      <c r="M2262">
        <f>orders[[#This Row],[Ship Date]]-orders[[#This Row],[Order Date]]</f>
        <v>2</v>
      </c>
      <c r="N2262">
        <f>WEEKNUM(orders[[#This Row],[Order Date]],2)</f>
        <v>13</v>
      </c>
      <c r="O2262" t="str" cm="1">
        <f t="array" ref="O226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63" spans="1:15" x14ac:dyDescent="0.3">
      <c r="A2263" t="s">
        <v>2361</v>
      </c>
      <c r="B2263" t="s">
        <v>51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20</v>
      </c>
      <c r="I2263" t="s">
        <v>15</v>
      </c>
      <c r="J2263">
        <v>4</v>
      </c>
      <c r="K2263" t="s">
        <v>16</v>
      </c>
      <c r="L2263" t="s">
        <v>74</v>
      </c>
      <c r="M2263">
        <f>orders[[#This Row],[Ship Date]]-orders[[#This Row],[Order Date]]</f>
        <v>4</v>
      </c>
      <c r="N2263">
        <f>WEEKNUM(orders[[#This Row],[Order Date]],2)</f>
        <v>13</v>
      </c>
      <c r="O2263" t="str" cm="1">
        <f t="array" ref="O226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64" spans="1:15" x14ac:dyDescent="0.3">
      <c r="A2264" t="s">
        <v>2362</v>
      </c>
      <c r="B2264" t="s">
        <v>120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20</v>
      </c>
      <c r="I2264" t="s">
        <v>15</v>
      </c>
      <c r="J2264">
        <v>5</v>
      </c>
      <c r="K2264" t="s">
        <v>16</v>
      </c>
      <c r="L2264" t="s">
        <v>74</v>
      </c>
      <c r="M2264">
        <f>orders[[#This Row],[Ship Date]]-orders[[#This Row],[Order Date]]</f>
        <v>1</v>
      </c>
      <c r="N2264">
        <f>WEEKNUM(orders[[#This Row],[Order Date]],2)</f>
        <v>13</v>
      </c>
      <c r="O2264" t="str" cm="1">
        <f t="array" ref="O226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65" spans="1:15" x14ac:dyDescent="0.3">
      <c r="A2265" t="s">
        <v>2363</v>
      </c>
      <c r="B2265" t="s">
        <v>36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20</v>
      </c>
      <c r="I2265" t="s">
        <v>48</v>
      </c>
      <c r="J2265">
        <v>4</v>
      </c>
      <c r="K2265" t="s">
        <v>16</v>
      </c>
      <c r="L2265" t="s">
        <v>289</v>
      </c>
      <c r="M2265">
        <f>orders[[#This Row],[Ship Date]]-orders[[#This Row],[Order Date]]</f>
        <v>1</v>
      </c>
      <c r="N2265">
        <f>WEEKNUM(orders[[#This Row],[Order Date]],2)</f>
        <v>13</v>
      </c>
      <c r="O2265" t="str" cm="1">
        <f t="array" ref="O22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66" spans="1:15" x14ac:dyDescent="0.3">
      <c r="A2266" t="s">
        <v>2364</v>
      </c>
      <c r="B2266" t="s">
        <v>36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20</v>
      </c>
      <c r="I2266" t="s">
        <v>15</v>
      </c>
      <c r="J2266">
        <v>3</v>
      </c>
      <c r="K2266" t="s">
        <v>16</v>
      </c>
      <c r="L2266" t="s">
        <v>112</v>
      </c>
      <c r="M2266">
        <f>orders[[#This Row],[Ship Date]]-orders[[#This Row],[Order Date]]</f>
        <v>1</v>
      </c>
      <c r="N2266">
        <f>WEEKNUM(orders[[#This Row],[Order Date]],2)</f>
        <v>13</v>
      </c>
      <c r="O2266" t="str" cm="1">
        <f t="array" ref="O22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67" spans="1:15" x14ac:dyDescent="0.3">
      <c r="A2267" t="s">
        <v>2365</v>
      </c>
      <c r="B2267" t="s">
        <v>43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86</v>
      </c>
      <c r="I2267" t="s">
        <v>67</v>
      </c>
      <c r="J2267">
        <v>3</v>
      </c>
      <c r="K2267" t="s">
        <v>16</v>
      </c>
      <c r="L2267" t="s">
        <v>638</v>
      </c>
      <c r="M2267">
        <f>orders[[#This Row],[Ship Date]]-orders[[#This Row],[Order Date]]</f>
        <v>5</v>
      </c>
      <c r="N2267">
        <f>WEEKNUM(orders[[#This Row],[Order Date]],2)</f>
        <v>13</v>
      </c>
      <c r="O2267" t="str" cm="1">
        <f t="array" ref="O2267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268" spans="1:15" x14ac:dyDescent="0.3">
      <c r="A2268" t="s">
        <v>2366</v>
      </c>
      <c r="B2268" t="s">
        <v>132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24</v>
      </c>
      <c r="I2268" t="s">
        <v>32</v>
      </c>
      <c r="J2268">
        <v>4</v>
      </c>
      <c r="K2268" t="s">
        <v>16</v>
      </c>
      <c r="L2268" t="s">
        <v>964</v>
      </c>
      <c r="M2268">
        <f>orders[[#This Row],[Ship Date]]-orders[[#This Row],[Order Date]]</f>
        <v>1</v>
      </c>
      <c r="N2268">
        <f>WEEKNUM(orders[[#This Row],[Order Date]],2)</f>
        <v>13</v>
      </c>
      <c r="O2268" t="str" cm="1">
        <f t="array" ref="O226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69" spans="1:15" x14ac:dyDescent="0.3">
      <c r="A2269" t="s">
        <v>2367</v>
      </c>
      <c r="B2269" t="s">
        <v>132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24</v>
      </c>
      <c r="I2269" t="s">
        <v>48</v>
      </c>
      <c r="J2269">
        <v>3</v>
      </c>
      <c r="K2269" t="s">
        <v>16</v>
      </c>
      <c r="L2269" t="s">
        <v>21</v>
      </c>
      <c r="M2269">
        <f>orders[[#This Row],[Ship Date]]-orders[[#This Row],[Order Date]]</f>
        <v>1</v>
      </c>
      <c r="N2269">
        <f>WEEKNUM(orders[[#This Row],[Order Date]],2)</f>
        <v>13</v>
      </c>
      <c r="O2269" t="str" cm="1">
        <f t="array" ref="O226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70" spans="1:15" x14ac:dyDescent="0.3">
      <c r="A2270" t="s">
        <v>2368</v>
      </c>
      <c r="B2270" t="s">
        <v>34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24</v>
      </c>
      <c r="I2270" t="s">
        <v>37</v>
      </c>
      <c r="J2270">
        <v>3</v>
      </c>
      <c r="K2270" t="s">
        <v>16</v>
      </c>
      <c r="L2270" t="s">
        <v>21</v>
      </c>
      <c r="M2270">
        <f>orders[[#This Row],[Ship Date]]-orders[[#This Row],[Order Date]]</f>
        <v>1</v>
      </c>
      <c r="N2270">
        <f>WEEKNUM(orders[[#This Row],[Order Date]],2)</f>
        <v>13</v>
      </c>
      <c r="O2270" t="str" cm="1">
        <f t="array" ref="O227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71" spans="1:15" x14ac:dyDescent="0.3">
      <c r="A2271" t="s">
        <v>2369</v>
      </c>
      <c r="B2271" t="s">
        <v>23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24</v>
      </c>
      <c r="I2271" t="s">
        <v>32</v>
      </c>
      <c r="J2271">
        <v>4</v>
      </c>
      <c r="K2271" t="s">
        <v>16</v>
      </c>
      <c r="L2271" t="s">
        <v>21</v>
      </c>
      <c r="M2271">
        <f>orders[[#This Row],[Ship Date]]-orders[[#This Row],[Order Date]]</f>
        <v>1</v>
      </c>
      <c r="N2271">
        <f>WEEKNUM(orders[[#This Row],[Order Date]],2)</f>
        <v>13</v>
      </c>
      <c r="O2271" t="str" cm="1">
        <f t="array" ref="O227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72" spans="1:15" x14ac:dyDescent="0.3">
      <c r="A2272" t="s">
        <v>2370</v>
      </c>
      <c r="B2272" t="s">
        <v>23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24</v>
      </c>
      <c r="I2272" t="s">
        <v>32</v>
      </c>
      <c r="J2272">
        <v>5</v>
      </c>
      <c r="K2272" t="s">
        <v>16</v>
      </c>
      <c r="L2272" t="s">
        <v>25</v>
      </c>
      <c r="M2272">
        <f>orders[[#This Row],[Ship Date]]-orders[[#This Row],[Order Date]]</f>
        <v>3</v>
      </c>
      <c r="N2272">
        <f>WEEKNUM(orders[[#This Row],[Order Date]],2)</f>
        <v>13</v>
      </c>
      <c r="O2272" t="str" cm="1">
        <f t="array" ref="O22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73" spans="1:15" x14ac:dyDescent="0.3">
      <c r="A2273" t="s">
        <v>2371</v>
      </c>
      <c r="B2273" t="s">
        <v>132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24</v>
      </c>
      <c r="I2273" t="s">
        <v>32</v>
      </c>
      <c r="J2273">
        <v>4</v>
      </c>
      <c r="K2273" t="s">
        <v>16</v>
      </c>
      <c r="L2273" t="s">
        <v>144</v>
      </c>
      <c r="M2273">
        <f>orders[[#This Row],[Ship Date]]-orders[[#This Row],[Order Date]]</f>
        <v>3</v>
      </c>
      <c r="N2273">
        <f>WEEKNUM(orders[[#This Row],[Order Date]],2)</f>
        <v>13</v>
      </c>
      <c r="O2273" t="str" cm="1">
        <f t="array" ref="O227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74" spans="1:15" x14ac:dyDescent="0.3">
      <c r="A2274" t="s">
        <v>2372</v>
      </c>
      <c r="B2274" t="s">
        <v>120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24</v>
      </c>
      <c r="I2274" t="s">
        <v>15</v>
      </c>
      <c r="J2274">
        <v>4</v>
      </c>
      <c r="K2274" t="s">
        <v>16</v>
      </c>
      <c r="L2274" t="s">
        <v>30</v>
      </c>
      <c r="M2274">
        <f>orders[[#This Row],[Ship Date]]-orders[[#This Row],[Order Date]]</f>
        <v>2</v>
      </c>
      <c r="N2274">
        <f>WEEKNUM(orders[[#This Row],[Order Date]],2)</f>
        <v>13</v>
      </c>
      <c r="O2274" t="str" cm="1">
        <f t="array" ref="O22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75" spans="1:15" x14ac:dyDescent="0.3">
      <c r="A2275" t="s">
        <v>2373</v>
      </c>
      <c r="B2275" t="s">
        <v>34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20</v>
      </c>
      <c r="I2275" t="s">
        <v>15</v>
      </c>
      <c r="J2275">
        <v>5</v>
      </c>
      <c r="K2275" t="s">
        <v>16</v>
      </c>
      <c r="L2275" t="s">
        <v>30</v>
      </c>
      <c r="M2275">
        <f>orders[[#This Row],[Ship Date]]-orders[[#This Row],[Order Date]]</f>
        <v>2</v>
      </c>
      <c r="N2275">
        <f>WEEKNUM(orders[[#This Row],[Order Date]],2)</f>
        <v>13</v>
      </c>
      <c r="O2275" t="str" cm="1">
        <f t="array" ref="O227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76" spans="1:15" x14ac:dyDescent="0.3">
      <c r="A2276" t="s">
        <v>2374</v>
      </c>
      <c r="B2276" t="s">
        <v>13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20</v>
      </c>
      <c r="I2276" t="s">
        <v>37</v>
      </c>
      <c r="J2276">
        <v>3</v>
      </c>
      <c r="K2276" t="s">
        <v>16</v>
      </c>
      <c r="L2276" t="s">
        <v>30</v>
      </c>
      <c r="M2276">
        <f>orders[[#This Row],[Ship Date]]-orders[[#This Row],[Order Date]]</f>
        <v>2</v>
      </c>
      <c r="N2276">
        <f>WEEKNUM(orders[[#This Row],[Order Date]],2)</f>
        <v>13</v>
      </c>
      <c r="O2276" t="str" cm="1">
        <f t="array" ref="O22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77" spans="1:15" x14ac:dyDescent="0.3">
      <c r="A2277" t="s">
        <v>2375</v>
      </c>
      <c r="B2277" t="s">
        <v>41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14</v>
      </c>
      <c r="I2277" t="s">
        <v>32</v>
      </c>
      <c r="J2277">
        <v>3</v>
      </c>
      <c r="K2277" t="s">
        <v>16</v>
      </c>
      <c r="L2277" t="s">
        <v>30</v>
      </c>
      <c r="M2277">
        <f>orders[[#This Row],[Ship Date]]-orders[[#This Row],[Order Date]]</f>
        <v>2</v>
      </c>
      <c r="N2277">
        <f>WEEKNUM(orders[[#This Row],[Order Date]],2)</f>
        <v>13</v>
      </c>
      <c r="O2277" t="str" cm="1">
        <f t="array" ref="O227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278" spans="1:15" x14ac:dyDescent="0.3">
      <c r="A2278" t="s">
        <v>2376</v>
      </c>
      <c r="B2278" t="s">
        <v>125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24</v>
      </c>
      <c r="I2278" t="s">
        <v>32</v>
      </c>
      <c r="J2278">
        <v>5</v>
      </c>
      <c r="K2278" t="s">
        <v>16</v>
      </c>
      <c r="L2278" t="s">
        <v>30</v>
      </c>
      <c r="M2278">
        <f>orders[[#This Row],[Ship Date]]-orders[[#This Row],[Order Date]]</f>
        <v>3</v>
      </c>
      <c r="N2278">
        <f>WEEKNUM(orders[[#This Row],[Order Date]],2)</f>
        <v>13</v>
      </c>
      <c r="O2278" t="str" cm="1">
        <f t="array" ref="O22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79" spans="1:15" x14ac:dyDescent="0.3">
      <c r="A2279" t="s">
        <v>2377</v>
      </c>
      <c r="B2279" t="s">
        <v>23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20</v>
      </c>
      <c r="I2279" t="s">
        <v>15</v>
      </c>
      <c r="J2279">
        <v>4</v>
      </c>
      <c r="K2279" t="s">
        <v>16</v>
      </c>
      <c r="L2279" t="s">
        <v>30</v>
      </c>
      <c r="M2279">
        <f>orders[[#This Row],[Ship Date]]-orders[[#This Row],[Order Date]]</f>
        <v>1</v>
      </c>
      <c r="N2279">
        <f>WEEKNUM(orders[[#This Row],[Order Date]],2)</f>
        <v>13</v>
      </c>
      <c r="O2279" t="str" cm="1">
        <f t="array" ref="O227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0" spans="1:15" x14ac:dyDescent="0.3">
      <c r="A2280" t="s">
        <v>2378</v>
      </c>
      <c r="B2280" t="s">
        <v>27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20</v>
      </c>
      <c r="I2280" t="s">
        <v>32</v>
      </c>
      <c r="J2280">
        <v>4</v>
      </c>
      <c r="K2280" t="s">
        <v>16</v>
      </c>
      <c r="L2280" t="s">
        <v>183</v>
      </c>
      <c r="M2280">
        <f>orders[[#This Row],[Ship Date]]-orders[[#This Row],[Order Date]]</f>
        <v>3</v>
      </c>
      <c r="N2280">
        <f>WEEKNUM(orders[[#This Row],[Order Date]],2)</f>
        <v>13</v>
      </c>
      <c r="O2280" t="str" cm="1">
        <f t="array" ref="O228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1" spans="1:15" x14ac:dyDescent="0.3">
      <c r="A2281" t="s">
        <v>2379</v>
      </c>
      <c r="B2281" t="s">
        <v>41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20</v>
      </c>
      <c r="I2281" t="s">
        <v>15</v>
      </c>
      <c r="J2281">
        <v>4</v>
      </c>
      <c r="K2281" t="s">
        <v>16</v>
      </c>
      <c r="L2281" t="s">
        <v>185</v>
      </c>
      <c r="M2281">
        <f>orders[[#This Row],[Ship Date]]-orders[[#This Row],[Order Date]]</f>
        <v>1</v>
      </c>
      <c r="N2281">
        <f>WEEKNUM(orders[[#This Row],[Order Date]],2)</f>
        <v>13</v>
      </c>
      <c r="O2281" t="str" cm="1">
        <f t="array" ref="O228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2" spans="1:15" x14ac:dyDescent="0.3">
      <c r="A2282" t="s">
        <v>2380</v>
      </c>
      <c r="B2282" t="s">
        <v>143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20</v>
      </c>
      <c r="I2282" t="s">
        <v>37</v>
      </c>
      <c r="J2282">
        <v>4</v>
      </c>
      <c r="K2282" t="s">
        <v>16</v>
      </c>
      <c r="L2282" t="s">
        <v>185</v>
      </c>
      <c r="M2282">
        <f>orders[[#This Row],[Ship Date]]-orders[[#This Row],[Order Date]]</f>
        <v>1</v>
      </c>
      <c r="N2282">
        <f>WEEKNUM(orders[[#This Row],[Order Date]],2)</f>
        <v>13</v>
      </c>
      <c r="O2282" t="str" cm="1">
        <f t="array" ref="O228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3" spans="1:15" x14ac:dyDescent="0.3">
      <c r="A2283" t="s">
        <v>2381</v>
      </c>
      <c r="B2283" t="s">
        <v>36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24</v>
      </c>
      <c r="I2283" t="s">
        <v>15</v>
      </c>
      <c r="J2283">
        <v>4</v>
      </c>
      <c r="K2283" t="s">
        <v>16</v>
      </c>
      <c r="L2283" t="s">
        <v>49</v>
      </c>
      <c r="M2283">
        <f>orders[[#This Row],[Ship Date]]-orders[[#This Row],[Order Date]]</f>
        <v>4</v>
      </c>
      <c r="N2283">
        <f>WEEKNUM(orders[[#This Row],[Order Date]],2)</f>
        <v>13</v>
      </c>
      <c r="O2283" t="str" cm="1">
        <f t="array" ref="O228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84" spans="1:15" x14ac:dyDescent="0.3">
      <c r="A2284" t="s">
        <v>2382</v>
      </c>
      <c r="B2284" t="s">
        <v>125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24</v>
      </c>
      <c r="I2284" t="s">
        <v>15</v>
      </c>
      <c r="J2284">
        <v>5</v>
      </c>
      <c r="K2284" t="s">
        <v>16</v>
      </c>
      <c r="L2284" t="s">
        <v>52</v>
      </c>
      <c r="M2284">
        <f>orders[[#This Row],[Ship Date]]-orders[[#This Row],[Order Date]]</f>
        <v>0</v>
      </c>
      <c r="N2284">
        <f>WEEKNUM(orders[[#This Row],[Order Date]],2)</f>
        <v>13</v>
      </c>
      <c r="O2284" t="str" cm="1">
        <f t="array" ref="O228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85" spans="1:15" x14ac:dyDescent="0.3">
      <c r="A2285" t="s">
        <v>2383</v>
      </c>
      <c r="B2285" t="s">
        <v>23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20</v>
      </c>
      <c r="I2285" t="s">
        <v>15</v>
      </c>
      <c r="J2285">
        <v>3</v>
      </c>
      <c r="K2285" t="s">
        <v>16</v>
      </c>
      <c r="L2285" t="s">
        <v>59</v>
      </c>
      <c r="M2285">
        <f>orders[[#This Row],[Ship Date]]-orders[[#This Row],[Order Date]]</f>
        <v>2</v>
      </c>
      <c r="N2285">
        <f>WEEKNUM(orders[[#This Row],[Order Date]],2)</f>
        <v>13</v>
      </c>
      <c r="O2285" t="str" cm="1">
        <f t="array" ref="O22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6" spans="1:15" x14ac:dyDescent="0.3">
      <c r="A2286" t="s">
        <v>2384</v>
      </c>
      <c r="B2286" t="s">
        <v>51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20</v>
      </c>
      <c r="I2286" t="s">
        <v>15</v>
      </c>
      <c r="J2286">
        <v>3</v>
      </c>
      <c r="K2286" t="s">
        <v>16</v>
      </c>
      <c r="L2286" t="s">
        <v>59</v>
      </c>
      <c r="M2286">
        <f>orders[[#This Row],[Ship Date]]-orders[[#This Row],[Order Date]]</f>
        <v>1</v>
      </c>
      <c r="N2286">
        <f>WEEKNUM(orders[[#This Row],[Order Date]],2)</f>
        <v>13</v>
      </c>
      <c r="O2286" t="str" cm="1">
        <f t="array" ref="O22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7" spans="1:15" x14ac:dyDescent="0.3">
      <c r="A2287" t="s">
        <v>2385</v>
      </c>
      <c r="B2287" t="s">
        <v>143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20</v>
      </c>
      <c r="I2287" t="s">
        <v>37</v>
      </c>
      <c r="J2287">
        <v>5</v>
      </c>
      <c r="K2287" t="s">
        <v>16</v>
      </c>
      <c r="L2287" t="s">
        <v>59</v>
      </c>
      <c r="M2287">
        <f>orders[[#This Row],[Ship Date]]-orders[[#This Row],[Order Date]]</f>
        <v>2</v>
      </c>
      <c r="N2287">
        <f>WEEKNUM(orders[[#This Row],[Order Date]],2)</f>
        <v>13</v>
      </c>
      <c r="O2287" t="str" cm="1">
        <f t="array" ref="O22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8" spans="1:15" x14ac:dyDescent="0.3">
      <c r="A2288" t="s">
        <v>2386</v>
      </c>
      <c r="B2288" t="s">
        <v>19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20</v>
      </c>
      <c r="I2288" t="s">
        <v>48</v>
      </c>
      <c r="J2288">
        <v>4</v>
      </c>
      <c r="K2288" t="s">
        <v>16</v>
      </c>
      <c r="L2288" t="s">
        <v>59</v>
      </c>
      <c r="M2288">
        <f>orders[[#This Row],[Ship Date]]-orders[[#This Row],[Order Date]]</f>
        <v>1</v>
      </c>
      <c r="N2288">
        <f>WEEKNUM(orders[[#This Row],[Order Date]],2)</f>
        <v>13</v>
      </c>
      <c r="O2288" t="str" cm="1">
        <f t="array" ref="O228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89" spans="1:15" x14ac:dyDescent="0.3">
      <c r="A2289" t="s">
        <v>2387</v>
      </c>
      <c r="B2289" t="s">
        <v>39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20</v>
      </c>
      <c r="I2289" t="s">
        <v>67</v>
      </c>
      <c r="J2289">
        <v>4</v>
      </c>
      <c r="K2289" t="s">
        <v>16</v>
      </c>
      <c r="L2289" t="s">
        <v>69</v>
      </c>
      <c r="M2289">
        <f>orders[[#This Row],[Ship Date]]-orders[[#This Row],[Order Date]]</f>
        <v>3</v>
      </c>
      <c r="N2289">
        <f>WEEKNUM(orders[[#This Row],[Order Date]],2)</f>
        <v>13</v>
      </c>
      <c r="O2289" t="str" cm="1">
        <f t="array" ref="O22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90" spans="1:15" x14ac:dyDescent="0.3">
      <c r="A2290" t="s">
        <v>2388</v>
      </c>
      <c r="B2290" t="s">
        <v>19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86</v>
      </c>
      <c r="I2290" t="s">
        <v>32</v>
      </c>
      <c r="J2290">
        <v>3</v>
      </c>
      <c r="K2290" t="s">
        <v>16</v>
      </c>
      <c r="L2290" t="s">
        <v>69</v>
      </c>
      <c r="M2290">
        <f>orders[[#This Row],[Ship Date]]-orders[[#This Row],[Order Date]]</f>
        <v>2</v>
      </c>
      <c r="N2290">
        <f>WEEKNUM(orders[[#This Row],[Order Date]],2)</f>
        <v>13</v>
      </c>
      <c r="O2290" t="str" cm="1">
        <f t="array" ref="O229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291" spans="1:15" x14ac:dyDescent="0.3">
      <c r="A2291" t="s">
        <v>2389</v>
      </c>
      <c r="B2291" t="s">
        <v>41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20</v>
      </c>
      <c r="I2291" t="s">
        <v>15</v>
      </c>
      <c r="J2291">
        <v>4</v>
      </c>
      <c r="K2291" t="s">
        <v>16</v>
      </c>
      <c r="L2291" t="s">
        <v>71</v>
      </c>
      <c r="M2291">
        <f>orders[[#This Row],[Ship Date]]-orders[[#This Row],[Order Date]]</f>
        <v>1</v>
      </c>
      <c r="N2291">
        <f>WEEKNUM(orders[[#This Row],[Order Date]],2)</f>
        <v>13</v>
      </c>
      <c r="O2291" t="str" cm="1">
        <f t="array" ref="O229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92" spans="1:15" x14ac:dyDescent="0.3">
      <c r="A2292" t="s">
        <v>2390</v>
      </c>
      <c r="B2292" t="s">
        <v>125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20</v>
      </c>
      <c r="I2292" t="s">
        <v>15</v>
      </c>
      <c r="J2292">
        <v>4</v>
      </c>
      <c r="K2292" t="s">
        <v>16</v>
      </c>
      <c r="L2292" t="s">
        <v>74</v>
      </c>
      <c r="M2292">
        <f>orders[[#This Row],[Ship Date]]-orders[[#This Row],[Order Date]]</f>
        <v>6</v>
      </c>
      <c r="N2292">
        <f>WEEKNUM(orders[[#This Row],[Order Date]],2)</f>
        <v>13</v>
      </c>
      <c r="O2292" t="str" cm="1">
        <f t="array" ref="O229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93" spans="1:15" x14ac:dyDescent="0.3">
      <c r="A2293" t="s">
        <v>2391</v>
      </c>
      <c r="B2293" t="s">
        <v>19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24</v>
      </c>
      <c r="I2293" t="s">
        <v>15</v>
      </c>
      <c r="J2293">
        <v>5</v>
      </c>
      <c r="K2293" t="s">
        <v>16</v>
      </c>
      <c r="L2293" t="s">
        <v>74</v>
      </c>
      <c r="M2293">
        <f>orders[[#This Row],[Ship Date]]-orders[[#This Row],[Order Date]]</f>
        <v>1</v>
      </c>
      <c r="N2293">
        <f>WEEKNUM(orders[[#This Row],[Order Date]],2)</f>
        <v>13</v>
      </c>
      <c r="O2293" t="str" cm="1">
        <f t="array" ref="O229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94" spans="1:15" x14ac:dyDescent="0.3">
      <c r="A2294" t="s">
        <v>2392</v>
      </c>
      <c r="B2294" t="s">
        <v>41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20</v>
      </c>
      <c r="I2294" t="s">
        <v>15</v>
      </c>
      <c r="J2294">
        <v>3</v>
      </c>
      <c r="K2294" t="s">
        <v>16</v>
      </c>
      <c r="L2294" t="s">
        <v>107</v>
      </c>
      <c r="M2294">
        <f>orders[[#This Row],[Ship Date]]-orders[[#This Row],[Order Date]]</f>
        <v>1</v>
      </c>
      <c r="N2294">
        <f>WEEKNUM(orders[[#This Row],[Order Date]],2)</f>
        <v>13</v>
      </c>
      <c r="O2294" t="str" cm="1">
        <f t="array" ref="O22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95" spans="1:15" x14ac:dyDescent="0.3">
      <c r="A2295" t="s">
        <v>2393</v>
      </c>
      <c r="B2295" t="s">
        <v>41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86</v>
      </c>
      <c r="I2295" t="s">
        <v>48</v>
      </c>
      <c r="J2295">
        <v>3</v>
      </c>
      <c r="K2295" t="s">
        <v>16</v>
      </c>
      <c r="L2295" t="s">
        <v>289</v>
      </c>
      <c r="M2295">
        <f>orders[[#This Row],[Ship Date]]-orders[[#This Row],[Order Date]]</f>
        <v>2</v>
      </c>
      <c r="N2295">
        <f>WEEKNUM(orders[[#This Row],[Order Date]],2)</f>
        <v>13</v>
      </c>
      <c r="O2295" t="str" cm="1">
        <f t="array" ref="O229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296" spans="1:15" x14ac:dyDescent="0.3">
      <c r="A2296" t="s">
        <v>2394</v>
      </c>
      <c r="B2296" t="s">
        <v>125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20</v>
      </c>
      <c r="I2296" t="s">
        <v>32</v>
      </c>
      <c r="J2296">
        <v>2</v>
      </c>
      <c r="K2296" t="s">
        <v>16</v>
      </c>
      <c r="L2296" t="s">
        <v>110</v>
      </c>
      <c r="M2296">
        <f>orders[[#This Row],[Ship Date]]-orders[[#This Row],[Order Date]]</f>
        <v>4</v>
      </c>
      <c r="N2296">
        <f>WEEKNUM(orders[[#This Row],[Order Date]],2)</f>
        <v>13</v>
      </c>
      <c r="O2296" t="str" cm="1">
        <f t="array" ref="O22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97" spans="1:15" x14ac:dyDescent="0.3">
      <c r="A2297" t="s">
        <v>2395</v>
      </c>
      <c r="B2297" t="s">
        <v>41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24</v>
      </c>
      <c r="I2297" t="s">
        <v>37</v>
      </c>
      <c r="J2297">
        <v>2</v>
      </c>
      <c r="K2297" t="s">
        <v>16</v>
      </c>
      <c r="L2297" t="s">
        <v>79</v>
      </c>
      <c r="M2297">
        <f>orders[[#This Row],[Ship Date]]-orders[[#This Row],[Order Date]]</f>
        <v>2</v>
      </c>
      <c r="N2297">
        <f>WEEKNUM(orders[[#This Row],[Order Date]],2)</f>
        <v>13</v>
      </c>
      <c r="O2297" t="str" cm="1">
        <f t="array" ref="O229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298" spans="1:15" x14ac:dyDescent="0.3">
      <c r="A2298" t="s">
        <v>2396</v>
      </c>
      <c r="B2298" t="s">
        <v>27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20</v>
      </c>
      <c r="I2298" t="s">
        <v>32</v>
      </c>
      <c r="J2298">
        <v>5</v>
      </c>
      <c r="K2298" t="s">
        <v>16</v>
      </c>
      <c r="L2298" t="s">
        <v>1380</v>
      </c>
      <c r="M2298">
        <f>orders[[#This Row],[Ship Date]]-orders[[#This Row],[Order Date]]</f>
        <v>1</v>
      </c>
      <c r="N2298">
        <f>WEEKNUM(orders[[#This Row],[Order Date]],2)</f>
        <v>13</v>
      </c>
      <c r="O2298" t="str" cm="1">
        <f t="array" ref="O22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299" spans="1:15" x14ac:dyDescent="0.3">
      <c r="A2299" t="s">
        <v>2397</v>
      </c>
      <c r="B2299" t="s">
        <v>36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20</v>
      </c>
      <c r="I2299" t="s">
        <v>67</v>
      </c>
      <c r="J2299">
        <v>5</v>
      </c>
      <c r="K2299" t="s">
        <v>16</v>
      </c>
      <c r="L2299" t="s">
        <v>25</v>
      </c>
      <c r="M2299">
        <f>orders[[#This Row],[Ship Date]]-orders[[#This Row],[Order Date]]</f>
        <v>2</v>
      </c>
      <c r="N2299">
        <f>WEEKNUM(orders[[#This Row],[Order Date]],2)</f>
        <v>13</v>
      </c>
      <c r="O2299" t="str" cm="1">
        <f t="array" ref="O229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00" spans="1:15" x14ac:dyDescent="0.3">
      <c r="A2300" t="s">
        <v>2398</v>
      </c>
      <c r="B2300" t="s">
        <v>23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20</v>
      </c>
      <c r="I2300" t="s">
        <v>15</v>
      </c>
      <c r="J2300">
        <v>4</v>
      </c>
      <c r="K2300" t="s">
        <v>16</v>
      </c>
      <c r="L2300" t="s">
        <v>25</v>
      </c>
      <c r="M2300">
        <f>orders[[#This Row],[Ship Date]]-orders[[#This Row],[Order Date]]</f>
        <v>1</v>
      </c>
      <c r="N2300">
        <f>WEEKNUM(orders[[#This Row],[Order Date]],2)</f>
        <v>13</v>
      </c>
      <c r="O2300" t="str" cm="1">
        <f t="array" ref="O230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01" spans="1:15" x14ac:dyDescent="0.3">
      <c r="A2301" t="s">
        <v>2399</v>
      </c>
      <c r="B2301" t="s">
        <v>41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24</v>
      </c>
      <c r="I2301" t="s">
        <v>15</v>
      </c>
      <c r="J2301">
        <v>4</v>
      </c>
      <c r="K2301" t="s">
        <v>16</v>
      </c>
      <c r="L2301" t="s">
        <v>584</v>
      </c>
      <c r="M2301">
        <f>orders[[#This Row],[Ship Date]]-orders[[#This Row],[Order Date]]</f>
        <v>14</v>
      </c>
      <c r="N2301">
        <f>WEEKNUM(orders[[#This Row],[Order Date]],2)</f>
        <v>13</v>
      </c>
      <c r="O2301" t="str" cm="1">
        <f t="array" ref="O230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02" spans="1:15" x14ac:dyDescent="0.3">
      <c r="A2302" t="s">
        <v>2400</v>
      </c>
      <c r="B2302" t="s">
        <v>27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20</v>
      </c>
      <c r="I2302" t="s">
        <v>37</v>
      </c>
      <c r="J2302">
        <v>4</v>
      </c>
      <c r="K2302" t="s">
        <v>16</v>
      </c>
      <c r="L2302" t="s">
        <v>144</v>
      </c>
      <c r="M2302">
        <f>orders[[#This Row],[Ship Date]]-orders[[#This Row],[Order Date]]</f>
        <v>1</v>
      </c>
      <c r="N2302">
        <f>WEEKNUM(orders[[#This Row],[Order Date]],2)</f>
        <v>13</v>
      </c>
      <c r="O2302" t="str" cm="1">
        <f t="array" ref="O230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03" spans="1:15" x14ac:dyDescent="0.3">
      <c r="A2303" t="s">
        <v>2401</v>
      </c>
      <c r="B2303" t="s">
        <v>36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20</v>
      </c>
      <c r="I2303" t="s">
        <v>32</v>
      </c>
      <c r="J2303">
        <v>3</v>
      </c>
      <c r="K2303" t="s">
        <v>16</v>
      </c>
      <c r="L2303" t="s">
        <v>946</v>
      </c>
      <c r="M2303">
        <f>orders[[#This Row],[Ship Date]]-orders[[#This Row],[Order Date]]</f>
        <v>7</v>
      </c>
      <c r="N2303">
        <f>WEEKNUM(orders[[#This Row],[Order Date]],2)</f>
        <v>13</v>
      </c>
      <c r="O2303" t="str" cm="1">
        <f t="array" ref="O230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04" spans="1:15" x14ac:dyDescent="0.3">
      <c r="A2304" t="s">
        <v>2402</v>
      </c>
      <c r="B2304" t="s">
        <v>29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20</v>
      </c>
      <c r="I2304" t="s">
        <v>37</v>
      </c>
      <c r="J2304">
        <v>4</v>
      </c>
      <c r="K2304" t="s">
        <v>16</v>
      </c>
      <c r="L2304" t="s">
        <v>30</v>
      </c>
      <c r="M2304">
        <f>orders[[#This Row],[Ship Date]]-orders[[#This Row],[Order Date]]</f>
        <v>2</v>
      </c>
      <c r="N2304">
        <f>WEEKNUM(orders[[#This Row],[Order Date]],2)</f>
        <v>13</v>
      </c>
      <c r="O2304" t="str" cm="1">
        <f t="array" ref="O230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05" spans="1:15" x14ac:dyDescent="0.3">
      <c r="A2305" t="s">
        <v>2403</v>
      </c>
      <c r="B2305" t="s">
        <v>23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24</v>
      </c>
      <c r="I2305" t="s">
        <v>15</v>
      </c>
      <c r="J2305">
        <v>4</v>
      </c>
      <c r="K2305" t="s">
        <v>16</v>
      </c>
      <c r="L2305" t="s">
        <v>30</v>
      </c>
      <c r="M2305">
        <f>orders[[#This Row],[Ship Date]]-orders[[#This Row],[Order Date]]</f>
        <v>3</v>
      </c>
      <c r="N2305">
        <f>WEEKNUM(orders[[#This Row],[Order Date]],2)</f>
        <v>13</v>
      </c>
      <c r="O2305" t="str" cm="1">
        <f t="array" ref="O230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06" spans="1:15" x14ac:dyDescent="0.3">
      <c r="A2306" t="s">
        <v>2404</v>
      </c>
      <c r="B2306" t="s">
        <v>41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24</v>
      </c>
      <c r="I2306" t="s">
        <v>15</v>
      </c>
      <c r="J2306">
        <v>3</v>
      </c>
      <c r="K2306" t="s">
        <v>16</v>
      </c>
      <c r="L2306" t="s">
        <v>30</v>
      </c>
      <c r="M2306">
        <f>orders[[#This Row],[Ship Date]]-orders[[#This Row],[Order Date]]</f>
        <v>4</v>
      </c>
      <c r="N2306">
        <f>WEEKNUM(orders[[#This Row],[Order Date]],2)</f>
        <v>13</v>
      </c>
      <c r="O2306" t="str" cm="1">
        <f t="array" ref="O230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07" spans="1:15" x14ac:dyDescent="0.3">
      <c r="A2307" t="s">
        <v>2405</v>
      </c>
      <c r="B2307" t="s">
        <v>43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20</v>
      </c>
      <c r="I2307" t="s">
        <v>37</v>
      </c>
      <c r="J2307">
        <v>3</v>
      </c>
      <c r="K2307" t="s">
        <v>16</v>
      </c>
      <c r="L2307" t="s">
        <v>30</v>
      </c>
      <c r="M2307">
        <f>orders[[#This Row],[Ship Date]]-orders[[#This Row],[Order Date]]</f>
        <v>1</v>
      </c>
      <c r="N2307">
        <f>WEEKNUM(orders[[#This Row],[Order Date]],2)</f>
        <v>13</v>
      </c>
      <c r="O2307" t="str" cm="1">
        <f t="array" ref="O230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08" spans="1:15" x14ac:dyDescent="0.3">
      <c r="A2308" t="s">
        <v>2406</v>
      </c>
      <c r="B2308" t="s">
        <v>34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24</v>
      </c>
      <c r="I2308" t="s">
        <v>32</v>
      </c>
      <c r="J2308">
        <v>5</v>
      </c>
      <c r="K2308" t="s">
        <v>16</v>
      </c>
      <c r="L2308" t="s">
        <v>30</v>
      </c>
      <c r="M2308">
        <f>orders[[#This Row],[Ship Date]]-orders[[#This Row],[Order Date]]</f>
        <v>2</v>
      </c>
      <c r="N2308">
        <f>WEEKNUM(orders[[#This Row],[Order Date]],2)</f>
        <v>13</v>
      </c>
      <c r="O2308" t="str" cm="1">
        <f t="array" ref="O230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09" spans="1:15" x14ac:dyDescent="0.3">
      <c r="A2309" t="s">
        <v>2407</v>
      </c>
      <c r="B2309" t="s">
        <v>27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14</v>
      </c>
      <c r="I2309" t="s">
        <v>32</v>
      </c>
      <c r="J2309">
        <v>4</v>
      </c>
      <c r="K2309" t="s">
        <v>16</v>
      </c>
      <c r="L2309" t="s">
        <v>30</v>
      </c>
      <c r="M2309">
        <f>orders[[#This Row],[Ship Date]]-orders[[#This Row],[Order Date]]</f>
        <v>10</v>
      </c>
      <c r="N2309">
        <f>WEEKNUM(orders[[#This Row],[Order Date]],2)</f>
        <v>13</v>
      </c>
      <c r="O2309" t="str" cm="1">
        <f t="array" ref="O230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10" spans="1:15" x14ac:dyDescent="0.3">
      <c r="A2310" t="s">
        <v>2408</v>
      </c>
      <c r="B2310" t="s">
        <v>34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20</v>
      </c>
      <c r="I2310" t="s">
        <v>32</v>
      </c>
      <c r="J2310">
        <v>2</v>
      </c>
      <c r="K2310" t="s">
        <v>16</v>
      </c>
      <c r="L2310" t="s">
        <v>30</v>
      </c>
      <c r="M2310">
        <f>orders[[#This Row],[Ship Date]]-orders[[#This Row],[Order Date]]</f>
        <v>0</v>
      </c>
      <c r="N2310">
        <f>WEEKNUM(orders[[#This Row],[Order Date]],2)</f>
        <v>13</v>
      </c>
      <c r="O2310" t="str" cm="1">
        <f t="array" ref="O231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11" spans="1:15" x14ac:dyDescent="0.3">
      <c r="A2311" t="s">
        <v>2409</v>
      </c>
      <c r="B2311" t="s">
        <v>13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20</v>
      </c>
      <c r="I2311" t="s">
        <v>67</v>
      </c>
      <c r="J2311">
        <v>4</v>
      </c>
      <c r="K2311" t="s">
        <v>16</v>
      </c>
      <c r="L2311" t="s">
        <v>30</v>
      </c>
      <c r="M2311">
        <f>orders[[#This Row],[Ship Date]]-orders[[#This Row],[Order Date]]</f>
        <v>2</v>
      </c>
      <c r="N2311">
        <f>WEEKNUM(orders[[#This Row],[Order Date]],2)</f>
        <v>13</v>
      </c>
      <c r="O2311" t="str" cm="1">
        <f t="array" ref="O231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12" spans="1:15" x14ac:dyDescent="0.3">
      <c r="A2312" t="s">
        <v>2410</v>
      </c>
      <c r="B2312" t="s">
        <v>73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20</v>
      </c>
      <c r="I2312" t="s">
        <v>15</v>
      </c>
      <c r="J2312">
        <v>3</v>
      </c>
      <c r="K2312" t="s">
        <v>16</v>
      </c>
      <c r="L2312" t="s">
        <v>30</v>
      </c>
      <c r="M2312">
        <f>orders[[#This Row],[Ship Date]]-orders[[#This Row],[Order Date]]</f>
        <v>1</v>
      </c>
      <c r="N2312">
        <f>WEEKNUM(orders[[#This Row],[Order Date]],2)</f>
        <v>13</v>
      </c>
      <c r="O2312" t="str" cm="1">
        <f t="array" ref="O231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13" spans="1:15" x14ac:dyDescent="0.3">
      <c r="A2313" t="s">
        <v>2411</v>
      </c>
      <c r="B2313" t="s">
        <v>66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24</v>
      </c>
      <c r="I2313" t="s">
        <v>37</v>
      </c>
      <c r="J2313">
        <v>3</v>
      </c>
      <c r="K2313" t="s">
        <v>16</v>
      </c>
      <c r="L2313" t="s">
        <v>30</v>
      </c>
      <c r="M2313">
        <f>orders[[#This Row],[Ship Date]]-orders[[#This Row],[Order Date]]</f>
        <v>2</v>
      </c>
      <c r="N2313">
        <f>WEEKNUM(orders[[#This Row],[Order Date]],2)</f>
        <v>13</v>
      </c>
      <c r="O2313" t="str" cm="1">
        <f t="array" ref="O231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14" spans="1:15" x14ac:dyDescent="0.3">
      <c r="A2314" t="s">
        <v>2412</v>
      </c>
      <c r="B2314" t="s">
        <v>39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24</v>
      </c>
      <c r="I2314" t="s">
        <v>37</v>
      </c>
      <c r="J2314">
        <v>4</v>
      </c>
      <c r="K2314" t="s">
        <v>16</v>
      </c>
      <c r="L2314" t="s">
        <v>30</v>
      </c>
      <c r="M2314">
        <f>orders[[#This Row],[Ship Date]]-orders[[#This Row],[Order Date]]</f>
        <v>2</v>
      </c>
      <c r="N2314">
        <f>WEEKNUM(orders[[#This Row],[Order Date]],2)</f>
        <v>13</v>
      </c>
      <c r="O2314" t="str" cm="1">
        <f t="array" ref="O231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15" spans="1:15" x14ac:dyDescent="0.3">
      <c r="A2315" t="s">
        <v>2413</v>
      </c>
      <c r="B2315" t="s">
        <v>29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24</v>
      </c>
      <c r="I2315" t="s">
        <v>48</v>
      </c>
      <c r="J2315">
        <v>1</v>
      </c>
      <c r="K2315" t="s">
        <v>16</v>
      </c>
      <c r="L2315" t="s">
        <v>30</v>
      </c>
      <c r="M2315">
        <f>orders[[#This Row],[Ship Date]]-orders[[#This Row],[Order Date]]</f>
        <v>4</v>
      </c>
      <c r="N2315">
        <f>WEEKNUM(orders[[#This Row],[Order Date]],2)</f>
        <v>13</v>
      </c>
      <c r="O2315" t="str" cm="1">
        <f t="array" ref="O231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16" spans="1:15" x14ac:dyDescent="0.3">
      <c r="A2316" t="s">
        <v>2414</v>
      </c>
      <c r="B2316" t="s">
        <v>125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24</v>
      </c>
      <c r="I2316" t="s">
        <v>15</v>
      </c>
      <c r="J2316">
        <v>4</v>
      </c>
      <c r="K2316" t="s">
        <v>16</v>
      </c>
      <c r="L2316" t="s">
        <v>30</v>
      </c>
      <c r="M2316">
        <f>orders[[#This Row],[Ship Date]]-orders[[#This Row],[Order Date]]</f>
        <v>1</v>
      </c>
      <c r="N2316">
        <f>WEEKNUM(orders[[#This Row],[Order Date]],2)</f>
        <v>13</v>
      </c>
      <c r="O2316" t="str" cm="1">
        <f t="array" ref="O231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17" spans="1:15" x14ac:dyDescent="0.3">
      <c r="A2317" t="s">
        <v>2415</v>
      </c>
      <c r="B2317" t="s">
        <v>19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24</v>
      </c>
      <c r="I2317" t="s">
        <v>15</v>
      </c>
      <c r="J2317">
        <v>5</v>
      </c>
      <c r="K2317" t="s">
        <v>16</v>
      </c>
      <c r="L2317" t="s">
        <v>30</v>
      </c>
      <c r="M2317">
        <f>orders[[#This Row],[Ship Date]]-orders[[#This Row],[Order Date]]</f>
        <v>6</v>
      </c>
      <c r="N2317">
        <f>WEEKNUM(orders[[#This Row],[Order Date]],2)</f>
        <v>13</v>
      </c>
      <c r="O2317" t="str" cm="1">
        <f t="array" ref="O231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18" spans="1:15" x14ac:dyDescent="0.3">
      <c r="A2318" t="s">
        <v>2416</v>
      </c>
      <c r="B2318" t="s">
        <v>29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20</v>
      </c>
      <c r="I2318" t="s">
        <v>32</v>
      </c>
      <c r="J2318">
        <v>5</v>
      </c>
      <c r="K2318" t="s">
        <v>16</v>
      </c>
      <c r="L2318" t="s">
        <v>30</v>
      </c>
      <c r="M2318">
        <f>orders[[#This Row],[Ship Date]]-orders[[#This Row],[Order Date]]</f>
        <v>2</v>
      </c>
      <c r="N2318">
        <f>WEEKNUM(orders[[#This Row],[Order Date]],2)</f>
        <v>13</v>
      </c>
      <c r="O2318" t="str" cm="1">
        <f t="array" ref="O231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19" spans="1:15" x14ac:dyDescent="0.3">
      <c r="A2319" t="s">
        <v>2417</v>
      </c>
      <c r="B2319" t="s">
        <v>36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14</v>
      </c>
      <c r="I2319" t="s">
        <v>15</v>
      </c>
      <c r="J2319">
        <v>4</v>
      </c>
      <c r="K2319" t="s">
        <v>16</v>
      </c>
      <c r="L2319" t="s">
        <v>30</v>
      </c>
      <c r="M2319">
        <f>orders[[#This Row],[Ship Date]]-orders[[#This Row],[Order Date]]</f>
        <v>2</v>
      </c>
      <c r="N2319">
        <f>WEEKNUM(orders[[#This Row],[Order Date]],2)</f>
        <v>13</v>
      </c>
      <c r="O2319" t="str" cm="1">
        <f t="array" ref="O231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20" spans="1:15" x14ac:dyDescent="0.3">
      <c r="A2320" t="s">
        <v>2418</v>
      </c>
      <c r="B2320" t="s">
        <v>41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14</v>
      </c>
      <c r="I2320" t="s">
        <v>15</v>
      </c>
      <c r="J2320">
        <v>3</v>
      </c>
      <c r="K2320" t="s">
        <v>16</v>
      </c>
      <c r="L2320" t="s">
        <v>30</v>
      </c>
      <c r="M2320">
        <f>orders[[#This Row],[Ship Date]]-orders[[#This Row],[Order Date]]</f>
        <v>0</v>
      </c>
      <c r="N2320">
        <f>WEEKNUM(orders[[#This Row],[Order Date]],2)</f>
        <v>13</v>
      </c>
      <c r="O2320" t="str" cm="1">
        <f t="array" ref="O2320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21" spans="1:15" x14ac:dyDescent="0.3">
      <c r="A2321" t="s">
        <v>2419</v>
      </c>
      <c r="B2321" t="s">
        <v>19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20</v>
      </c>
      <c r="I2321" t="s">
        <v>37</v>
      </c>
      <c r="J2321">
        <v>2</v>
      </c>
      <c r="K2321" t="s">
        <v>16</v>
      </c>
      <c r="L2321" t="s">
        <v>49</v>
      </c>
      <c r="M2321">
        <f>orders[[#This Row],[Ship Date]]-orders[[#This Row],[Order Date]]</f>
        <v>0</v>
      </c>
      <c r="N2321">
        <f>WEEKNUM(orders[[#This Row],[Order Date]],2)</f>
        <v>13</v>
      </c>
      <c r="O2321" t="str" cm="1">
        <f t="array" ref="O232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22" spans="1:15" x14ac:dyDescent="0.3">
      <c r="A2322" t="s">
        <v>2420</v>
      </c>
      <c r="B2322" t="s">
        <v>143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24</v>
      </c>
      <c r="I2322" t="s">
        <v>32</v>
      </c>
      <c r="J2322">
        <v>3</v>
      </c>
      <c r="K2322" t="s">
        <v>16</v>
      </c>
      <c r="L2322" t="s">
        <v>49</v>
      </c>
      <c r="M2322">
        <f>orders[[#This Row],[Ship Date]]-orders[[#This Row],[Order Date]]</f>
        <v>2</v>
      </c>
      <c r="N2322">
        <f>WEEKNUM(orders[[#This Row],[Order Date]],2)</f>
        <v>13</v>
      </c>
      <c r="O2322" t="str" cm="1">
        <f t="array" ref="O232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23" spans="1:15" x14ac:dyDescent="0.3">
      <c r="A2323" t="s">
        <v>2421</v>
      </c>
      <c r="B2323" t="s">
        <v>41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24</v>
      </c>
      <c r="I2323" t="s">
        <v>37</v>
      </c>
      <c r="J2323">
        <v>5</v>
      </c>
      <c r="K2323" t="s">
        <v>16</v>
      </c>
      <c r="L2323" t="s">
        <v>52</v>
      </c>
      <c r="M2323">
        <f>orders[[#This Row],[Ship Date]]-orders[[#This Row],[Order Date]]</f>
        <v>1</v>
      </c>
      <c r="N2323">
        <f>WEEKNUM(orders[[#This Row],[Order Date]],2)</f>
        <v>13</v>
      </c>
      <c r="O2323" t="str" cm="1">
        <f t="array" ref="O232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24" spans="1:15" x14ac:dyDescent="0.3">
      <c r="A2324" t="s">
        <v>2422</v>
      </c>
      <c r="B2324" t="s">
        <v>23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24</v>
      </c>
      <c r="I2324" t="s">
        <v>15</v>
      </c>
      <c r="J2324">
        <v>5</v>
      </c>
      <c r="K2324" t="s">
        <v>16</v>
      </c>
      <c r="L2324" t="s">
        <v>56</v>
      </c>
      <c r="M2324">
        <f>orders[[#This Row],[Ship Date]]-orders[[#This Row],[Order Date]]</f>
        <v>4</v>
      </c>
      <c r="N2324">
        <f>WEEKNUM(orders[[#This Row],[Order Date]],2)</f>
        <v>13</v>
      </c>
      <c r="O2324" t="str" cm="1">
        <f t="array" ref="O232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25" spans="1:15" x14ac:dyDescent="0.3">
      <c r="A2325" t="s">
        <v>2423</v>
      </c>
      <c r="B2325" t="s">
        <v>23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20</v>
      </c>
      <c r="I2325" t="s">
        <v>32</v>
      </c>
      <c r="J2325">
        <v>5</v>
      </c>
      <c r="K2325" t="s">
        <v>16</v>
      </c>
      <c r="L2325" t="s">
        <v>59</v>
      </c>
      <c r="M2325">
        <f>orders[[#This Row],[Ship Date]]-orders[[#This Row],[Order Date]]</f>
        <v>1</v>
      </c>
      <c r="N2325">
        <f>WEEKNUM(orders[[#This Row],[Order Date]],2)</f>
        <v>13</v>
      </c>
      <c r="O2325" t="str" cm="1">
        <f t="array" ref="O232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26" spans="1:15" x14ac:dyDescent="0.3">
      <c r="A2326" t="s">
        <v>2424</v>
      </c>
      <c r="B2326" t="s">
        <v>39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24</v>
      </c>
      <c r="I2326" t="s">
        <v>15</v>
      </c>
      <c r="J2326">
        <v>4</v>
      </c>
      <c r="K2326" t="s">
        <v>16</v>
      </c>
      <c r="L2326" t="s">
        <v>59</v>
      </c>
      <c r="M2326">
        <f>orders[[#This Row],[Ship Date]]-orders[[#This Row],[Order Date]]</f>
        <v>4</v>
      </c>
      <c r="N2326">
        <f>WEEKNUM(orders[[#This Row],[Order Date]],2)</f>
        <v>13</v>
      </c>
      <c r="O2326" t="str" cm="1">
        <f t="array" ref="O232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27" spans="1:15" x14ac:dyDescent="0.3">
      <c r="A2327" t="s">
        <v>2425</v>
      </c>
      <c r="B2327" t="s">
        <v>19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24</v>
      </c>
      <c r="I2327" t="s">
        <v>37</v>
      </c>
      <c r="J2327">
        <v>3</v>
      </c>
      <c r="K2327" t="s">
        <v>16</v>
      </c>
      <c r="L2327" t="s">
        <v>74</v>
      </c>
      <c r="M2327">
        <f>orders[[#This Row],[Ship Date]]-orders[[#This Row],[Order Date]]</f>
        <v>0</v>
      </c>
      <c r="N2327">
        <f>WEEKNUM(orders[[#This Row],[Order Date]],2)</f>
        <v>13</v>
      </c>
      <c r="O2327" t="str" cm="1">
        <f t="array" ref="O232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28" spans="1:15" x14ac:dyDescent="0.3">
      <c r="A2328" t="s">
        <v>2426</v>
      </c>
      <c r="B2328" t="s">
        <v>19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24</v>
      </c>
      <c r="I2328" t="s">
        <v>32</v>
      </c>
      <c r="J2328">
        <v>4</v>
      </c>
      <c r="K2328" t="s">
        <v>16</v>
      </c>
      <c r="L2328" t="s">
        <v>105</v>
      </c>
      <c r="M2328">
        <f>orders[[#This Row],[Ship Date]]-orders[[#This Row],[Order Date]]</f>
        <v>2</v>
      </c>
      <c r="N2328">
        <f>WEEKNUM(orders[[#This Row],[Order Date]],2)</f>
        <v>13</v>
      </c>
      <c r="O2328" t="str" cm="1">
        <f t="array" ref="O232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29" spans="1:15" x14ac:dyDescent="0.3">
      <c r="A2329" t="s">
        <v>2427</v>
      </c>
      <c r="B2329" t="s">
        <v>23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24</v>
      </c>
      <c r="I2329" t="s">
        <v>15</v>
      </c>
      <c r="J2329">
        <v>3</v>
      </c>
      <c r="K2329" t="s">
        <v>16</v>
      </c>
      <c r="L2329" t="s">
        <v>107</v>
      </c>
      <c r="M2329">
        <f>orders[[#This Row],[Ship Date]]-orders[[#This Row],[Order Date]]</f>
        <v>1</v>
      </c>
      <c r="N2329">
        <f>WEEKNUM(orders[[#This Row],[Order Date]],2)</f>
        <v>13</v>
      </c>
      <c r="O2329" t="str" cm="1">
        <f t="array" ref="O232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30" spans="1:15" x14ac:dyDescent="0.3">
      <c r="A2330" t="s">
        <v>2428</v>
      </c>
      <c r="B2330" t="s">
        <v>19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24</v>
      </c>
      <c r="I2330" t="s">
        <v>32</v>
      </c>
      <c r="J2330">
        <v>4</v>
      </c>
      <c r="K2330" t="s">
        <v>16</v>
      </c>
      <c r="L2330" t="s">
        <v>107</v>
      </c>
      <c r="M2330">
        <f>orders[[#This Row],[Ship Date]]-orders[[#This Row],[Order Date]]</f>
        <v>3</v>
      </c>
      <c r="N2330">
        <f>WEEKNUM(orders[[#This Row],[Order Date]],2)</f>
        <v>13</v>
      </c>
      <c r="O2330" t="str" cm="1">
        <f t="array" ref="O233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31" spans="1:15" x14ac:dyDescent="0.3">
      <c r="A2331" t="s">
        <v>2429</v>
      </c>
      <c r="B2331" t="s">
        <v>27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20</v>
      </c>
      <c r="I2331" t="s">
        <v>67</v>
      </c>
      <c r="J2331">
        <v>3</v>
      </c>
      <c r="K2331" t="s">
        <v>16</v>
      </c>
      <c r="L2331" t="s">
        <v>107</v>
      </c>
      <c r="M2331">
        <f>orders[[#This Row],[Ship Date]]-orders[[#This Row],[Order Date]]</f>
        <v>1</v>
      </c>
      <c r="N2331">
        <f>WEEKNUM(orders[[#This Row],[Order Date]],2)</f>
        <v>13</v>
      </c>
      <c r="O2331" t="str" cm="1">
        <f t="array" ref="O233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32" spans="1:15" x14ac:dyDescent="0.3">
      <c r="A2332" t="s">
        <v>2430</v>
      </c>
      <c r="B2332" t="s">
        <v>19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20</v>
      </c>
      <c r="I2332" t="s">
        <v>15</v>
      </c>
      <c r="J2332">
        <v>4</v>
      </c>
      <c r="K2332" t="s">
        <v>16</v>
      </c>
      <c r="L2332" t="s">
        <v>110</v>
      </c>
      <c r="M2332">
        <f>orders[[#This Row],[Ship Date]]-orders[[#This Row],[Order Date]]</f>
        <v>2</v>
      </c>
      <c r="N2332">
        <f>WEEKNUM(orders[[#This Row],[Order Date]],2)</f>
        <v>13</v>
      </c>
      <c r="O2332" t="str" cm="1">
        <f t="array" ref="O233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33" spans="1:15" x14ac:dyDescent="0.3">
      <c r="A2333" t="s">
        <v>2431</v>
      </c>
      <c r="B2333" t="s">
        <v>29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24</v>
      </c>
      <c r="I2333" t="s">
        <v>32</v>
      </c>
      <c r="J2333">
        <v>3</v>
      </c>
      <c r="K2333" t="s">
        <v>16</v>
      </c>
      <c r="L2333" t="s">
        <v>25</v>
      </c>
      <c r="M2333">
        <f>orders[[#This Row],[Ship Date]]-orders[[#This Row],[Order Date]]</f>
        <v>2</v>
      </c>
      <c r="N2333">
        <f>WEEKNUM(orders[[#This Row],[Order Date]],2)</f>
        <v>13</v>
      </c>
      <c r="O2333" t="str" cm="1">
        <f t="array" ref="O233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34" spans="1:15" x14ac:dyDescent="0.3">
      <c r="A2334" t="s">
        <v>2432</v>
      </c>
      <c r="B2334" t="s">
        <v>41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20</v>
      </c>
      <c r="I2334" t="s">
        <v>32</v>
      </c>
      <c r="J2334">
        <v>4</v>
      </c>
      <c r="K2334" t="s">
        <v>16</v>
      </c>
      <c r="L2334" t="s">
        <v>30</v>
      </c>
      <c r="M2334">
        <f>orders[[#This Row],[Ship Date]]-orders[[#This Row],[Order Date]]</f>
        <v>2</v>
      </c>
      <c r="N2334">
        <f>WEEKNUM(orders[[#This Row],[Order Date]],2)</f>
        <v>13</v>
      </c>
      <c r="O2334" t="str" cm="1">
        <f t="array" ref="O233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35" spans="1:15" x14ac:dyDescent="0.3">
      <c r="A2335" t="s">
        <v>2433</v>
      </c>
      <c r="B2335" t="s">
        <v>34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24</v>
      </c>
      <c r="I2335" t="s">
        <v>67</v>
      </c>
      <c r="J2335">
        <v>4</v>
      </c>
      <c r="K2335" t="s">
        <v>16</v>
      </c>
      <c r="L2335" t="s">
        <v>30</v>
      </c>
      <c r="M2335">
        <f>orders[[#This Row],[Ship Date]]-orders[[#This Row],[Order Date]]</f>
        <v>2</v>
      </c>
      <c r="N2335">
        <f>WEEKNUM(orders[[#This Row],[Order Date]],2)</f>
        <v>13</v>
      </c>
      <c r="O2335" t="str" cm="1">
        <f t="array" ref="O233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36" spans="1:15" x14ac:dyDescent="0.3">
      <c r="A2336" t="s">
        <v>2434</v>
      </c>
      <c r="B2336" t="s">
        <v>73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20</v>
      </c>
      <c r="I2336" t="s">
        <v>48</v>
      </c>
      <c r="J2336">
        <v>4</v>
      </c>
      <c r="K2336" t="s">
        <v>16</v>
      </c>
      <c r="L2336" t="s">
        <v>30</v>
      </c>
      <c r="M2336">
        <f>orders[[#This Row],[Ship Date]]-orders[[#This Row],[Order Date]]</f>
        <v>2</v>
      </c>
      <c r="N2336">
        <f>WEEKNUM(orders[[#This Row],[Order Date]],2)</f>
        <v>13</v>
      </c>
      <c r="O2336" t="str" cm="1">
        <f t="array" ref="O233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37" spans="1:15" x14ac:dyDescent="0.3">
      <c r="A2337" t="s">
        <v>2435</v>
      </c>
      <c r="B2337" t="s">
        <v>36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20</v>
      </c>
      <c r="I2337" t="s">
        <v>15</v>
      </c>
      <c r="J2337">
        <v>4</v>
      </c>
      <c r="K2337" t="s">
        <v>16</v>
      </c>
      <c r="L2337" t="s">
        <v>30</v>
      </c>
      <c r="M2337">
        <f>orders[[#This Row],[Ship Date]]-orders[[#This Row],[Order Date]]</f>
        <v>2</v>
      </c>
      <c r="N2337">
        <f>WEEKNUM(orders[[#This Row],[Order Date]],2)</f>
        <v>13</v>
      </c>
      <c r="O2337" t="str" cm="1">
        <f t="array" ref="O233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38" spans="1:15" x14ac:dyDescent="0.3">
      <c r="A2338" t="s">
        <v>2436</v>
      </c>
      <c r="B2338" t="s">
        <v>36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24</v>
      </c>
      <c r="I2338" t="s">
        <v>37</v>
      </c>
      <c r="J2338">
        <v>5</v>
      </c>
      <c r="K2338" t="s">
        <v>16</v>
      </c>
      <c r="L2338" t="s">
        <v>30</v>
      </c>
      <c r="M2338">
        <f>orders[[#This Row],[Ship Date]]-orders[[#This Row],[Order Date]]</f>
        <v>1</v>
      </c>
      <c r="N2338">
        <f>WEEKNUM(orders[[#This Row],[Order Date]],2)</f>
        <v>13</v>
      </c>
      <c r="O2338" t="str" cm="1">
        <f t="array" ref="O233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39" spans="1:15" x14ac:dyDescent="0.3">
      <c r="A2339" t="s">
        <v>2437</v>
      </c>
      <c r="B2339" t="s">
        <v>43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20</v>
      </c>
      <c r="I2339" t="s">
        <v>15</v>
      </c>
      <c r="J2339">
        <v>4</v>
      </c>
      <c r="K2339" t="s">
        <v>16</v>
      </c>
      <c r="L2339" t="s">
        <v>30</v>
      </c>
      <c r="M2339">
        <f>orders[[#This Row],[Ship Date]]-orders[[#This Row],[Order Date]]</f>
        <v>0</v>
      </c>
      <c r="N2339">
        <f>WEEKNUM(orders[[#This Row],[Order Date]],2)</f>
        <v>13</v>
      </c>
      <c r="O2339" t="str" cm="1">
        <f t="array" ref="O233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40" spans="1:15" x14ac:dyDescent="0.3">
      <c r="A2340" t="s">
        <v>2438</v>
      </c>
      <c r="B2340" t="s">
        <v>34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20</v>
      </c>
      <c r="I2340" t="s">
        <v>48</v>
      </c>
      <c r="J2340">
        <v>3</v>
      </c>
      <c r="K2340" t="s">
        <v>16</v>
      </c>
      <c r="L2340" t="s">
        <v>30</v>
      </c>
      <c r="M2340">
        <f>orders[[#This Row],[Ship Date]]-orders[[#This Row],[Order Date]]</f>
        <v>4</v>
      </c>
      <c r="N2340">
        <f>WEEKNUM(orders[[#This Row],[Order Date]],2)</f>
        <v>13</v>
      </c>
      <c r="O2340" t="str" cm="1">
        <f t="array" ref="O234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41" spans="1:15" x14ac:dyDescent="0.3">
      <c r="A2341" t="s">
        <v>2439</v>
      </c>
      <c r="B2341" t="s">
        <v>39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20</v>
      </c>
      <c r="I2341" t="s">
        <v>15</v>
      </c>
      <c r="J2341">
        <v>4</v>
      </c>
      <c r="K2341" t="s">
        <v>16</v>
      </c>
      <c r="L2341" t="s">
        <v>30</v>
      </c>
      <c r="M2341">
        <f>orders[[#This Row],[Ship Date]]-orders[[#This Row],[Order Date]]</f>
        <v>1</v>
      </c>
      <c r="N2341">
        <f>WEEKNUM(orders[[#This Row],[Order Date]],2)</f>
        <v>13</v>
      </c>
      <c r="O2341" t="str" cm="1">
        <f t="array" ref="O234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42" spans="1:15" x14ac:dyDescent="0.3">
      <c r="A2342" t="s">
        <v>2440</v>
      </c>
      <c r="B2342" t="s">
        <v>41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20</v>
      </c>
      <c r="I2342" t="s">
        <v>32</v>
      </c>
      <c r="J2342">
        <v>5</v>
      </c>
      <c r="K2342" t="s">
        <v>16</v>
      </c>
      <c r="L2342" t="s">
        <v>30</v>
      </c>
      <c r="M2342">
        <f>orders[[#This Row],[Ship Date]]-orders[[#This Row],[Order Date]]</f>
        <v>2</v>
      </c>
      <c r="N2342">
        <f>WEEKNUM(orders[[#This Row],[Order Date]],2)</f>
        <v>13</v>
      </c>
      <c r="O2342" t="str" cm="1">
        <f t="array" ref="O234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43" spans="1:15" x14ac:dyDescent="0.3">
      <c r="A2343" t="s">
        <v>2441</v>
      </c>
      <c r="B2343" t="s">
        <v>13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24</v>
      </c>
      <c r="I2343" t="s">
        <v>32</v>
      </c>
      <c r="J2343">
        <v>5</v>
      </c>
      <c r="K2343" t="s">
        <v>16</v>
      </c>
      <c r="L2343" t="s">
        <v>52</v>
      </c>
      <c r="M2343">
        <f>orders[[#This Row],[Ship Date]]-orders[[#This Row],[Order Date]]</f>
        <v>2</v>
      </c>
      <c r="N2343">
        <f>WEEKNUM(orders[[#This Row],[Order Date]],2)</f>
        <v>13</v>
      </c>
      <c r="O2343" t="str" cm="1">
        <f t="array" ref="O234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44" spans="1:15" x14ac:dyDescent="0.3">
      <c r="A2344" t="s">
        <v>2442</v>
      </c>
      <c r="B2344" t="s">
        <v>64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20</v>
      </c>
      <c r="I2344" t="s">
        <v>48</v>
      </c>
      <c r="J2344">
        <v>1</v>
      </c>
      <c r="K2344" t="s">
        <v>16</v>
      </c>
      <c r="L2344" t="s">
        <v>52</v>
      </c>
      <c r="M2344">
        <f>orders[[#This Row],[Ship Date]]-orders[[#This Row],[Order Date]]</f>
        <v>3</v>
      </c>
      <c r="N2344">
        <f>WEEKNUM(orders[[#This Row],[Order Date]],2)</f>
        <v>13</v>
      </c>
      <c r="O2344" t="str" cm="1">
        <f t="array" ref="O234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45" spans="1:15" x14ac:dyDescent="0.3">
      <c r="A2345" t="s">
        <v>2443</v>
      </c>
      <c r="B2345" t="s">
        <v>36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86</v>
      </c>
      <c r="I2345" t="s">
        <v>15</v>
      </c>
      <c r="J2345">
        <v>4</v>
      </c>
      <c r="K2345" t="s">
        <v>16</v>
      </c>
      <c r="L2345" t="s">
        <v>56</v>
      </c>
      <c r="M2345">
        <f>orders[[#This Row],[Ship Date]]-orders[[#This Row],[Order Date]]</f>
        <v>2</v>
      </c>
      <c r="N2345">
        <f>WEEKNUM(orders[[#This Row],[Order Date]],2)</f>
        <v>13</v>
      </c>
      <c r="O2345" t="str" cm="1">
        <f t="array" ref="O2345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346" spans="1:15" x14ac:dyDescent="0.3">
      <c r="A2346" t="s">
        <v>2444</v>
      </c>
      <c r="B2346" t="s">
        <v>43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24</v>
      </c>
      <c r="I2346" t="s">
        <v>67</v>
      </c>
      <c r="J2346">
        <v>4</v>
      </c>
      <c r="K2346" t="s">
        <v>16</v>
      </c>
      <c r="L2346" t="s">
        <v>59</v>
      </c>
      <c r="M2346">
        <f>orders[[#This Row],[Ship Date]]-orders[[#This Row],[Order Date]]</f>
        <v>3</v>
      </c>
      <c r="N2346">
        <f>WEEKNUM(orders[[#This Row],[Order Date]],2)</f>
        <v>13</v>
      </c>
      <c r="O2346" t="str" cm="1">
        <f t="array" ref="O234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47" spans="1:15" x14ac:dyDescent="0.3">
      <c r="A2347" t="s">
        <v>2445</v>
      </c>
      <c r="B2347" t="s">
        <v>125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24</v>
      </c>
      <c r="I2347" t="s">
        <v>67</v>
      </c>
      <c r="J2347">
        <v>4</v>
      </c>
      <c r="K2347" t="s">
        <v>16</v>
      </c>
      <c r="L2347" t="s">
        <v>59</v>
      </c>
      <c r="M2347">
        <f>orders[[#This Row],[Ship Date]]-orders[[#This Row],[Order Date]]</f>
        <v>3</v>
      </c>
      <c r="N2347">
        <f>WEEKNUM(orders[[#This Row],[Order Date]],2)</f>
        <v>13</v>
      </c>
      <c r="O2347" t="str" cm="1">
        <f t="array" ref="O234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48" spans="1:15" x14ac:dyDescent="0.3">
      <c r="A2348" t="s">
        <v>2446</v>
      </c>
      <c r="B2348" t="s">
        <v>23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24</v>
      </c>
      <c r="I2348" t="s">
        <v>32</v>
      </c>
      <c r="J2348">
        <v>4</v>
      </c>
      <c r="K2348" t="s">
        <v>16</v>
      </c>
      <c r="L2348" t="s">
        <v>59</v>
      </c>
      <c r="M2348">
        <f>orders[[#This Row],[Ship Date]]-orders[[#This Row],[Order Date]]</f>
        <v>1</v>
      </c>
      <c r="N2348">
        <f>WEEKNUM(orders[[#This Row],[Order Date]],2)</f>
        <v>13</v>
      </c>
      <c r="O2348" t="str" cm="1">
        <f t="array" ref="O234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49" spans="1:15" x14ac:dyDescent="0.3">
      <c r="A2349" t="s">
        <v>2447</v>
      </c>
      <c r="B2349" t="s">
        <v>36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24</v>
      </c>
      <c r="I2349" t="s">
        <v>67</v>
      </c>
      <c r="J2349">
        <v>4</v>
      </c>
      <c r="K2349" t="s">
        <v>16</v>
      </c>
      <c r="L2349" t="s">
        <v>59</v>
      </c>
      <c r="M2349">
        <f>orders[[#This Row],[Ship Date]]-orders[[#This Row],[Order Date]]</f>
        <v>1</v>
      </c>
      <c r="N2349">
        <f>WEEKNUM(orders[[#This Row],[Order Date]],2)</f>
        <v>13</v>
      </c>
      <c r="O2349" t="str" cm="1">
        <f t="array" ref="O234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0" spans="1:15" x14ac:dyDescent="0.3">
      <c r="A2350" t="s">
        <v>2448</v>
      </c>
      <c r="B2350" t="s">
        <v>41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86</v>
      </c>
      <c r="I2350" t="s">
        <v>15</v>
      </c>
      <c r="J2350">
        <v>4</v>
      </c>
      <c r="K2350" t="s">
        <v>16</v>
      </c>
      <c r="L2350" t="s">
        <v>59</v>
      </c>
      <c r="M2350">
        <f>orders[[#This Row],[Ship Date]]-orders[[#This Row],[Order Date]]</f>
        <v>4</v>
      </c>
      <c r="N2350">
        <f>WEEKNUM(orders[[#This Row],[Order Date]],2)</f>
        <v>13</v>
      </c>
      <c r="O2350" t="str" cm="1">
        <f t="array" ref="O2350">_xlfn.IFS(orders[[#This Row],[Customer Gender]]="M","Male",orders[[#This Row],[Customer Gender]]="F","Female",orders[[#This Row],[Customer Gender]]="O","Other",OR(orders[[#This Row],[Customer Gender]]=" ",orders[[#This Row],[Customer Gender]]=""),"Unknown")</f>
        <v>Other</v>
      </c>
    </row>
    <row r="2351" spans="1:15" x14ac:dyDescent="0.3">
      <c r="A2351" t="s">
        <v>2449</v>
      </c>
      <c r="B2351" t="s">
        <v>43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24</v>
      </c>
      <c r="I2351" t="s">
        <v>67</v>
      </c>
      <c r="J2351">
        <v>3</v>
      </c>
      <c r="K2351" t="s">
        <v>16</v>
      </c>
      <c r="L2351" t="s">
        <v>198</v>
      </c>
      <c r="M2351">
        <f>orders[[#This Row],[Ship Date]]-orders[[#This Row],[Order Date]]</f>
        <v>3</v>
      </c>
      <c r="N2351">
        <f>WEEKNUM(orders[[#This Row],[Order Date]],2)</f>
        <v>13</v>
      </c>
      <c r="O2351" t="str" cm="1">
        <f t="array" ref="O235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2" spans="1:15" x14ac:dyDescent="0.3">
      <c r="A2352" t="s">
        <v>2450</v>
      </c>
      <c r="B2352" t="s">
        <v>13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24</v>
      </c>
      <c r="I2352" t="s">
        <v>48</v>
      </c>
      <c r="J2352">
        <v>2</v>
      </c>
      <c r="K2352" t="s">
        <v>16</v>
      </c>
      <c r="L2352" t="s">
        <v>74</v>
      </c>
      <c r="M2352">
        <f>orders[[#This Row],[Ship Date]]-orders[[#This Row],[Order Date]]</f>
        <v>2</v>
      </c>
      <c r="N2352">
        <f>WEEKNUM(orders[[#This Row],[Order Date]],2)</f>
        <v>13</v>
      </c>
      <c r="O2352" t="str" cm="1">
        <f t="array" ref="O235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3" spans="1:15" x14ac:dyDescent="0.3">
      <c r="A2353" t="s">
        <v>2451</v>
      </c>
      <c r="B2353" t="s">
        <v>23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24</v>
      </c>
      <c r="I2353" t="s">
        <v>32</v>
      </c>
      <c r="J2353">
        <v>5</v>
      </c>
      <c r="K2353" t="s">
        <v>16</v>
      </c>
      <c r="L2353" t="s">
        <v>1113</v>
      </c>
      <c r="M2353">
        <f>orders[[#This Row],[Ship Date]]-orders[[#This Row],[Order Date]]</f>
        <v>1</v>
      </c>
      <c r="N2353">
        <f>WEEKNUM(orders[[#This Row],[Order Date]],2)</f>
        <v>13</v>
      </c>
      <c r="O2353" t="str" cm="1">
        <f t="array" ref="O235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4" spans="1:15" x14ac:dyDescent="0.3">
      <c r="A2354" t="s">
        <v>2452</v>
      </c>
      <c r="B2354" t="s">
        <v>19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24</v>
      </c>
      <c r="I2354" t="s">
        <v>32</v>
      </c>
      <c r="J2354">
        <v>4</v>
      </c>
      <c r="K2354" t="s">
        <v>16</v>
      </c>
      <c r="L2354" t="s">
        <v>21</v>
      </c>
      <c r="M2354">
        <f>orders[[#This Row],[Ship Date]]-orders[[#This Row],[Order Date]]</f>
        <v>4</v>
      </c>
      <c r="N2354">
        <f>WEEKNUM(orders[[#This Row],[Order Date]],2)</f>
        <v>13</v>
      </c>
      <c r="O2354" t="str" cm="1">
        <f t="array" ref="O235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5" spans="1:15" x14ac:dyDescent="0.3">
      <c r="A2355" t="s">
        <v>2453</v>
      </c>
      <c r="B2355" t="s">
        <v>51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14</v>
      </c>
      <c r="I2355" t="s">
        <v>15</v>
      </c>
      <c r="J2355">
        <v>3</v>
      </c>
      <c r="K2355" t="s">
        <v>16</v>
      </c>
      <c r="L2355" t="s">
        <v>21</v>
      </c>
      <c r="M2355">
        <f>orders[[#This Row],[Ship Date]]-orders[[#This Row],[Order Date]]</f>
        <v>2</v>
      </c>
      <c r="N2355">
        <f>WEEKNUM(orders[[#This Row],[Order Date]],2)</f>
        <v>13</v>
      </c>
      <c r="O2355" t="str" cm="1">
        <f t="array" ref="O2355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56" spans="1:15" x14ac:dyDescent="0.3">
      <c r="A2356" t="s">
        <v>2454</v>
      </c>
      <c r="B2356" t="s">
        <v>43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24</v>
      </c>
      <c r="I2356" t="s">
        <v>48</v>
      </c>
      <c r="J2356">
        <v>5</v>
      </c>
      <c r="K2356" t="s">
        <v>16</v>
      </c>
      <c r="L2356" t="s">
        <v>25</v>
      </c>
      <c r="M2356">
        <f>orders[[#This Row],[Ship Date]]-orders[[#This Row],[Order Date]]</f>
        <v>2</v>
      </c>
      <c r="N2356">
        <f>WEEKNUM(orders[[#This Row],[Order Date]],2)</f>
        <v>13</v>
      </c>
      <c r="O2356" t="str" cm="1">
        <f t="array" ref="O2356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7" spans="1:15" x14ac:dyDescent="0.3">
      <c r="A2357" t="s">
        <v>2455</v>
      </c>
      <c r="B2357" t="s">
        <v>36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24</v>
      </c>
      <c r="I2357" t="s">
        <v>37</v>
      </c>
      <c r="J2357">
        <v>5</v>
      </c>
      <c r="K2357" t="s">
        <v>16</v>
      </c>
      <c r="L2357" t="s">
        <v>144</v>
      </c>
      <c r="M2357">
        <f>orders[[#This Row],[Ship Date]]-orders[[#This Row],[Order Date]]</f>
        <v>3</v>
      </c>
      <c r="N2357">
        <f>WEEKNUM(orders[[#This Row],[Order Date]],2)</f>
        <v>13</v>
      </c>
      <c r="O2357" t="str" cm="1">
        <f t="array" ref="O235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8" spans="1:15" x14ac:dyDescent="0.3">
      <c r="A2358" t="s">
        <v>2456</v>
      </c>
      <c r="B2358" t="s">
        <v>66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24</v>
      </c>
      <c r="I2358" t="s">
        <v>67</v>
      </c>
      <c r="J2358">
        <v>3</v>
      </c>
      <c r="K2358" t="s">
        <v>16</v>
      </c>
      <c r="L2358" t="s">
        <v>331</v>
      </c>
      <c r="M2358">
        <f>orders[[#This Row],[Ship Date]]-orders[[#This Row],[Order Date]]</f>
        <v>1</v>
      </c>
      <c r="N2358">
        <f>WEEKNUM(orders[[#This Row],[Order Date]],2)</f>
        <v>13</v>
      </c>
      <c r="O2358" t="str" cm="1">
        <f t="array" ref="O235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59" spans="1:15" x14ac:dyDescent="0.3">
      <c r="A2359" t="s">
        <v>2457</v>
      </c>
      <c r="B2359" t="s">
        <v>125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20</v>
      </c>
      <c r="I2359" t="s">
        <v>37</v>
      </c>
      <c r="J2359">
        <v>3</v>
      </c>
      <c r="K2359" t="s">
        <v>16</v>
      </c>
      <c r="L2359" t="s">
        <v>30</v>
      </c>
      <c r="M2359">
        <f>orders[[#This Row],[Ship Date]]-orders[[#This Row],[Order Date]]</f>
        <v>1</v>
      </c>
      <c r="N2359">
        <f>WEEKNUM(orders[[#This Row],[Order Date]],2)</f>
        <v>13</v>
      </c>
      <c r="O2359" t="str" cm="1">
        <f t="array" ref="O235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60" spans="1:15" x14ac:dyDescent="0.3">
      <c r="A2360" t="s">
        <v>2458</v>
      </c>
      <c r="B2360" t="s">
        <v>43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20</v>
      </c>
      <c r="I2360" t="s">
        <v>67</v>
      </c>
      <c r="J2360">
        <v>4</v>
      </c>
      <c r="K2360" t="s">
        <v>16</v>
      </c>
      <c r="L2360" t="s">
        <v>30</v>
      </c>
      <c r="M2360">
        <f>orders[[#This Row],[Ship Date]]-orders[[#This Row],[Order Date]]</f>
        <v>1</v>
      </c>
      <c r="N2360">
        <f>WEEKNUM(orders[[#This Row],[Order Date]],2)</f>
        <v>13</v>
      </c>
      <c r="O2360" t="str" cm="1">
        <f t="array" ref="O236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61" spans="1:15" x14ac:dyDescent="0.3">
      <c r="A2361" t="s">
        <v>2459</v>
      </c>
      <c r="B2361" t="s">
        <v>41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24</v>
      </c>
      <c r="I2361" t="s">
        <v>37</v>
      </c>
      <c r="J2361">
        <v>5</v>
      </c>
      <c r="K2361" t="s">
        <v>16</v>
      </c>
      <c r="L2361" t="s">
        <v>30</v>
      </c>
      <c r="M2361">
        <f>orders[[#This Row],[Ship Date]]-orders[[#This Row],[Order Date]]</f>
        <v>3</v>
      </c>
      <c r="N2361">
        <f>WEEKNUM(orders[[#This Row],[Order Date]],2)</f>
        <v>13</v>
      </c>
      <c r="O2361" t="str" cm="1">
        <f t="array" ref="O236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62" spans="1:15" x14ac:dyDescent="0.3">
      <c r="A2362" t="s">
        <v>2460</v>
      </c>
      <c r="B2362" t="s">
        <v>41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20</v>
      </c>
      <c r="I2362" t="s">
        <v>48</v>
      </c>
      <c r="J2362">
        <v>4</v>
      </c>
      <c r="K2362" t="s">
        <v>16</v>
      </c>
      <c r="L2362" t="s">
        <v>30</v>
      </c>
      <c r="M2362">
        <f>orders[[#This Row],[Ship Date]]-orders[[#This Row],[Order Date]]</f>
        <v>1</v>
      </c>
      <c r="N2362">
        <f>WEEKNUM(orders[[#This Row],[Order Date]],2)</f>
        <v>13</v>
      </c>
      <c r="O2362" t="str" cm="1">
        <f t="array" ref="O2362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63" spans="1:15" x14ac:dyDescent="0.3">
      <c r="A2363" t="s">
        <v>2461</v>
      </c>
      <c r="B2363" t="s">
        <v>23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24</v>
      </c>
      <c r="I2363" t="s">
        <v>67</v>
      </c>
      <c r="J2363">
        <v>3</v>
      </c>
      <c r="K2363" t="s">
        <v>16</v>
      </c>
      <c r="L2363" t="s">
        <v>30</v>
      </c>
      <c r="M2363">
        <f>orders[[#This Row],[Ship Date]]-orders[[#This Row],[Order Date]]</f>
        <v>2</v>
      </c>
      <c r="N2363">
        <f>WEEKNUM(orders[[#This Row],[Order Date]],2)</f>
        <v>13</v>
      </c>
      <c r="O2363" t="str" cm="1">
        <f t="array" ref="O2363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64" spans="1:15" x14ac:dyDescent="0.3">
      <c r="A2364" t="s">
        <v>2462</v>
      </c>
      <c r="B2364" t="s">
        <v>23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24</v>
      </c>
      <c r="I2364" t="s">
        <v>37</v>
      </c>
      <c r="J2364">
        <v>1</v>
      </c>
      <c r="K2364" t="s">
        <v>16</v>
      </c>
      <c r="L2364" t="s">
        <v>542</v>
      </c>
      <c r="M2364">
        <f>orders[[#This Row],[Ship Date]]-orders[[#This Row],[Order Date]]</f>
        <v>0</v>
      </c>
      <c r="N2364">
        <f>WEEKNUM(orders[[#This Row],[Order Date]],2)</f>
        <v>13</v>
      </c>
      <c r="O2364" t="str" cm="1">
        <f t="array" ref="O236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65" spans="1:15" x14ac:dyDescent="0.3">
      <c r="A2365" t="s">
        <v>2463</v>
      </c>
      <c r="B2365" t="s">
        <v>41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20</v>
      </c>
      <c r="I2365" t="s">
        <v>48</v>
      </c>
      <c r="J2365">
        <v>4</v>
      </c>
      <c r="K2365" t="s">
        <v>16</v>
      </c>
      <c r="L2365" t="s">
        <v>52</v>
      </c>
      <c r="M2365">
        <f>orders[[#This Row],[Ship Date]]-orders[[#This Row],[Order Date]]</f>
        <v>3</v>
      </c>
      <c r="N2365">
        <f>WEEKNUM(orders[[#This Row],[Order Date]],2)</f>
        <v>13</v>
      </c>
      <c r="O2365" t="str" cm="1">
        <f t="array" ref="O236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66" spans="1:15" x14ac:dyDescent="0.3">
      <c r="A2366" t="s">
        <v>2464</v>
      </c>
      <c r="B2366" t="s">
        <v>19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20</v>
      </c>
      <c r="I2366" t="s">
        <v>15</v>
      </c>
      <c r="J2366">
        <v>4</v>
      </c>
      <c r="K2366" t="s">
        <v>16</v>
      </c>
      <c r="L2366" t="s">
        <v>52</v>
      </c>
      <c r="M2366">
        <f>orders[[#This Row],[Ship Date]]-orders[[#This Row],[Order Date]]</f>
        <v>1</v>
      </c>
      <c r="N2366">
        <f>WEEKNUM(orders[[#This Row],[Order Date]],2)</f>
        <v>13</v>
      </c>
      <c r="O2366" t="str" cm="1">
        <f t="array" ref="O236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67" spans="1:15" x14ac:dyDescent="0.3">
      <c r="A2367" t="s">
        <v>2465</v>
      </c>
      <c r="B2367" t="s">
        <v>43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24</v>
      </c>
      <c r="I2367" t="s">
        <v>37</v>
      </c>
      <c r="J2367">
        <v>3</v>
      </c>
      <c r="K2367" t="s">
        <v>16</v>
      </c>
      <c r="L2367" t="s">
        <v>59</v>
      </c>
      <c r="M2367">
        <f>orders[[#This Row],[Ship Date]]-orders[[#This Row],[Order Date]]</f>
        <v>13</v>
      </c>
      <c r="N2367">
        <f>WEEKNUM(orders[[#This Row],[Order Date]],2)</f>
        <v>13</v>
      </c>
      <c r="O2367" t="str" cm="1">
        <f t="array" ref="O2367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68" spans="1:15" x14ac:dyDescent="0.3">
      <c r="A2368" t="s">
        <v>2466</v>
      </c>
      <c r="B2368" t="s">
        <v>39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20</v>
      </c>
      <c r="I2368" t="s">
        <v>48</v>
      </c>
      <c r="J2368">
        <v>3</v>
      </c>
      <c r="K2368" t="s">
        <v>16</v>
      </c>
      <c r="L2368" t="s">
        <v>59</v>
      </c>
      <c r="M2368">
        <f>orders[[#This Row],[Ship Date]]-orders[[#This Row],[Order Date]]</f>
        <v>5</v>
      </c>
      <c r="N2368">
        <f>WEEKNUM(orders[[#This Row],[Order Date]],2)</f>
        <v>13</v>
      </c>
      <c r="O2368" t="str" cm="1">
        <f t="array" ref="O236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69" spans="1:15" x14ac:dyDescent="0.3">
      <c r="A2369" t="s">
        <v>2467</v>
      </c>
      <c r="B2369" t="s">
        <v>43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14</v>
      </c>
      <c r="I2369" t="s">
        <v>32</v>
      </c>
      <c r="J2369">
        <v>5</v>
      </c>
      <c r="K2369" t="s">
        <v>16</v>
      </c>
      <c r="L2369" t="s">
        <v>59</v>
      </c>
      <c r="M2369">
        <f>orders[[#This Row],[Ship Date]]-orders[[#This Row],[Order Date]]</f>
        <v>7</v>
      </c>
      <c r="N2369">
        <f>WEEKNUM(orders[[#This Row],[Order Date]],2)</f>
        <v>13</v>
      </c>
      <c r="O2369" t="str" cm="1">
        <f t="array" ref="O2369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70" spans="1:15" x14ac:dyDescent="0.3">
      <c r="A2370" t="s">
        <v>2468</v>
      </c>
      <c r="B2370" t="s">
        <v>120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20</v>
      </c>
      <c r="I2370" t="s">
        <v>67</v>
      </c>
      <c r="J2370">
        <v>3</v>
      </c>
      <c r="K2370" t="s">
        <v>16</v>
      </c>
      <c r="L2370" t="s">
        <v>59</v>
      </c>
      <c r="M2370">
        <f>orders[[#This Row],[Ship Date]]-orders[[#This Row],[Order Date]]</f>
        <v>1</v>
      </c>
      <c r="N2370">
        <f>WEEKNUM(orders[[#This Row],[Order Date]],2)</f>
        <v>13</v>
      </c>
      <c r="O2370" t="str" cm="1">
        <f t="array" ref="O237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71" spans="1:15" x14ac:dyDescent="0.3">
      <c r="A2371" t="s">
        <v>2469</v>
      </c>
      <c r="B2371" t="s">
        <v>27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20</v>
      </c>
      <c r="I2371" t="s">
        <v>15</v>
      </c>
      <c r="J2371">
        <v>5</v>
      </c>
      <c r="K2371" t="s">
        <v>16</v>
      </c>
      <c r="L2371" t="s">
        <v>59</v>
      </c>
      <c r="M2371">
        <f>orders[[#This Row],[Ship Date]]-orders[[#This Row],[Order Date]]</f>
        <v>1</v>
      </c>
      <c r="N2371">
        <f>WEEKNUM(orders[[#This Row],[Order Date]],2)</f>
        <v>13</v>
      </c>
      <c r="O2371" t="str" cm="1">
        <f t="array" ref="O237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72" spans="1:15" x14ac:dyDescent="0.3">
      <c r="A2372" t="s">
        <v>2470</v>
      </c>
      <c r="B2372" t="s">
        <v>41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24</v>
      </c>
      <c r="I2372" t="s">
        <v>32</v>
      </c>
      <c r="J2372">
        <v>2</v>
      </c>
      <c r="K2372" t="s">
        <v>16</v>
      </c>
      <c r="L2372" t="s">
        <v>59</v>
      </c>
      <c r="M2372">
        <f>orders[[#This Row],[Ship Date]]-orders[[#This Row],[Order Date]]</f>
        <v>1</v>
      </c>
      <c r="N2372">
        <f>WEEKNUM(orders[[#This Row],[Order Date]],2)</f>
        <v>13</v>
      </c>
      <c r="O2372" t="str" cm="1">
        <f t="array" ref="O237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73" spans="1:15" x14ac:dyDescent="0.3">
      <c r="A2373" t="s">
        <v>2471</v>
      </c>
      <c r="B2373" t="s">
        <v>36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20</v>
      </c>
      <c r="I2373" t="s">
        <v>32</v>
      </c>
      <c r="J2373">
        <v>5</v>
      </c>
      <c r="K2373" t="s">
        <v>16</v>
      </c>
      <c r="L2373" t="s">
        <v>100</v>
      </c>
      <c r="M2373">
        <f>orders[[#This Row],[Ship Date]]-orders[[#This Row],[Order Date]]</f>
        <v>4</v>
      </c>
      <c r="N2373">
        <f>WEEKNUM(orders[[#This Row],[Order Date]],2)</f>
        <v>13</v>
      </c>
      <c r="O2373" t="str" cm="1">
        <f t="array" ref="O237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74" spans="1:15" x14ac:dyDescent="0.3">
      <c r="A2374" t="s">
        <v>2472</v>
      </c>
      <c r="B2374" t="s">
        <v>64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24</v>
      </c>
      <c r="I2374" t="s">
        <v>15</v>
      </c>
      <c r="J2374">
        <v>5</v>
      </c>
      <c r="K2374" t="s">
        <v>16</v>
      </c>
      <c r="L2374" t="s">
        <v>74</v>
      </c>
      <c r="M2374">
        <f>orders[[#This Row],[Ship Date]]-orders[[#This Row],[Order Date]]</f>
        <v>3</v>
      </c>
      <c r="N2374">
        <f>WEEKNUM(orders[[#This Row],[Order Date]],2)</f>
        <v>13</v>
      </c>
      <c r="O2374" t="str" cm="1">
        <f t="array" ref="O2374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75" spans="1:15" x14ac:dyDescent="0.3">
      <c r="A2375" t="s">
        <v>2473</v>
      </c>
      <c r="B2375" t="s">
        <v>34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24</v>
      </c>
      <c r="I2375" t="s">
        <v>37</v>
      </c>
      <c r="J2375">
        <v>5</v>
      </c>
      <c r="K2375" t="s">
        <v>16</v>
      </c>
      <c r="L2375" t="s">
        <v>240</v>
      </c>
      <c r="M2375">
        <f>orders[[#This Row],[Ship Date]]-orders[[#This Row],[Order Date]]</f>
        <v>2</v>
      </c>
      <c r="N2375">
        <f>WEEKNUM(orders[[#This Row],[Order Date]],2)</f>
        <v>13</v>
      </c>
      <c r="O2375" t="str" cm="1">
        <f t="array" ref="O2375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76" spans="1:15" x14ac:dyDescent="0.3">
      <c r="A2376" t="s">
        <v>2474</v>
      </c>
      <c r="B2376" t="s">
        <v>78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20</v>
      </c>
      <c r="I2376" t="s">
        <v>48</v>
      </c>
      <c r="J2376">
        <v>5</v>
      </c>
      <c r="K2376" t="s">
        <v>16</v>
      </c>
      <c r="L2376" t="s">
        <v>112</v>
      </c>
      <c r="M2376">
        <f>orders[[#This Row],[Ship Date]]-orders[[#This Row],[Order Date]]</f>
        <v>1</v>
      </c>
      <c r="N2376">
        <f>WEEKNUM(orders[[#This Row],[Order Date]],2)</f>
        <v>13</v>
      </c>
      <c r="O2376" t="str" cm="1">
        <f t="array" ref="O237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77" spans="1:15" x14ac:dyDescent="0.3">
      <c r="A2377" t="s">
        <v>2475</v>
      </c>
      <c r="B2377" t="s">
        <v>51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14</v>
      </c>
      <c r="I2377" t="s">
        <v>32</v>
      </c>
      <c r="J2377">
        <v>4</v>
      </c>
      <c r="K2377" t="s">
        <v>16</v>
      </c>
      <c r="L2377" t="s">
        <v>112</v>
      </c>
      <c r="M2377">
        <f>orders[[#This Row],[Ship Date]]-orders[[#This Row],[Order Date]]</f>
        <v>2</v>
      </c>
      <c r="N2377">
        <f>WEEKNUM(orders[[#This Row],[Order Date]],2)</f>
        <v>13</v>
      </c>
      <c r="O2377" t="str" cm="1">
        <f t="array" ref="O2377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78" spans="1:15" x14ac:dyDescent="0.3">
      <c r="A2378" t="s">
        <v>2476</v>
      </c>
      <c r="B2378" t="s">
        <v>19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24</v>
      </c>
      <c r="I2378" t="s">
        <v>67</v>
      </c>
      <c r="J2378">
        <v>4</v>
      </c>
      <c r="K2378" t="s">
        <v>16</v>
      </c>
      <c r="L2378" t="s">
        <v>21</v>
      </c>
      <c r="M2378">
        <f>orders[[#This Row],[Ship Date]]-orders[[#This Row],[Order Date]]</f>
        <v>1</v>
      </c>
      <c r="N2378">
        <f>WEEKNUM(orders[[#This Row],[Order Date]],2)</f>
        <v>13</v>
      </c>
      <c r="O2378" t="str" cm="1">
        <f t="array" ref="O237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79" spans="1:15" x14ac:dyDescent="0.3">
      <c r="A2379" t="s">
        <v>2477</v>
      </c>
      <c r="B2379" t="s">
        <v>27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24</v>
      </c>
      <c r="I2379" t="s">
        <v>15</v>
      </c>
      <c r="J2379">
        <v>5</v>
      </c>
      <c r="K2379" t="s">
        <v>16</v>
      </c>
      <c r="L2379" t="s">
        <v>21</v>
      </c>
      <c r="M2379">
        <f>orders[[#This Row],[Ship Date]]-orders[[#This Row],[Order Date]]</f>
        <v>2</v>
      </c>
      <c r="N2379">
        <f>WEEKNUM(orders[[#This Row],[Order Date]],2)</f>
        <v>13</v>
      </c>
      <c r="O2379" t="str" cm="1">
        <f t="array" ref="O237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80" spans="1:15" x14ac:dyDescent="0.3">
      <c r="A2380" t="s">
        <v>2478</v>
      </c>
      <c r="B2380" t="s">
        <v>13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24</v>
      </c>
      <c r="I2380" t="s">
        <v>67</v>
      </c>
      <c r="J2380">
        <v>4</v>
      </c>
      <c r="K2380" t="s">
        <v>16</v>
      </c>
      <c r="L2380" t="s">
        <v>25</v>
      </c>
      <c r="M2380">
        <f>orders[[#This Row],[Ship Date]]-orders[[#This Row],[Order Date]]</f>
        <v>1</v>
      </c>
      <c r="N2380">
        <f>WEEKNUM(orders[[#This Row],[Order Date]],2)</f>
        <v>13</v>
      </c>
      <c r="O2380" t="str" cm="1">
        <f t="array" ref="O238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81" spans="1:15" x14ac:dyDescent="0.3">
      <c r="A2381" t="s">
        <v>2479</v>
      </c>
      <c r="B2381" t="s">
        <v>39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24</v>
      </c>
      <c r="I2381" t="s">
        <v>32</v>
      </c>
      <c r="J2381">
        <v>5</v>
      </c>
      <c r="K2381" t="s">
        <v>16</v>
      </c>
      <c r="L2381" t="s">
        <v>331</v>
      </c>
      <c r="M2381">
        <f>orders[[#This Row],[Ship Date]]-orders[[#This Row],[Order Date]]</f>
        <v>2</v>
      </c>
      <c r="N2381">
        <f>WEEKNUM(orders[[#This Row],[Order Date]],2)</f>
        <v>13</v>
      </c>
      <c r="O2381" t="str" cm="1">
        <f t="array" ref="O238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82" spans="1:15" x14ac:dyDescent="0.3">
      <c r="A2382" t="s">
        <v>2480</v>
      </c>
      <c r="B2382" t="s">
        <v>34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24</v>
      </c>
      <c r="I2382" t="s">
        <v>37</v>
      </c>
      <c r="J2382">
        <v>4</v>
      </c>
      <c r="K2382" t="s">
        <v>16</v>
      </c>
      <c r="L2382" t="s">
        <v>30</v>
      </c>
      <c r="M2382">
        <f>orders[[#This Row],[Ship Date]]-orders[[#This Row],[Order Date]]</f>
        <v>3</v>
      </c>
      <c r="N2382">
        <f>WEEKNUM(orders[[#This Row],[Order Date]],2)</f>
        <v>13</v>
      </c>
      <c r="O2382" t="str" cm="1">
        <f t="array" ref="O238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83" spans="1:15" x14ac:dyDescent="0.3">
      <c r="A2383" t="s">
        <v>2481</v>
      </c>
      <c r="B2383" t="s">
        <v>41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20</v>
      </c>
      <c r="I2383" t="s">
        <v>48</v>
      </c>
      <c r="J2383">
        <v>4</v>
      </c>
      <c r="K2383" t="s">
        <v>16</v>
      </c>
      <c r="L2383" t="s">
        <v>30</v>
      </c>
      <c r="M2383">
        <f>orders[[#This Row],[Ship Date]]-orders[[#This Row],[Order Date]]</f>
        <v>2</v>
      </c>
      <c r="N2383">
        <f>WEEKNUM(orders[[#This Row],[Order Date]],2)</f>
        <v>13</v>
      </c>
      <c r="O2383" t="str" cm="1">
        <f t="array" ref="O2383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84" spans="1:15" x14ac:dyDescent="0.3">
      <c r="A2384" t="s">
        <v>2482</v>
      </c>
      <c r="B2384" t="s">
        <v>43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14</v>
      </c>
      <c r="I2384" t="s">
        <v>48</v>
      </c>
      <c r="J2384">
        <v>5</v>
      </c>
      <c r="K2384" t="s">
        <v>16</v>
      </c>
      <c r="L2384" t="s">
        <v>30</v>
      </c>
      <c r="M2384">
        <f>orders[[#This Row],[Ship Date]]-orders[[#This Row],[Order Date]]</f>
        <v>1</v>
      </c>
      <c r="N2384">
        <f>WEEKNUM(orders[[#This Row],[Order Date]],2)</f>
        <v>13</v>
      </c>
      <c r="O2384" t="str" cm="1">
        <f t="array" ref="O2384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85" spans="1:15" x14ac:dyDescent="0.3">
      <c r="A2385" t="s">
        <v>2483</v>
      </c>
      <c r="B2385" t="s">
        <v>51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20</v>
      </c>
      <c r="I2385" t="s">
        <v>32</v>
      </c>
      <c r="J2385">
        <v>5</v>
      </c>
      <c r="K2385" t="s">
        <v>16</v>
      </c>
      <c r="L2385" t="s">
        <v>30</v>
      </c>
      <c r="M2385">
        <f>orders[[#This Row],[Ship Date]]-orders[[#This Row],[Order Date]]</f>
        <v>1</v>
      </c>
      <c r="N2385">
        <f>WEEKNUM(orders[[#This Row],[Order Date]],2)</f>
        <v>13</v>
      </c>
      <c r="O2385" t="str" cm="1">
        <f t="array" ref="O238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86" spans="1:15" x14ac:dyDescent="0.3">
      <c r="A2386" t="s">
        <v>2484</v>
      </c>
      <c r="B2386" t="s">
        <v>120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20</v>
      </c>
      <c r="I2386" t="s">
        <v>37</v>
      </c>
      <c r="J2386">
        <v>4</v>
      </c>
      <c r="K2386" t="s">
        <v>16</v>
      </c>
      <c r="L2386" t="s">
        <v>30</v>
      </c>
      <c r="M2386">
        <f>orders[[#This Row],[Ship Date]]-orders[[#This Row],[Order Date]]</f>
        <v>1</v>
      </c>
      <c r="N2386">
        <f>WEEKNUM(orders[[#This Row],[Order Date]],2)</f>
        <v>13</v>
      </c>
      <c r="O2386" t="str" cm="1">
        <f t="array" ref="O238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87" spans="1:15" x14ac:dyDescent="0.3">
      <c r="A2387" t="s">
        <v>2485</v>
      </c>
      <c r="B2387" t="s">
        <v>36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20</v>
      </c>
      <c r="I2387" t="s">
        <v>32</v>
      </c>
      <c r="J2387">
        <v>3</v>
      </c>
      <c r="K2387" t="s">
        <v>16</v>
      </c>
      <c r="L2387" t="s">
        <v>30</v>
      </c>
      <c r="M2387">
        <f>orders[[#This Row],[Ship Date]]-orders[[#This Row],[Order Date]]</f>
        <v>4</v>
      </c>
      <c r="N2387">
        <f>WEEKNUM(orders[[#This Row],[Order Date]],2)</f>
        <v>13</v>
      </c>
      <c r="O2387" t="str" cm="1">
        <f t="array" ref="O238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88" spans="1:15" x14ac:dyDescent="0.3">
      <c r="A2388" t="s">
        <v>2486</v>
      </c>
      <c r="B2388" t="s">
        <v>125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24</v>
      </c>
      <c r="I2388" t="s">
        <v>15</v>
      </c>
      <c r="J2388">
        <v>5</v>
      </c>
      <c r="K2388" t="s">
        <v>16</v>
      </c>
      <c r="L2388" t="s">
        <v>30</v>
      </c>
      <c r="M2388">
        <f>orders[[#This Row],[Ship Date]]-orders[[#This Row],[Order Date]]</f>
        <v>1</v>
      </c>
      <c r="N2388">
        <f>WEEKNUM(orders[[#This Row],[Order Date]],2)</f>
        <v>13</v>
      </c>
      <c r="O2388" t="str" cm="1">
        <f t="array" ref="O2388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89" spans="1:15" x14ac:dyDescent="0.3">
      <c r="A2389" t="s">
        <v>2487</v>
      </c>
      <c r="B2389" t="s">
        <v>23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20</v>
      </c>
      <c r="I2389" t="s">
        <v>67</v>
      </c>
      <c r="J2389">
        <v>5</v>
      </c>
      <c r="K2389" t="s">
        <v>16</v>
      </c>
      <c r="L2389" t="s">
        <v>30</v>
      </c>
      <c r="M2389">
        <f>orders[[#This Row],[Ship Date]]-orders[[#This Row],[Order Date]]</f>
        <v>11</v>
      </c>
      <c r="N2389">
        <f>WEEKNUM(orders[[#This Row],[Order Date]],2)</f>
        <v>13</v>
      </c>
      <c r="O2389" t="str" cm="1">
        <f t="array" ref="O2389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90" spans="1:15" x14ac:dyDescent="0.3">
      <c r="A2390" t="s">
        <v>2488</v>
      </c>
      <c r="B2390" t="s">
        <v>41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20</v>
      </c>
      <c r="I2390" t="s">
        <v>32</v>
      </c>
      <c r="J2390">
        <v>5</v>
      </c>
      <c r="K2390" t="s">
        <v>16</v>
      </c>
      <c r="L2390" t="s">
        <v>52</v>
      </c>
      <c r="M2390">
        <f>orders[[#This Row],[Ship Date]]-orders[[#This Row],[Order Date]]</f>
        <v>4</v>
      </c>
      <c r="N2390">
        <f>WEEKNUM(orders[[#This Row],[Order Date]],2)</f>
        <v>13</v>
      </c>
      <c r="O2390" t="str" cm="1">
        <f t="array" ref="O2390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91" spans="1:15" x14ac:dyDescent="0.3">
      <c r="A2391" t="s">
        <v>2489</v>
      </c>
      <c r="B2391" t="s">
        <v>41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24</v>
      </c>
      <c r="I2391" t="s">
        <v>15</v>
      </c>
      <c r="J2391">
        <v>4</v>
      </c>
      <c r="K2391" t="s">
        <v>16</v>
      </c>
      <c r="L2391" t="s">
        <v>52</v>
      </c>
      <c r="M2391">
        <f>orders[[#This Row],[Ship Date]]-orders[[#This Row],[Order Date]]</f>
        <v>1</v>
      </c>
      <c r="N2391">
        <f>WEEKNUM(orders[[#This Row],[Order Date]],2)</f>
        <v>13</v>
      </c>
      <c r="O2391" t="str" cm="1">
        <f t="array" ref="O2391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92" spans="1:15" x14ac:dyDescent="0.3">
      <c r="A2392" t="s">
        <v>2490</v>
      </c>
      <c r="B2392" t="s">
        <v>64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24</v>
      </c>
      <c r="I2392" t="s">
        <v>37</v>
      </c>
      <c r="J2392">
        <v>4</v>
      </c>
      <c r="K2392" t="s">
        <v>16</v>
      </c>
      <c r="L2392" t="s">
        <v>52</v>
      </c>
      <c r="M2392">
        <f>orders[[#This Row],[Ship Date]]-orders[[#This Row],[Order Date]]</f>
        <v>2</v>
      </c>
      <c r="N2392">
        <f>WEEKNUM(orders[[#This Row],[Order Date]],2)</f>
        <v>13</v>
      </c>
      <c r="O2392" t="str" cm="1">
        <f t="array" ref="O2392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393" spans="1:15" x14ac:dyDescent="0.3">
      <c r="A2393" t="s">
        <v>2491</v>
      </c>
      <c r="B2393" t="s">
        <v>19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14</v>
      </c>
      <c r="I2393" t="s">
        <v>15</v>
      </c>
      <c r="J2393">
        <v>4</v>
      </c>
      <c r="K2393" t="s">
        <v>16</v>
      </c>
      <c r="L2393" t="s">
        <v>56</v>
      </c>
      <c r="M2393">
        <f>orders[[#This Row],[Ship Date]]-orders[[#This Row],[Order Date]]</f>
        <v>3</v>
      </c>
      <c r="N2393">
        <f>WEEKNUM(orders[[#This Row],[Order Date]],2)</f>
        <v>13</v>
      </c>
      <c r="O2393" t="str" cm="1">
        <f t="array" ref="O2393">_xlfn.IFS(orders[[#This Row],[Customer Gender]]="M","Male",orders[[#This Row],[Customer Gender]]="F","Female",orders[[#This Row],[Customer Gender]]="O","Other",OR(orders[[#This Row],[Customer Gender]]=" ",orders[[#This Row],[Customer Gender]]=""),"Unknown")</f>
        <v>Unknown</v>
      </c>
    </row>
    <row r="2394" spans="1:15" x14ac:dyDescent="0.3">
      <c r="A2394" t="s">
        <v>2492</v>
      </c>
      <c r="B2394" t="s">
        <v>23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20</v>
      </c>
      <c r="I2394" t="s">
        <v>32</v>
      </c>
      <c r="J2394">
        <v>5</v>
      </c>
      <c r="K2394" t="s">
        <v>16</v>
      </c>
      <c r="L2394" t="s">
        <v>59</v>
      </c>
      <c r="M2394">
        <f>orders[[#This Row],[Ship Date]]-orders[[#This Row],[Order Date]]</f>
        <v>2</v>
      </c>
      <c r="N2394">
        <f>WEEKNUM(orders[[#This Row],[Order Date]],2)</f>
        <v>13</v>
      </c>
      <c r="O2394" t="str" cm="1">
        <f t="array" ref="O2394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95" spans="1:15" x14ac:dyDescent="0.3">
      <c r="A2395" t="s">
        <v>2493</v>
      </c>
      <c r="B2395" t="s">
        <v>64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20</v>
      </c>
      <c r="I2395" t="s">
        <v>32</v>
      </c>
      <c r="J2395">
        <v>4</v>
      </c>
      <c r="K2395" t="s">
        <v>16</v>
      </c>
      <c r="L2395" t="s">
        <v>59</v>
      </c>
      <c r="M2395">
        <f>orders[[#This Row],[Ship Date]]-orders[[#This Row],[Order Date]]</f>
        <v>1</v>
      </c>
      <c r="N2395">
        <f>WEEKNUM(orders[[#This Row],[Order Date]],2)</f>
        <v>13</v>
      </c>
      <c r="O2395" t="str" cm="1">
        <f t="array" ref="O2395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96" spans="1:15" x14ac:dyDescent="0.3">
      <c r="A2396" t="s">
        <v>2494</v>
      </c>
      <c r="B2396" t="s">
        <v>132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20</v>
      </c>
      <c r="I2396" t="s">
        <v>67</v>
      </c>
      <c r="J2396">
        <v>5</v>
      </c>
      <c r="K2396" t="s">
        <v>16</v>
      </c>
      <c r="L2396" t="s">
        <v>71</v>
      </c>
      <c r="M2396">
        <f>orders[[#This Row],[Ship Date]]-orders[[#This Row],[Order Date]]</f>
        <v>1</v>
      </c>
      <c r="N2396">
        <f>WEEKNUM(orders[[#This Row],[Order Date]],2)</f>
        <v>13</v>
      </c>
      <c r="O2396" t="str" cm="1">
        <f t="array" ref="O2396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97" spans="1:15" x14ac:dyDescent="0.3">
      <c r="A2397" t="s">
        <v>2495</v>
      </c>
      <c r="B2397" t="s">
        <v>27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20</v>
      </c>
      <c r="I2397" t="s">
        <v>32</v>
      </c>
      <c r="J2397">
        <v>4</v>
      </c>
      <c r="K2397" t="s">
        <v>16</v>
      </c>
      <c r="L2397" t="s">
        <v>71</v>
      </c>
      <c r="M2397">
        <f>orders[[#This Row],[Ship Date]]-orders[[#This Row],[Order Date]]</f>
        <v>1</v>
      </c>
      <c r="N2397">
        <f>WEEKNUM(orders[[#This Row],[Order Date]],2)</f>
        <v>13</v>
      </c>
      <c r="O2397" t="str" cm="1">
        <f t="array" ref="O2397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98" spans="1:15" x14ac:dyDescent="0.3">
      <c r="A2398" t="s">
        <v>2496</v>
      </c>
      <c r="B2398" t="s">
        <v>120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20</v>
      </c>
      <c r="I2398" t="s">
        <v>15</v>
      </c>
      <c r="J2398">
        <v>4</v>
      </c>
      <c r="K2398" t="s">
        <v>16</v>
      </c>
      <c r="L2398" t="s">
        <v>74</v>
      </c>
      <c r="M2398">
        <f>orders[[#This Row],[Ship Date]]-orders[[#This Row],[Order Date]]</f>
        <v>1</v>
      </c>
      <c r="N2398">
        <f>WEEKNUM(orders[[#This Row],[Order Date]],2)</f>
        <v>13</v>
      </c>
      <c r="O2398" t="str" cm="1">
        <f t="array" ref="O2398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  <row r="2399" spans="1:15" x14ac:dyDescent="0.3">
      <c r="A2399" t="s">
        <v>2497</v>
      </c>
      <c r="B2399" t="s">
        <v>51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24</v>
      </c>
      <c r="I2399" t="s">
        <v>67</v>
      </c>
      <c r="J2399">
        <v>4</v>
      </c>
      <c r="K2399" t="s">
        <v>16</v>
      </c>
      <c r="L2399" t="s">
        <v>74</v>
      </c>
      <c r="M2399">
        <f>orders[[#This Row],[Ship Date]]-orders[[#This Row],[Order Date]]</f>
        <v>1</v>
      </c>
      <c r="N2399">
        <f>WEEKNUM(orders[[#This Row],[Order Date]],2)</f>
        <v>13</v>
      </c>
      <c r="O2399" t="str" cm="1">
        <f t="array" ref="O2399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400" spans="1:15" x14ac:dyDescent="0.3">
      <c r="A2400" t="s">
        <v>2498</v>
      </c>
      <c r="B2400" t="s">
        <v>66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24</v>
      </c>
      <c r="I2400" t="s">
        <v>37</v>
      </c>
      <c r="J2400">
        <v>4</v>
      </c>
      <c r="K2400" t="s">
        <v>16</v>
      </c>
      <c r="L2400" t="s">
        <v>105</v>
      </c>
      <c r="M2400">
        <f>orders[[#This Row],[Ship Date]]-orders[[#This Row],[Order Date]]</f>
        <v>2</v>
      </c>
      <c r="N2400">
        <f>WEEKNUM(orders[[#This Row],[Order Date]],2)</f>
        <v>13</v>
      </c>
      <c r="O2400" t="str" cm="1">
        <f t="array" ref="O2400">_xlfn.IFS(orders[[#This Row],[Customer Gender]]="M","Male",orders[[#This Row],[Customer Gender]]="F","Female",orders[[#This Row],[Customer Gender]]="O","Other",OR(orders[[#This Row],[Customer Gender]]=" ",orders[[#This Row],[Customer Gender]]=""),"Unknown")</f>
        <v>Female</v>
      </c>
    </row>
    <row r="2401" spans="1:15" x14ac:dyDescent="0.3">
      <c r="A2401" t="s">
        <v>2499</v>
      </c>
      <c r="B2401" t="s">
        <v>143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20</v>
      </c>
      <c r="I2401" t="s">
        <v>37</v>
      </c>
      <c r="J2401">
        <v>5</v>
      </c>
      <c r="K2401" t="s">
        <v>16</v>
      </c>
      <c r="L2401" t="s">
        <v>79</v>
      </c>
      <c r="M2401">
        <f>orders[[#This Row],[Ship Date]]-orders[[#This Row],[Order Date]]</f>
        <v>2</v>
      </c>
      <c r="N2401">
        <f>WEEKNUM(orders[[#This Row],[Order Date]],2)</f>
        <v>13</v>
      </c>
      <c r="O2401" t="str" cm="1">
        <f t="array" ref="O2401">_xlfn.IFS(orders[[#This Row],[Customer Gender]]="M","Male",orders[[#This Row],[Customer Gender]]="F","Female",orders[[#This Row],[Customer Gender]]="O","Other",OR(orders[[#This Row],[Customer Gender]]=" ",orders[[#This Row],[Customer Gender]]=""),"Unknown")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Sheet1</vt:lpstr>
      <vt:lpstr>DashBoard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Chandan Kumar Pal</cp:lastModifiedBy>
  <dcterms:created xsi:type="dcterms:W3CDTF">2025-06-13T02:42:26Z</dcterms:created>
  <dcterms:modified xsi:type="dcterms:W3CDTF">2026-08-25T15:01:56Z</dcterms:modified>
</cp:coreProperties>
</file>